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omments4.xml" ContentType="application/vnd.openxmlformats-officedocument.spreadsheetml.comments+xml"/>
  <Override PartName="/xl/threadedComments/threadedComment4.xml" ContentType="application/vnd.ms-excel.threadedcomments+xml"/>
  <Override PartName="/xl/threadedComments/threadedComment2.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hreadedComments/threadedComment1.xml" ContentType="application/vnd.ms-excel.threadedcomments+xml"/>
  <Override PartName="/xl/comments1.xml" ContentType="application/vnd.openxmlformats-officedocument.spreadsheetml.comments+xml"/>
  <Override PartName="/xl/metadata.xml" ContentType="application/vnd.openxmlformats-officedocument.spreadsheetml.sheetMetadata+xml"/>
  <Override PartName="/xl/comments3.xml" ContentType="application/vnd.openxmlformats-officedocument.spreadsheetml.comments+xml"/>
  <Override PartName="/xl/threadedComments/threadedComment3.xml" ContentType="application/vnd.ms-excel.threadedcomments+xml"/>
  <Override PartName="/xl/comments2.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wowbao-my.sharepoint.com/personal/mcoan_wowbao_com/Documents/"/>
    </mc:Choice>
  </mc:AlternateContent>
  <xr:revisionPtr revIDLastSave="2245" documentId="8_{333812AC-5660-4B21-A2EE-DDF0BE9E691E}" xr6:coauthVersionLast="47" xr6:coauthVersionMax="47" xr10:uidLastSave="{9A88E36B-5E98-4D80-A308-942CD4757E12}"/>
  <bookViews>
    <workbookView xWindow="-110" yWindow="-110" windowWidth="19420" windowHeight="11500" tabRatio="945" activeTab="2" xr2:uid="{730C2081-EE66-453C-9DF5-E099FCB2CBF0}"/>
  </bookViews>
  <sheets>
    <sheet name="Monthly Summary" sheetId="16" r:id="rId1"/>
    <sheet name="Weekly Summary" sheetId="11" r:id="rId2"/>
    <sheet name="Daily Summary New" sheetId="19" r:id="rId3"/>
    <sheet name="Raw Data - Production" sheetId="1" r:id="rId4"/>
    <sheet name="Raw Data - Packing" sheetId="6" r:id="rId5"/>
    <sheet name="Daily Summary Old" sheetId="3" r:id="rId6"/>
    <sheet name="Ramp Up Plan" sheetId="13" r:id="rId7"/>
    <sheet name="OEE - In Process" sheetId="4" r:id="rId8"/>
    <sheet name="Weights" sheetId="5" r:id="rId9"/>
    <sheet name="Don't Change" sheetId="2" r:id="rId10"/>
    <sheet name="New Plant SD Plan" sheetId="17" r:id="rId11"/>
    <sheet name="New Plant Bao Plan" sheetId="18" r:id="rId12"/>
  </sheets>
  <externalReferences>
    <externalReference r:id="rId13"/>
  </externalReferences>
  <definedNames>
    <definedName name="_xlnm._FilterDatabase" localSheetId="5" hidden="1">'Daily Summary Old'!$A$1:$S$258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12" i="6" l="1"/>
  <c r="D111" i="6"/>
  <c r="D109" i="6"/>
  <c r="F112" i="6"/>
  <c r="F112" i="1"/>
  <c r="E112" i="1"/>
  <c r="D112" i="1"/>
  <c r="AR80" i="4" s="1"/>
  <c r="K112" i="1"/>
  <c r="G107" i="3" s="1"/>
  <c r="AS80" i="4"/>
  <c r="F110" i="6"/>
  <c r="D110" i="6"/>
  <c r="F109" i="6"/>
  <c r="G111" i="1"/>
  <c r="K111" i="1"/>
  <c r="G106" i="3" s="1"/>
  <c r="F111" i="1"/>
  <c r="E111" i="1"/>
  <c r="AS79" i="4" s="1"/>
  <c r="D111" i="1"/>
  <c r="L18" i="16"/>
  <c r="P110" i="1"/>
  <c r="O110" i="1"/>
  <c r="N110" i="1"/>
  <c r="H105" i="3" s="1"/>
  <c r="F110" i="1"/>
  <c r="E110" i="1"/>
  <c r="AS78" i="4" s="1"/>
  <c r="D110" i="1"/>
  <c r="G110" i="1"/>
  <c r="AT78" i="4" s="1"/>
  <c r="H110" i="1"/>
  <c r="AU78" i="4" s="1"/>
  <c r="I110" i="1"/>
  <c r="AV78" i="4" s="1"/>
  <c r="F109" i="1"/>
  <c r="E109" i="1"/>
  <c r="AS77" i="4" s="1"/>
  <c r="D109" i="1"/>
  <c r="O109" i="1"/>
  <c r="N109" i="1"/>
  <c r="H104" i="3" s="1"/>
  <c r="H109" i="1"/>
  <c r="AU77" i="4" s="1"/>
  <c r="G109" i="1"/>
  <c r="AT77" i="4" s="1"/>
  <c r="X45" i="11"/>
  <c r="X46" i="11"/>
  <c r="X47" i="11"/>
  <c r="X48" i="11"/>
  <c r="X49" i="11"/>
  <c r="X50" i="11"/>
  <c r="X51" i="11"/>
  <c r="X52" i="11"/>
  <c r="X53" i="11"/>
  <c r="X44" i="11"/>
  <c r="I106" i="6"/>
  <c r="G101" i="3" s="1"/>
  <c r="F108" i="6"/>
  <c r="D108" i="6"/>
  <c r="D106" i="6"/>
  <c r="AG4" i="4"/>
  <c r="AG5" i="4"/>
  <c r="AG6" i="4"/>
  <c r="AG7" i="4"/>
  <c r="AG8" i="4"/>
  <c r="AG9" i="4"/>
  <c r="AG10" i="4"/>
  <c r="AG11" i="4"/>
  <c r="AG12" i="4"/>
  <c r="AG13" i="4"/>
  <c r="AG14" i="4"/>
  <c r="AG15" i="4"/>
  <c r="AG16" i="4"/>
  <c r="AG17" i="4"/>
  <c r="AG18" i="4"/>
  <c r="AG19" i="4"/>
  <c r="AG20" i="4"/>
  <c r="AG21" i="4"/>
  <c r="AG22" i="4"/>
  <c r="AG23" i="4"/>
  <c r="AG24" i="4"/>
  <c r="AG25" i="4"/>
  <c r="AG26" i="4"/>
  <c r="AG27" i="4"/>
  <c r="AG28" i="4"/>
  <c r="AG29" i="4"/>
  <c r="AG30" i="4"/>
  <c r="AG31" i="4"/>
  <c r="AG32" i="4"/>
  <c r="AG33" i="4"/>
  <c r="AG34" i="4"/>
  <c r="AG35" i="4"/>
  <c r="AG36" i="4"/>
  <c r="AG37" i="4"/>
  <c r="AG38" i="4"/>
  <c r="AG39" i="4"/>
  <c r="AG40" i="4"/>
  <c r="AG41" i="4"/>
  <c r="AG42" i="4"/>
  <c r="AG43" i="4"/>
  <c r="AG44" i="4"/>
  <c r="AG45" i="4"/>
  <c r="AG46" i="4"/>
  <c r="AG47" i="4"/>
  <c r="AG48" i="4"/>
  <c r="AG49" i="4"/>
  <c r="AG50" i="4"/>
  <c r="AG51" i="4"/>
  <c r="AG52" i="4"/>
  <c r="AG53" i="4"/>
  <c r="AG54" i="4"/>
  <c r="AG55" i="4"/>
  <c r="AG56" i="4"/>
  <c r="AG57" i="4"/>
  <c r="AG58" i="4"/>
  <c r="AG59" i="4"/>
  <c r="AG60" i="4"/>
  <c r="AG61" i="4"/>
  <c r="AG62" i="4"/>
  <c r="AG63" i="4"/>
  <c r="AG64" i="4"/>
  <c r="AG65" i="4"/>
  <c r="AG66" i="4"/>
  <c r="AG67" i="4"/>
  <c r="AG68" i="4"/>
  <c r="AG69" i="4"/>
  <c r="AG70" i="4"/>
  <c r="AG71" i="4"/>
  <c r="AG72" i="4"/>
  <c r="AG73" i="4"/>
  <c r="AG74" i="4"/>
  <c r="AG75" i="4"/>
  <c r="AG76" i="4"/>
  <c r="AG77" i="4"/>
  <c r="AG78" i="4"/>
  <c r="AG79" i="4"/>
  <c r="AG80" i="4"/>
  <c r="AG81" i="4"/>
  <c r="AG82" i="4"/>
  <c r="AG83" i="4"/>
  <c r="AG84" i="4"/>
  <c r="AG85" i="4"/>
  <c r="AG86" i="4"/>
  <c r="AG87" i="4"/>
  <c r="AG88" i="4"/>
  <c r="AG89" i="4"/>
  <c r="AG90" i="4"/>
  <c r="AG91" i="4"/>
  <c r="AG92" i="4"/>
  <c r="AG93" i="4"/>
  <c r="AG94" i="4"/>
  <c r="AG95" i="4"/>
  <c r="AG96" i="4"/>
  <c r="AG97" i="4"/>
  <c r="AG98" i="4"/>
  <c r="AG99" i="4"/>
  <c r="AG100" i="4"/>
  <c r="AG101" i="4"/>
  <c r="AG102" i="4"/>
  <c r="AG103" i="4"/>
  <c r="AG104" i="4"/>
  <c r="AG105" i="4"/>
  <c r="AG106" i="4"/>
  <c r="AG107" i="4"/>
  <c r="AG108" i="4"/>
  <c r="AG109" i="4"/>
  <c r="AG110" i="4"/>
  <c r="AG111" i="4"/>
  <c r="AG112" i="4"/>
  <c r="AG113" i="4"/>
  <c r="AG114" i="4"/>
  <c r="AG115" i="4"/>
  <c r="AG116" i="4"/>
  <c r="AG117" i="4"/>
  <c r="AG118" i="4"/>
  <c r="AG119" i="4"/>
  <c r="AG120" i="4"/>
  <c r="AG121" i="4"/>
  <c r="AG122" i="4"/>
  <c r="AG123" i="4"/>
  <c r="AG124" i="4"/>
  <c r="AG125" i="4"/>
  <c r="AG126" i="4"/>
  <c r="AG127" i="4"/>
  <c r="AG128" i="4"/>
  <c r="AG129" i="4"/>
  <c r="AG130" i="4"/>
  <c r="AG131" i="4"/>
  <c r="AG132" i="4"/>
  <c r="AG133" i="4"/>
  <c r="AG134" i="4"/>
  <c r="AG135" i="4"/>
  <c r="AG136" i="4"/>
  <c r="AG137" i="4"/>
  <c r="AG138" i="4"/>
  <c r="AG139" i="4"/>
  <c r="AG140" i="4"/>
  <c r="AG141" i="4"/>
  <c r="AG142" i="4"/>
  <c r="AG143" i="4"/>
  <c r="AG144" i="4"/>
  <c r="AG145" i="4"/>
  <c r="AG146" i="4"/>
  <c r="AG147" i="4"/>
  <c r="AG148" i="4"/>
  <c r="AG149" i="4"/>
  <c r="AG150" i="4"/>
  <c r="AG151" i="4"/>
  <c r="AG152" i="4"/>
  <c r="AG153" i="4"/>
  <c r="AG154" i="4"/>
  <c r="AG155" i="4"/>
  <c r="AG156" i="4"/>
  <c r="AG157" i="4"/>
  <c r="AG158" i="4"/>
  <c r="AG159" i="4"/>
  <c r="AG160" i="4"/>
  <c r="AG161" i="4"/>
  <c r="AG3" i="4"/>
  <c r="D107" i="6"/>
  <c r="F107" i="6"/>
  <c r="G107" i="1"/>
  <c r="M107" i="1"/>
  <c r="F107" i="1"/>
  <c r="E107" i="1"/>
  <c r="AS75" i="4" s="1"/>
  <c r="D107" i="1"/>
  <c r="F106" i="6"/>
  <c r="H106" i="1"/>
  <c r="AU74" i="4" s="1"/>
  <c r="G106" i="1"/>
  <c r="M106" i="1"/>
  <c r="F106" i="1"/>
  <c r="E106" i="1"/>
  <c r="AS74" i="4" s="1"/>
  <c r="D106" i="1"/>
  <c r="E34" i="3"/>
  <c r="E36" i="3"/>
  <c r="E37" i="3"/>
  <c r="E39" i="3"/>
  <c r="E40" i="3"/>
  <c r="E43" i="3"/>
  <c r="E44" i="3"/>
  <c r="E45" i="3"/>
  <c r="E47" i="3"/>
  <c r="E48" i="3"/>
  <c r="E53" i="3"/>
  <c r="E58" i="3"/>
  <c r="E63" i="3"/>
  <c r="E65" i="3"/>
  <c r="E68" i="3"/>
  <c r="E69" i="3"/>
  <c r="E70" i="3"/>
  <c r="E71" i="3"/>
  <c r="E72" i="3"/>
  <c r="E73" i="3"/>
  <c r="E78" i="3"/>
  <c r="E80" i="3"/>
  <c r="E83" i="3"/>
  <c r="E88" i="3"/>
  <c r="E92" i="3"/>
  <c r="E93" i="3"/>
  <c r="E94" i="3"/>
  <c r="E96" i="3"/>
  <c r="E97" i="3"/>
  <c r="E98" i="3"/>
  <c r="E99" i="3"/>
  <c r="E103"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D105" i="6"/>
  <c r="F105" i="6"/>
  <c r="F104" i="6"/>
  <c r="H105" i="1"/>
  <c r="G105" i="1"/>
  <c r="D105" i="1"/>
  <c r="F105" i="1"/>
  <c r="E105" i="1"/>
  <c r="AS73" i="4" s="1"/>
  <c r="AR73" i="4"/>
  <c r="P104" i="1"/>
  <c r="O104" i="1"/>
  <c r="N104" i="1"/>
  <c r="H99" i="3" s="1"/>
  <c r="I104" i="1"/>
  <c r="AV72" i="4" s="1"/>
  <c r="H104" i="1"/>
  <c r="AU72" i="4" s="1"/>
  <c r="G104" i="1"/>
  <c r="H100" i="3"/>
  <c r="H112" i="3"/>
  <c r="AV73" i="4"/>
  <c r="AU73" i="4"/>
  <c r="E3" i="19"/>
  <c r="D3" i="19"/>
  <c r="C3" i="19"/>
  <c r="E1" i="19"/>
  <c r="D1" i="19"/>
  <c r="C1" i="19"/>
  <c r="B3" i="19"/>
  <c r="B1" i="19"/>
  <c r="B4" i="11"/>
  <c r="D6" i="6"/>
  <c r="D5" i="6"/>
  <c r="D4" i="6"/>
  <c r="D3" i="6"/>
  <c r="D6" i="1"/>
  <c r="D5" i="1"/>
  <c r="D4" i="1"/>
  <c r="E4" i="1"/>
  <c r="D3" i="1"/>
  <c r="E3" i="1"/>
  <c r="C3" i="1"/>
  <c r="C4" i="1"/>
  <c r="C5" i="1"/>
  <c r="C6" i="1"/>
  <c r="B3" i="1"/>
  <c r="B4" i="1"/>
  <c r="B5" i="1"/>
  <c r="B6" i="1"/>
  <c r="W57" i="11"/>
  <c r="W56" i="11"/>
  <c r="W62" i="11"/>
  <c r="W60" i="11"/>
  <c r="G100" i="1"/>
  <c r="F100" i="1"/>
  <c r="E100" i="1"/>
  <c r="AS68" i="4" s="1"/>
  <c r="D100" i="1"/>
  <c r="E95" i="3" s="1"/>
  <c r="P99" i="1"/>
  <c r="N99" i="1"/>
  <c r="H94" i="3" s="1"/>
  <c r="I99" i="1"/>
  <c r="AV67" i="4" s="1"/>
  <c r="G99" i="1"/>
  <c r="D97" i="6"/>
  <c r="D96" i="6"/>
  <c r="V62" i="11"/>
  <c r="V60" i="11"/>
  <c r="V57" i="11"/>
  <c r="V56" i="11"/>
  <c r="L34" i="16"/>
  <c r="F97" i="6"/>
  <c r="F1" i="19"/>
  <c r="G4" i="19"/>
  <c r="F3" i="19"/>
  <c r="C200" i="17"/>
  <c r="E195" i="17"/>
  <c r="C193" i="17"/>
  <c r="E188" i="17"/>
  <c r="C186" i="17"/>
  <c r="K183" i="17"/>
  <c r="C172" i="17"/>
  <c r="E167" i="17"/>
  <c r="C165" i="17"/>
  <c r="E160" i="17"/>
  <c r="C158" i="17"/>
  <c r="K153" i="17"/>
  <c r="E153" i="17"/>
  <c r="L152" i="17"/>
  <c r="C151" i="17"/>
  <c r="C144" i="17"/>
  <c r="C137" i="17"/>
  <c r="C130" i="17"/>
  <c r="E125" i="17"/>
  <c r="C123" i="17"/>
  <c r="K122" i="17"/>
  <c r="E122" i="17"/>
  <c r="L121" i="17"/>
  <c r="C116" i="17"/>
  <c r="C109" i="17"/>
  <c r="C102" i="17"/>
  <c r="C95" i="17"/>
  <c r="K92" i="17"/>
  <c r="E92" i="17"/>
  <c r="L91" i="17"/>
  <c r="C88" i="17"/>
  <c r="E84" i="17"/>
  <c r="C81" i="17"/>
  <c r="C74" i="17"/>
  <c r="E71" i="17"/>
  <c r="C67" i="17"/>
  <c r="E63" i="17"/>
  <c r="C60" i="17"/>
  <c r="C53" i="17"/>
  <c r="C46" i="17"/>
  <c r="C39" i="17"/>
  <c r="K30" i="17"/>
  <c r="L29" i="17"/>
  <c r="C25" i="17"/>
  <c r="D21" i="17"/>
  <c r="D20" i="17"/>
  <c r="C18" i="17"/>
  <c r="D14" i="17"/>
  <c r="D13" i="17"/>
  <c r="D12" i="17"/>
  <c r="D10" i="17"/>
  <c r="D9" i="17"/>
  <c r="D8" i="17"/>
  <c r="D7" i="17"/>
  <c r="D5" i="17"/>
  <c r="D4" i="17"/>
  <c r="N3" i="17"/>
  <c r="N2" i="17" s="1"/>
  <c r="D3" i="17"/>
  <c r="A3" i="17"/>
  <c r="W2" i="17"/>
  <c r="V2" i="17"/>
  <c r="K3" i="17" s="1"/>
  <c r="L2" i="17"/>
  <c r="G2" i="17"/>
  <c r="F2" i="17"/>
  <c r="H2" i="17" s="1"/>
  <c r="C200" i="18"/>
  <c r="C193" i="18"/>
  <c r="C186" i="18"/>
  <c r="K183" i="18"/>
  <c r="C172" i="18"/>
  <c r="C165" i="18"/>
  <c r="C158" i="18"/>
  <c r="C156" i="18"/>
  <c r="C155" i="18"/>
  <c r="C154" i="18"/>
  <c r="K153" i="18"/>
  <c r="L152" i="18"/>
  <c r="C151" i="18"/>
  <c r="C144" i="18"/>
  <c r="C137" i="18"/>
  <c r="C130" i="18"/>
  <c r="C123" i="18"/>
  <c r="K122" i="18"/>
  <c r="E121" i="18"/>
  <c r="E120" i="18"/>
  <c r="E119" i="18"/>
  <c r="E118" i="18"/>
  <c r="C116" i="18"/>
  <c r="E114" i="18"/>
  <c r="E113" i="18"/>
  <c r="E112" i="18"/>
  <c r="E111" i="18"/>
  <c r="C109" i="18"/>
  <c r="E107" i="18"/>
  <c r="E106" i="18"/>
  <c r="E105" i="18"/>
  <c r="E104" i="18"/>
  <c r="C102" i="18"/>
  <c r="E101" i="18"/>
  <c r="E100" i="18"/>
  <c r="E99" i="18"/>
  <c r="E98" i="18"/>
  <c r="C95" i="18"/>
  <c r="E93" i="18"/>
  <c r="K92" i="18"/>
  <c r="E92" i="18"/>
  <c r="E91" i="18"/>
  <c r="C88" i="18"/>
  <c r="C81" i="18"/>
  <c r="C74" i="18"/>
  <c r="C67" i="18"/>
  <c r="C60" i="18"/>
  <c r="E56" i="18"/>
  <c r="C53" i="18"/>
  <c r="C46" i="18"/>
  <c r="C39" i="18"/>
  <c r="C32" i="18"/>
  <c r="C25" i="18"/>
  <c r="D23" i="18"/>
  <c r="D22" i="18"/>
  <c r="D21" i="18"/>
  <c r="D20" i="18"/>
  <c r="C18" i="18"/>
  <c r="K15" i="18"/>
  <c r="D15" i="18"/>
  <c r="L14" i="18"/>
  <c r="D12" i="18"/>
  <c r="D11" i="18"/>
  <c r="D10" i="18"/>
  <c r="D9" i="18"/>
  <c r="L8" i="18"/>
  <c r="L7" i="18"/>
  <c r="L6" i="18"/>
  <c r="L5" i="18"/>
  <c r="L4" i="18"/>
  <c r="N3" i="18"/>
  <c r="K3" i="18" s="1"/>
  <c r="D3" i="18"/>
  <c r="S3" i="18" s="1"/>
  <c r="A3" i="18"/>
  <c r="W2" i="18"/>
  <c r="T2" i="18"/>
  <c r="U2" i="18" s="1"/>
  <c r="G2" i="18"/>
  <c r="F2" i="18"/>
  <c r="P96" i="1"/>
  <c r="N96" i="1"/>
  <c r="I96" i="1"/>
  <c r="AV64" i="4" s="1"/>
  <c r="G96" i="1"/>
  <c r="L96" i="1"/>
  <c r="E96" i="1"/>
  <c r="AS64" i="4" s="1"/>
  <c r="K96" i="1"/>
  <c r="G91" i="3" s="1"/>
  <c r="D96" i="1"/>
  <c r="E91" i="3" s="1"/>
  <c r="I86" i="6"/>
  <c r="L94" i="6"/>
  <c r="F96" i="6"/>
  <c r="F95" i="6"/>
  <c r="F94" i="6"/>
  <c r="D95" i="6"/>
  <c r="I95" i="1"/>
  <c r="AV63" i="4" s="1"/>
  <c r="P95" i="1"/>
  <c r="N95" i="1"/>
  <c r="H90" i="3" s="1"/>
  <c r="L95" i="1"/>
  <c r="K95" i="1"/>
  <c r="G95" i="1"/>
  <c r="E95" i="1"/>
  <c r="AS63" i="4" s="1"/>
  <c r="D95" i="1"/>
  <c r="P94" i="1"/>
  <c r="D94" i="6"/>
  <c r="N94" i="1"/>
  <c r="I94" i="1"/>
  <c r="AV62" i="4" s="1"/>
  <c r="G94" i="1"/>
  <c r="E94" i="1"/>
  <c r="AS62" i="4" s="1"/>
  <c r="D94" i="1"/>
  <c r="F92" i="6"/>
  <c r="F91" i="6"/>
  <c r="F90" i="6"/>
  <c r="F89" i="6"/>
  <c r="L90" i="6"/>
  <c r="L92" i="6"/>
  <c r="L91" i="6"/>
  <c r="I89" i="6"/>
  <c r="D92" i="6"/>
  <c r="P89" i="1"/>
  <c r="N89" i="1"/>
  <c r="H84" i="3" s="1"/>
  <c r="G89" i="1"/>
  <c r="I89" i="1"/>
  <c r="L89" i="1"/>
  <c r="K89" i="1"/>
  <c r="E89" i="1"/>
  <c r="D89" i="1"/>
  <c r="L90" i="1"/>
  <c r="E90" i="1"/>
  <c r="AS58" i="4" s="1"/>
  <c r="K90" i="1"/>
  <c r="D90" i="1"/>
  <c r="P90" i="1"/>
  <c r="I90" i="1"/>
  <c r="AV58" i="4" s="1"/>
  <c r="N90" i="1"/>
  <c r="G90" i="1"/>
  <c r="K91" i="1"/>
  <c r="L91" i="1"/>
  <c r="E91" i="1"/>
  <c r="AS59" i="4" s="1"/>
  <c r="D91" i="1"/>
  <c r="I91" i="1"/>
  <c r="AV59" i="4" s="1"/>
  <c r="G91" i="1"/>
  <c r="P91" i="1"/>
  <c r="N91" i="1"/>
  <c r="P92" i="1"/>
  <c r="D92" i="1"/>
  <c r="E92" i="1"/>
  <c r="L92" i="1"/>
  <c r="K92" i="1"/>
  <c r="G92" i="1"/>
  <c r="N92" i="1"/>
  <c r="I92" i="1"/>
  <c r="AV60" i="4" s="1"/>
  <c r="D90" i="6"/>
  <c r="D89" i="6"/>
  <c r="U62" i="11"/>
  <c r="U57" i="11"/>
  <c r="U56" i="11"/>
  <c r="AT60" i="4"/>
  <c r="AS60" i="4"/>
  <c r="AS57" i="4"/>
  <c r="AV57" i="4"/>
  <c r="D91" i="6"/>
  <c r="D86" i="1"/>
  <c r="E87" i="1"/>
  <c r="AS55" i="4" s="1"/>
  <c r="D87" i="1"/>
  <c r="E82" i="3" s="1"/>
  <c r="D87" i="6"/>
  <c r="F87" i="6"/>
  <c r="P86" i="1"/>
  <c r="N86" i="1"/>
  <c r="H81" i="3" s="1"/>
  <c r="G86" i="1"/>
  <c r="AT54" i="4" s="1"/>
  <c r="I86" i="1"/>
  <c r="E86" i="1"/>
  <c r="AS54" i="4" s="1"/>
  <c r="K86" i="1"/>
  <c r="D86" i="6"/>
  <c r="F86" i="6"/>
  <c r="F85" i="6"/>
  <c r="D85" i="6"/>
  <c r="D60" i="11"/>
  <c r="D63" i="11"/>
  <c r="D84" i="6"/>
  <c r="F84" i="6"/>
  <c r="I84" i="1"/>
  <c r="AV52" i="4" s="1"/>
  <c r="G84" i="1"/>
  <c r="E84" i="1"/>
  <c r="AS52" i="4" s="1"/>
  <c r="D84" i="1"/>
  <c r="E79" i="3" s="1"/>
  <c r="S62" i="11"/>
  <c r="S59" i="11"/>
  <c r="D59" i="11" s="1"/>
  <c r="C59" i="11" s="1"/>
  <c r="S58" i="11"/>
  <c r="S56" i="11"/>
  <c r="D56" i="11" s="1"/>
  <c r="C56" i="11" s="1"/>
  <c r="S57" i="11"/>
  <c r="D83" i="6"/>
  <c r="F83" i="6"/>
  <c r="M77" i="3"/>
  <c r="D82" i="6"/>
  <c r="F82" i="6"/>
  <c r="P81" i="1"/>
  <c r="I82" i="1"/>
  <c r="AV50" i="4" s="1"/>
  <c r="G82" i="1"/>
  <c r="L82" i="1"/>
  <c r="K82" i="1"/>
  <c r="E82" i="1"/>
  <c r="AS50" i="4" s="1"/>
  <c r="D82" i="1"/>
  <c r="E77" i="3" s="1"/>
  <c r="AE40" i="4"/>
  <c r="AF40" i="4"/>
  <c r="AH40" i="4"/>
  <c r="AI40" i="4"/>
  <c r="AJ40" i="4"/>
  <c r="AE41" i="4"/>
  <c r="AF41" i="4"/>
  <c r="AH41" i="4"/>
  <c r="AI41" i="4"/>
  <c r="AJ41" i="4"/>
  <c r="AE42" i="4"/>
  <c r="AF42" i="4"/>
  <c r="AH42" i="4"/>
  <c r="AI42" i="4"/>
  <c r="AJ42" i="4"/>
  <c r="AE43" i="4"/>
  <c r="AF43" i="4"/>
  <c r="AH43" i="4"/>
  <c r="AI43" i="4"/>
  <c r="AJ43" i="4"/>
  <c r="AE44" i="4"/>
  <c r="AF44" i="4"/>
  <c r="AH44" i="4"/>
  <c r="AI44" i="4"/>
  <c r="AJ44" i="4"/>
  <c r="AE45" i="4"/>
  <c r="AF45" i="4"/>
  <c r="AH45" i="4"/>
  <c r="AI45" i="4"/>
  <c r="AJ45" i="4"/>
  <c r="AE46" i="4"/>
  <c r="AF46" i="4"/>
  <c r="AH46" i="4"/>
  <c r="AI46" i="4"/>
  <c r="AJ46" i="4"/>
  <c r="AE47" i="4"/>
  <c r="AF47" i="4"/>
  <c r="AH47" i="4"/>
  <c r="AI47" i="4"/>
  <c r="AJ47" i="4"/>
  <c r="AE48" i="4"/>
  <c r="AF48" i="4"/>
  <c r="AH48" i="4"/>
  <c r="AI48" i="4"/>
  <c r="AJ48" i="4"/>
  <c r="AE49" i="4"/>
  <c r="AF49" i="4"/>
  <c r="AH49" i="4"/>
  <c r="AI49" i="4"/>
  <c r="AJ49" i="4"/>
  <c r="AE50" i="4"/>
  <c r="AF50" i="4"/>
  <c r="AH50" i="4"/>
  <c r="AI50" i="4"/>
  <c r="AJ50" i="4"/>
  <c r="AE51" i="4"/>
  <c r="AF51" i="4"/>
  <c r="AH51" i="4"/>
  <c r="AI51" i="4"/>
  <c r="AJ51" i="4"/>
  <c r="AE52" i="4"/>
  <c r="AF52" i="4"/>
  <c r="AH52" i="4"/>
  <c r="AI52" i="4"/>
  <c r="AJ52" i="4"/>
  <c r="AE53" i="4"/>
  <c r="AF53" i="4"/>
  <c r="AH53" i="4"/>
  <c r="AI53" i="4"/>
  <c r="AJ53" i="4"/>
  <c r="AE54" i="4"/>
  <c r="AF54" i="4"/>
  <c r="AH54" i="4"/>
  <c r="AI54" i="4"/>
  <c r="AJ54" i="4"/>
  <c r="AE55" i="4"/>
  <c r="AF55" i="4"/>
  <c r="AH55" i="4"/>
  <c r="AI55" i="4"/>
  <c r="AJ55" i="4"/>
  <c r="AE56" i="4"/>
  <c r="AF56" i="4"/>
  <c r="AH56" i="4"/>
  <c r="AI56" i="4"/>
  <c r="AJ56" i="4"/>
  <c r="AE57" i="4"/>
  <c r="AF57" i="4"/>
  <c r="AH57" i="4"/>
  <c r="AI57" i="4"/>
  <c r="AJ57" i="4"/>
  <c r="AE58" i="4"/>
  <c r="AF58" i="4"/>
  <c r="AH58" i="4"/>
  <c r="AI58" i="4"/>
  <c r="AJ58" i="4"/>
  <c r="AE59" i="4"/>
  <c r="AF59" i="4"/>
  <c r="AH59" i="4"/>
  <c r="AI59" i="4"/>
  <c r="AJ59" i="4"/>
  <c r="AE60" i="4"/>
  <c r="AF60" i="4"/>
  <c r="AH60" i="4"/>
  <c r="AI60" i="4"/>
  <c r="AJ60" i="4"/>
  <c r="AE61" i="4"/>
  <c r="AF61" i="4"/>
  <c r="AH61" i="4"/>
  <c r="AI61" i="4"/>
  <c r="AJ61" i="4"/>
  <c r="AE62" i="4"/>
  <c r="AF62" i="4"/>
  <c r="AH62" i="4"/>
  <c r="AI62" i="4"/>
  <c r="AJ62" i="4"/>
  <c r="AE63" i="4"/>
  <c r="AF63" i="4"/>
  <c r="AH63" i="4"/>
  <c r="AI63" i="4"/>
  <c r="AJ63" i="4"/>
  <c r="AE64" i="4"/>
  <c r="AF64" i="4"/>
  <c r="AH64" i="4"/>
  <c r="AI64" i="4"/>
  <c r="AJ64" i="4"/>
  <c r="AE65" i="4"/>
  <c r="AF65" i="4"/>
  <c r="AH65" i="4"/>
  <c r="AI65" i="4"/>
  <c r="AJ65" i="4"/>
  <c r="AE66" i="4"/>
  <c r="AF66" i="4"/>
  <c r="AH66" i="4"/>
  <c r="AI66" i="4"/>
  <c r="AJ66" i="4"/>
  <c r="AE67" i="4"/>
  <c r="AF67" i="4"/>
  <c r="AH67" i="4"/>
  <c r="AI67" i="4"/>
  <c r="AJ67" i="4"/>
  <c r="AE68" i="4"/>
  <c r="AF68" i="4"/>
  <c r="AH68" i="4"/>
  <c r="AI68" i="4"/>
  <c r="AJ68" i="4"/>
  <c r="AE69" i="4"/>
  <c r="AF69" i="4"/>
  <c r="AH69" i="4"/>
  <c r="AI69" i="4"/>
  <c r="AJ69" i="4"/>
  <c r="AE70" i="4"/>
  <c r="AF70" i="4"/>
  <c r="AH70" i="4"/>
  <c r="AI70" i="4"/>
  <c r="AJ70" i="4"/>
  <c r="AE71" i="4"/>
  <c r="AF71" i="4"/>
  <c r="AH71" i="4"/>
  <c r="AI71" i="4"/>
  <c r="AJ71" i="4"/>
  <c r="AE72" i="4"/>
  <c r="AF72" i="4"/>
  <c r="AH72" i="4"/>
  <c r="AI72" i="4"/>
  <c r="AJ72" i="4"/>
  <c r="AE73" i="4"/>
  <c r="AF73" i="4"/>
  <c r="AH73" i="4"/>
  <c r="AI73" i="4"/>
  <c r="AJ73" i="4"/>
  <c r="AE74" i="4"/>
  <c r="AF74" i="4"/>
  <c r="AH74" i="4"/>
  <c r="AI74" i="4"/>
  <c r="AJ74" i="4"/>
  <c r="AE75" i="4"/>
  <c r="AF75" i="4"/>
  <c r="AH75" i="4"/>
  <c r="AI75" i="4"/>
  <c r="AJ75" i="4"/>
  <c r="AE76" i="4"/>
  <c r="AF76" i="4"/>
  <c r="AH76" i="4"/>
  <c r="AI76" i="4"/>
  <c r="AJ76" i="4"/>
  <c r="AE77" i="4"/>
  <c r="AF77" i="4"/>
  <c r="AH77" i="4"/>
  <c r="AI77" i="4"/>
  <c r="AJ77" i="4"/>
  <c r="AE78" i="4"/>
  <c r="AF78" i="4"/>
  <c r="AH78" i="4"/>
  <c r="AI78" i="4"/>
  <c r="AJ78" i="4"/>
  <c r="AE79" i="4"/>
  <c r="AF79" i="4"/>
  <c r="AH79" i="4"/>
  <c r="AI79" i="4"/>
  <c r="AJ79" i="4"/>
  <c r="AE80" i="4"/>
  <c r="AF80" i="4"/>
  <c r="AH80" i="4"/>
  <c r="AI80" i="4"/>
  <c r="AJ80" i="4"/>
  <c r="AE81" i="4"/>
  <c r="AF81" i="4"/>
  <c r="AH81" i="4"/>
  <c r="AI81" i="4"/>
  <c r="AJ81" i="4"/>
  <c r="AE82" i="4"/>
  <c r="AF82" i="4"/>
  <c r="AH82" i="4"/>
  <c r="AI82" i="4"/>
  <c r="AJ82" i="4"/>
  <c r="AE83" i="4"/>
  <c r="AF83" i="4"/>
  <c r="AH83" i="4"/>
  <c r="AI83" i="4"/>
  <c r="AJ83" i="4"/>
  <c r="AE84" i="4"/>
  <c r="AF84" i="4"/>
  <c r="AH84" i="4"/>
  <c r="AI84" i="4"/>
  <c r="AJ84" i="4"/>
  <c r="AE85" i="4"/>
  <c r="AF85" i="4"/>
  <c r="AH85" i="4"/>
  <c r="AI85" i="4"/>
  <c r="AJ85" i="4"/>
  <c r="AE86" i="4"/>
  <c r="AF86" i="4"/>
  <c r="AH86" i="4"/>
  <c r="AI86" i="4"/>
  <c r="AJ86" i="4"/>
  <c r="AE87" i="4"/>
  <c r="AF87" i="4"/>
  <c r="AH87" i="4"/>
  <c r="AI87" i="4"/>
  <c r="AJ87" i="4"/>
  <c r="AE88" i="4"/>
  <c r="AF88" i="4"/>
  <c r="AH88" i="4"/>
  <c r="AI88" i="4"/>
  <c r="AJ88" i="4"/>
  <c r="AE89" i="4"/>
  <c r="AF89" i="4"/>
  <c r="AH89" i="4"/>
  <c r="AI89" i="4"/>
  <c r="AJ89" i="4"/>
  <c r="AE90" i="4"/>
  <c r="AF90" i="4"/>
  <c r="AH90" i="4"/>
  <c r="AI90" i="4"/>
  <c r="AJ90" i="4"/>
  <c r="AE91" i="4"/>
  <c r="AF91" i="4"/>
  <c r="AH91" i="4"/>
  <c r="AI91" i="4"/>
  <c r="AJ91" i="4"/>
  <c r="AE92" i="4"/>
  <c r="AF92" i="4"/>
  <c r="AH92" i="4"/>
  <c r="AI92" i="4"/>
  <c r="AJ92" i="4"/>
  <c r="AE93" i="4"/>
  <c r="AF93" i="4"/>
  <c r="AH93" i="4"/>
  <c r="AI93" i="4"/>
  <c r="AJ93" i="4"/>
  <c r="AE94" i="4"/>
  <c r="AF94" i="4"/>
  <c r="AH94" i="4"/>
  <c r="AI94" i="4"/>
  <c r="AJ94" i="4"/>
  <c r="AE95" i="4"/>
  <c r="AF95" i="4"/>
  <c r="AH95" i="4"/>
  <c r="AI95" i="4"/>
  <c r="AJ95" i="4"/>
  <c r="AE96" i="4"/>
  <c r="AF96" i="4"/>
  <c r="AH96" i="4"/>
  <c r="AI96" i="4"/>
  <c r="AJ96" i="4"/>
  <c r="AE97" i="4"/>
  <c r="AF97" i="4"/>
  <c r="AH97" i="4"/>
  <c r="AI97" i="4"/>
  <c r="AJ97" i="4"/>
  <c r="AE98" i="4"/>
  <c r="AF98" i="4"/>
  <c r="AH98" i="4"/>
  <c r="AI98" i="4"/>
  <c r="AJ98" i="4"/>
  <c r="AE99" i="4"/>
  <c r="AF99" i="4"/>
  <c r="AH99" i="4"/>
  <c r="AI99" i="4"/>
  <c r="AJ99" i="4"/>
  <c r="AE100" i="4"/>
  <c r="AF100" i="4"/>
  <c r="AH100" i="4"/>
  <c r="AI100" i="4"/>
  <c r="AJ100" i="4"/>
  <c r="AE101" i="4"/>
  <c r="AF101" i="4"/>
  <c r="AH101" i="4"/>
  <c r="AI101" i="4"/>
  <c r="AJ101" i="4"/>
  <c r="AE102" i="4"/>
  <c r="AF102" i="4"/>
  <c r="AH102" i="4"/>
  <c r="AI102" i="4"/>
  <c r="AJ102" i="4"/>
  <c r="AE103" i="4"/>
  <c r="AF103" i="4"/>
  <c r="AH103" i="4"/>
  <c r="AI103" i="4"/>
  <c r="AJ103" i="4"/>
  <c r="AE104" i="4"/>
  <c r="AF104" i="4"/>
  <c r="AH104" i="4"/>
  <c r="AI104" i="4"/>
  <c r="AJ104" i="4"/>
  <c r="AE105" i="4"/>
  <c r="AF105" i="4"/>
  <c r="AH105" i="4"/>
  <c r="AI105" i="4"/>
  <c r="AJ105" i="4"/>
  <c r="AE106" i="4"/>
  <c r="AF106" i="4"/>
  <c r="AH106" i="4"/>
  <c r="AI106" i="4"/>
  <c r="AJ106" i="4"/>
  <c r="AE107" i="4"/>
  <c r="AF107" i="4"/>
  <c r="AH107" i="4"/>
  <c r="AI107" i="4"/>
  <c r="AJ107" i="4"/>
  <c r="AE108" i="4"/>
  <c r="AF108" i="4"/>
  <c r="AH108" i="4"/>
  <c r="AI108" i="4"/>
  <c r="AJ108" i="4"/>
  <c r="AE109" i="4"/>
  <c r="AF109" i="4"/>
  <c r="AH109" i="4"/>
  <c r="AI109" i="4"/>
  <c r="AJ109" i="4"/>
  <c r="AE110" i="4"/>
  <c r="AF110" i="4"/>
  <c r="AH110" i="4"/>
  <c r="AI110" i="4"/>
  <c r="AJ110" i="4"/>
  <c r="AE111" i="4"/>
  <c r="AF111" i="4"/>
  <c r="AH111" i="4"/>
  <c r="AI111" i="4"/>
  <c r="AJ111" i="4"/>
  <c r="AE112" i="4"/>
  <c r="AF112" i="4"/>
  <c r="AH112" i="4"/>
  <c r="AI112" i="4"/>
  <c r="AJ112" i="4"/>
  <c r="AE113" i="4"/>
  <c r="AF113" i="4"/>
  <c r="AH113" i="4"/>
  <c r="AI113" i="4"/>
  <c r="AJ113" i="4"/>
  <c r="AE114" i="4"/>
  <c r="AF114" i="4"/>
  <c r="AH114" i="4"/>
  <c r="AI114" i="4"/>
  <c r="AJ114" i="4"/>
  <c r="AE115" i="4"/>
  <c r="AF115" i="4"/>
  <c r="AH115" i="4"/>
  <c r="AI115" i="4"/>
  <c r="AJ115" i="4"/>
  <c r="AE116" i="4"/>
  <c r="AF116" i="4"/>
  <c r="AH116" i="4"/>
  <c r="AI116" i="4"/>
  <c r="AJ116" i="4"/>
  <c r="AE117" i="4"/>
  <c r="AF117" i="4"/>
  <c r="AH117" i="4"/>
  <c r="AI117" i="4"/>
  <c r="AJ117" i="4"/>
  <c r="AE118" i="4"/>
  <c r="AF118" i="4"/>
  <c r="AH118" i="4"/>
  <c r="AI118" i="4"/>
  <c r="AJ118" i="4"/>
  <c r="AE119" i="4"/>
  <c r="AF119" i="4"/>
  <c r="AH119" i="4"/>
  <c r="AI119" i="4"/>
  <c r="AJ119" i="4"/>
  <c r="AE120" i="4"/>
  <c r="AF120" i="4"/>
  <c r="AH120" i="4"/>
  <c r="AI120" i="4"/>
  <c r="AJ120" i="4"/>
  <c r="AE121" i="4"/>
  <c r="AF121" i="4"/>
  <c r="AH121" i="4"/>
  <c r="AI121" i="4"/>
  <c r="AJ121" i="4"/>
  <c r="AE122" i="4"/>
  <c r="AF122" i="4"/>
  <c r="AH122" i="4"/>
  <c r="AI122" i="4"/>
  <c r="AJ122" i="4"/>
  <c r="AE123" i="4"/>
  <c r="AF123" i="4"/>
  <c r="AH123" i="4"/>
  <c r="AI123" i="4"/>
  <c r="AJ123" i="4"/>
  <c r="AE124" i="4"/>
  <c r="AF124" i="4"/>
  <c r="AH124" i="4"/>
  <c r="AI124" i="4"/>
  <c r="AJ124" i="4"/>
  <c r="AE125" i="4"/>
  <c r="AF125" i="4"/>
  <c r="AH125" i="4"/>
  <c r="AI125" i="4"/>
  <c r="AJ125" i="4"/>
  <c r="AE126" i="4"/>
  <c r="AF126" i="4"/>
  <c r="AH126" i="4"/>
  <c r="AI126" i="4"/>
  <c r="AJ126" i="4"/>
  <c r="AE127" i="4"/>
  <c r="AF127" i="4"/>
  <c r="AH127" i="4"/>
  <c r="AI127" i="4"/>
  <c r="AJ127" i="4"/>
  <c r="AE128" i="4"/>
  <c r="AF128" i="4"/>
  <c r="AH128" i="4"/>
  <c r="AI128" i="4"/>
  <c r="AJ128" i="4"/>
  <c r="AE129" i="4"/>
  <c r="AF129" i="4"/>
  <c r="AH129" i="4"/>
  <c r="AI129" i="4"/>
  <c r="AJ129" i="4"/>
  <c r="AE130" i="4"/>
  <c r="AF130" i="4"/>
  <c r="AH130" i="4"/>
  <c r="AI130" i="4"/>
  <c r="AJ130" i="4"/>
  <c r="AE131" i="4"/>
  <c r="AF131" i="4"/>
  <c r="AH131" i="4"/>
  <c r="AI131" i="4"/>
  <c r="AJ131" i="4"/>
  <c r="AE132" i="4"/>
  <c r="AF132" i="4"/>
  <c r="AH132" i="4"/>
  <c r="AI132" i="4"/>
  <c r="AJ132" i="4"/>
  <c r="AE133" i="4"/>
  <c r="AF133" i="4"/>
  <c r="AH133" i="4"/>
  <c r="AI133" i="4"/>
  <c r="AJ133" i="4"/>
  <c r="AE134" i="4"/>
  <c r="AF134" i="4"/>
  <c r="AH134" i="4"/>
  <c r="AI134" i="4"/>
  <c r="AJ134" i="4"/>
  <c r="AE135" i="4"/>
  <c r="AF135" i="4"/>
  <c r="AH135" i="4"/>
  <c r="AI135" i="4"/>
  <c r="AJ135" i="4"/>
  <c r="AE136" i="4"/>
  <c r="AF136" i="4"/>
  <c r="AH136" i="4"/>
  <c r="AI136" i="4"/>
  <c r="AJ136" i="4"/>
  <c r="AE137" i="4"/>
  <c r="AF137" i="4"/>
  <c r="AH137" i="4"/>
  <c r="AI137" i="4"/>
  <c r="AJ137" i="4"/>
  <c r="AE138" i="4"/>
  <c r="AF138" i="4"/>
  <c r="AH138" i="4"/>
  <c r="AI138" i="4"/>
  <c r="AJ138" i="4"/>
  <c r="AE139" i="4"/>
  <c r="AF139" i="4"/>
  <c r="AH139" i="4"/>
  <c r="AI139" i="4"/>
  <c r="AJ139" i="4"/>
  <c r="AE140" i="4"/>
  <c r="AF140" i="4"/>
  <c r="AH140" i="4"/>
  <c r="AI140" i="4"/>
  <c r="AJ140" i="4"/>
  <c r="AE141" i="4"/>
  <c r="AF141" i="4"/>
  <c r="AH141" i="4"/>
  <c r="AI141" i="4"/>
  <c r="AJ141" i="4"/>
  <c r="AE142" i="4"/>
  <c r="AF142" i="4"/>
  <c r="AH142" i="4"/>
  <c r="AI142" i="4"/>
  <c r="AJ142" i="4"/>
  <c r="AE143" i="4"/>
  <c r="AF143" i="4"/>
  <c r="AH143" i="4"/>
  <c r="AI143" i="4"/>
  <c r="AJ143" i="4"/>
  <c r="AE144" i="4"/>
  <c r="AF144" i="4"/>
  <c r="AH144" i="4"/>
  <c r="AI144" i="4"/>
  <c r="AJ144" i="4"/>
  <c r="AE145" i="4"/>
  <c r="AF145" i="4"/>
  <c r="AH145" i="4"/>
  <c r="AI145" i="4"/>
  <c r="AJ145" i="4"/>
  <c r="AE146" i="4"/>
  <c r="AF146" i="4"/>
  <c r="AH146" i="4"/>
  <c r="AI146" i="4"/>
  <c r="AJ146" i="4"/>
  <c r="AE147" i="4"/>
  <c r="AF147" i="4"/>
  <c r="AH147" i="4"/>
  <c r="AI147" i="4"/>
  <c r="AJ147" i="4"/>
  <c r="AE148" i="4"/>
  <c r="AF148" i="4"/>
  <c r="AH148" i="4"/>
  <c r="AI148" i="4"/>
  <c r="AJ148" i="4"/>
  <c r="AE149" i="4"/>
  <c r="AF149" i="4"/>
  <c r="AH149" i="4"/>
  <c r="AI149" i="4"/>
  <c r="AJ149" i="4"/>
  <c r="AE150" i="4"/>
  <c r="AF150" i="4"/>
  <c r="AH150" i="4"/>
  <c r="AI150" i="4"/>
  <c r="AJ150" i="4"/>
  <c r="AE151" i="4"/>
  <c r="AF151" i="4"/>
  <c r="AH151" i="4"/>
  <c r="AI151" i="4"/>
  <c r="AJ151" i="4"/>
  <c r="AE152" i="4"/>
  <c r="AF152" i="4"/>
  <c r="AH152" i="4"/>
  <c r="AI152" i="4"/>
  <c r="AJ152" i="4"/>
  <c r="AE153" i="4"/>
  <c r="AF153" i="4"/>
  <c r="AH153" i="4"/>
  <c r="AI153" i="4"/>
  <c r="AJ153" i="4"/>
  <c r="AE154" i="4"/>
  <c r="AF154" i="4"/>
  <c r="AH154" i="4"/>
  <c r="AI154" i="4"/>
  <c r="AJ154" i="4"/>
  <c r="AE155" i="4"/>
  <c r="AF155" i="4"/>
  <c r="AH155" i="4"/>
  <c r="AI155" i="4"/>
  <c r="AJ155" i="4"/>
  <c r="AE156" i="4"/>
  <c r="AF156" i="4"/>
  <c r="AH156" i="4"/>
  <c r="AI156" i="4"/>
  <c r="AJ156" i="4"/>
  <c r="AE157" i="4"/>
  <c r="AF157" i="4"/>
  <c r="AH157" i="4"/>
  <c r="AI157" i="4"/>
  <c r="AJ157" i="4"/>
  <c r="AE158" i="4"/>
  <c r="AF158" i="4"/>
  <c r="AH158" i="4"/>
  <c r="AI158" i="4"/>
  <c r="AJ158" i="4"/>
  <c r="AE159" i="4"/>
  <c r="AF159" i="4"/>
  <c r="AH159" i="4"/>
  <c r="AI159" i="4"/>
  <c r="AJ159" i="4"/>
  <c r="AE160" i="4"/>
  <c r="AF160" i="4"/>
  <c r="AH160" i="4"/>
  <c r="AI160" i="4"/>
  <c r="AJ160" i="4"/>
  <c r="AE161" i="4"/>
  <c r="AF161" i="4"/>
  <c r="AH161" i="4"/>
  <c r="AI161" i="4"/>
  <c r="AJ161" i="4"/>
  <c r="D81" i="6"/>
  <c r="F81" i="6"/>
  <c r="N81" i="1"/>
  <c r="I81" i="1"/>
  <c r="AV49" i="4" s="1"/>
  <c r="G81" i="1"/>
  <c r="K81" i="1"/>
  <c r="L81" i="1"/>
  <c r="E81" i="1"/>
  <c r="AS49" i="4" s="1"/>
  <c r="D81" i="1"/>
  <c r="L80" i="1"/>
  <c r="K80" i="1"/>
  <c r="E80" i="1"/>
  <c r="AS48" i="4" s="1"/>
  <c r="D80" i="1"/>
  <c r="E75" i="3" s="1"/>
  <c r="P80" i="1"/>
  <c r="H75" i="3" s="1"/>
  <c r="I80" i="1"/>
  <c r="AV48" i="4" s="1"/>
  <c r="G80" i="1"/>
  <c r="F71" i="6"/>
  <c r="P71" i="1"/>
  <c r="P69" i="1"/>
  <c r="I71" i="1"/>
  <c r="AV39" i="4" s="1"/>
  <c r="I70" i="1"/>
  <c r="AV38" i="4" s="1"/>
  <c r="I69" i="1"/>
  <c r="AV37" i="4" s="1"/>
  <c r="G72" i="1"/>
  <c r="I72" i="1"/>
  <c r="AV40" i="4" s="1"/>
  <c r="G71" i="1"/>
  <c r="AT39" i="4" s="1"/>
  <c r="F77" i="6"/>
  <c r="L79" i="1"/>
  <c r="K79" i="1"/>
  <c r="E79" i="1"/>
  <c r="AS47" i="4" s="1"/>
  <c r="D79" i="1"/>
  <c r="R59" i="11"/>
  <c r="R56" i="11"/>
  <c r="R62" i="11"/>
  <c r="R58" i="11"/>
  <c r="R57" i="11"/>
  <c r="AH4" i="4"/>
  <c r="AI4" i="4"/>
  <c r="AJ4" i="4"/>
  <c r="AH5" i="4"/>
  <c r="AI5" i="4"/>
  <c r="AJ5" i="4"/>
  <c r="AH6" i="4"/>
  <c r="AI6" i="4"/>
  <c r="AJ6" i="4"/>
  <c r="AH7" i="4"/>
  <c r="AI7" i="4"/>
  <c r="AJ7" i="4"/>
  <c r="AH8" i="4"/>
  <c r="AI8" i="4"/>
  <c r="AJ8" i="4"/>
  <c r="AH9" i="4"/>
  <c r="AI9" i="4"/>
  <c r="AJ9" i="4"/>
  <c r="AH10" i="4"/>
  <c r="AI10" i="4"/>
  <c r="AJ10" i="4"/>
  <c r="AH11" i="4"/>
  <c r="AI11" i="4"/>
  <c r="AJ11" i="4"/>
  <c r="AH12" i="4"/>
  <c r="AI12" i="4"/>
  <c r="AJ12" i="4"/>
  <c r="AH13" i="4"/>
  <c r="AI13" i="4"/>
  <c r="AJ13" i="4"/>
  <c r="AH14" i="4"/>
  <c r="AI14" i="4"/>
  <c r="AJ14" i="4"/>
  <c r="AH15" i="4"/>
  <c r="AI15" i="4"/>
  <c r="AJ15" i="4"/>
  <c r="AH16" i="4"/>
  <c r="AI16" i="4"/>
  <c r="AJ16" i="4"/>
  <c r="AH17" i="4"/>
  <c r="AI17" i="4"/>
  <c r="AJ17" i="4"/>
  <c r="AH18" i="4"/>
  <c r="AI18" i="4"/>
  <c r="AJ18" i="4"/>
  <c r="AH19" i="4"/>
  <c r="AI19" i="4"/>
  <c r="AJ19" i="4"/>
  <c r="AH20" i="4"/>
  <c r="AI20" i="4"/>
  <c r="AJ20" i="4"/>
  <c r="AH21" i="4"/>
  <c r="AI21" i="4"/>
  <c r="AJ21" i="4"/>
  <c r="AH22" i="4"/>
  <c r="AI22" i="4"/>
  <c r="AJ22" i="4"/>
  <c r="AH23" i="4"/>
  <c r="AI23" i="4"/>
  <c r="AJ23" i="4"/>
  <c r="AH24" i="4"/>
  <c r="AI24" i="4"/>
  <c r="AJ24" i="4"/>
  <c r="AH25" i="4"/>
  <c r="AI25" i="4"/>
  <c r="AJ25" i="4"/>
  <c r="AH26" i="4"/>
  <c r="AI26" i="4"/>
  <c r="AJ26" i="4"/>
  <c r="AH27" i="4"/>
  <c r="AI27" i="4"/>
  <c r="AJ27" i="4"/>
  <c r="AH28" i="4"/>
  <c r="AI28" i="4"/>
  <c r="AJ28" i="4"/>
  <c r="AH29" i="4"/>
  <c r="AI29" i="4"/>
  <c r="AJ29" i="4"/>
  <c r="AH30" i="4"/>
  <c r="AI30" i="4"/>
  <c r="AJ30" i="4"/>
  <c r="AH31" i="4"/>
  <c r="AI31" i="4"/>
  <c r="AJ31" i="4"/>
  <c r="AH32" i="4"/>
  <c r="AI32" i="4"/>
  <c r="AJ32" i="4"/>
  <c r="AH33" i="4"/>
  <c r="AI33" i="4"/>
  <c r="AJ33" i="4"/>
  <c r="AH34" i="4"/>
  <c r="AI34" i="4"/>
  <c r="AJ34" i="4"/>
  <c r="AH35" i="4"/>
  <c r="AI35" i="4"/>
  <c r="AJ35" i="4"/>
  <c r="AH36" i="4"/>
  <c r="AI36" i="4"/>
  <c r="AJ36" i="4"/>
  <c r="AH37" i="4"/>
  <c r="AI37" i="4"/>
  <c r="AJ37" i="4"/>
  <c r="AH38" i="4"/>
  <c r="AI38" i="4"/>
  <c r="AJ38" i="4"/>
  <c r="AH39" i="4"/>
  <c r="AI39" i="4"/>
  <c r="AJ39" i="4"/>
  <c r="AI3" i="4"/>
  <c r="AJ3" i="4"/>
  <c r="AH3" i="4"/>
  <c r="AE4" i="4"/>
  <c r="AF4" i="4"/>
  <c r="AE5" i="4"/>
  <c r="AF5" i="4"/>
  <c r="AE6" i="4"/>
  <c r="AF6" i="4"/>
  <c r="AE7" i="4"/>
  <c r="AF7" i="4"/>
  <c r="AE8" i="4"/>
  <c r="AF8" i="4"/>
  <c r="AE9" i="4"/>
  <c r="AF9" i="4"/>
  <c r="AE10" i="4"/>
  <c r="AF10" i="4"/>
  <c r="AE11" i="4"/>
  <c r="AF11" i="4"/>
  <c r="AE12" i="4"/>
  <c r="AF12" i="4"/>
  <c r="AE13" i="4"/>
  <c r="AF13" i="4"/>
  <c r="AE14" i="4"/>
  <c r="AF14" i="4"/>
  <c r="AE15" i="4"/>
  <c r="AF15" i="4"/>
  <c r="AE16" i="4"/>
  <c r="AF16" i="4"/>
  <c r="AE17" i="4"/>
  <c r="AF17" i="4"/>
  <c r="AE18" i="4"/>
  <c r="AF18" i="4"/>
  <c r="AE19" i="4"/>
  <c r="AF19" i="4"/>
  <c r="AE20" i="4"/>
  <c r="AF20" i="4"/>
  <c r="AE21" i="4"/>
  <c r="AF21" i="4"/>
  <c r="AE22" i="4"/>
  <c r="AF22" i="4"/>
  <c r="AE23" i="4"/>
  <c r="AF23" i="4"/>
  <c r="AE24" i="4"/>
  <c r="AF24" i="4"/>
  <c r="AE25" i="4"/>
  <c r="AF25" i="4"/>
  <c r="AE26" i="4"/>
  <c r="AF26" i="4"/>
  <c r="AE27" i="4"/>
  <c r="AF27" i="4"/>
  <c r="AE28" i="4"/>
  <c r="AF28" i="4"/>
  <c r="AE29" i="4"/>
  <c r="AF29" i="4"/>
  <c r="AE30" i="4"/>
  <c r="AF30" i="4"/>
  <c r="AE31" i="4"/>
  <c r="AF31" i="4"/>
  <c r="AE32" i="4"/>
  <c r="AF32" i="4"/>
  <c r="AE33" i="4"/>
  <c r="AF33" i="4"/>
  <c r="AE34" i="4"/>
  <c r="AF34" i="4"/>
  <c r="AE35" i="4"/>
  <c r="AF35" i="4"/>
  <c r="AE36" i="4"/>
  <c r="AF36" i="4"/>
  <c r="AE37" i="4"/>
  <c r="AF37" i="4"/>
  <c r="AE38" i="4"/>
  <c r="AF38" i="4"/>
  <c r="AE39" i="4"/>
  <c r="AF39" i="4"/>
  <c r="AF3" i="4"/>
  <c r="AE3" i="4"/>
  <c r="D74" i="6"/>
  <c r="K69" i="1"/>
  <c r="G64" i="3" s="1"/>
  <c r="F72" i="6"/>
  <c r="N72" i="1"/>
  <c r="H67" i="3" s="1"/>
  <c r="E72" i="1"/>
  <c r="AS40" i="4" s="1"/>
  <c r="D72" i="1"/>
  <c r="E67" i="3" s="1"/>
  <c r="W16" i="3"/>
  <c r="AT4" i="4"/>
  <c r="AV4" i="4"/>
  <c r="AT5" i="4"/>
  <c r="AV5" i="4"/>
  <c r="AV6" i="4"/>
  <c r="AT7" i="4"/>
  <c r="AU7" i="4"/>
  <c r="AV7" i="4"/>
  <c r="AT8" i="4"/>
  <c r="AU8" i="4"/>
  <c r="AV8" i="4"/>
  <c r="AT9" i="4"/>
  <c r="AU9" i="4"/>
  <c r="AV9" i="4"/>
  <c r="AT10" i="4"/>
  <c r="AV10" i="4"/>
  <c r="AT11" i="4"/>
  <c r="AU11" i="4"/>
  <c r="AV11" i="4"/>
  <c r="AT12" i="4"/>
  <c r="AU12" i="4"/>
  <c r="AV12" i="4"/>
  <c r="AT13" i="4"/>
  <c r="AU13" i="4"/>
  <c r="AV13" i="4"/>
  <c r="AT14" i="4"/>
  <c r="AU14" i="4"/>
  <c r="AV14" i="4"/>
  <c r="AT15" i="4"/>
  <c r="AV15" i="4"/>
  <c r="AT16" i="4"/>
  <c r="AU16" i="4"/>
  <c r="AV16" i="4"/>
  <c r="AT17" i="4"/>
  <c r="AU17" i="4"/>
  <c r="AV17" i="4"/>
  <c r="AT18" i="4"/>
  <c r="AU18" i="4"/>
  <c r="AV18" i="4"/>
  <c r="AT19" i="4"/>
  <c r="AU19" i="4"/>
  <c r="AV19" i="4"/>
  <c r="AT20" i="4"/>
  <c r="AU20" i="4"/>
  <c r="AV20" i="4"/>
  <c r="AT21" i="4"/>
  <c r="AU21" i="4"/>
  <c r="AV21" i="4"/>
  <c r="AT22" i="4"/>
  <c r="AU22" i="4"/>
  <c r="AV22" i="4"/>
  <c r="AT23" i="4"/>
  <c r="AU23" i="4"/>
  <c r="AV23" i="4"/>
  <c r="AT24" i="4"/>
  <c r="AV24" i="4"/>
  <c r="AT25" i="4"/>
  <c r="AV25" i="4"/>
  <c r="AT26" i="4"/>
  <c r="AU26" i="4"/>
  <c r="AV26" i="4"/>
  <c r="AT27" i="4"/>
  <c r="AV27" i="4"/>
  <c r="AT28" i="4"/>
  <c r="AV28" i="4"/>
  <c r="AU29" i="4"/>
  <c r="AV29" i="4"/>
  <c r="AU30" i="4"/>
  <c r="AV30" i="4"/>
  <c r="AT31" i="4"/>
  <c r="AU31" i="4"/>
  <c r="AV31" i="4"/>
  <c r="AV32" i="4"/>
  <c r="AV33" i="4"/>
  <c r="AT34" i="4"/>
  <c r="AV34" i="4"/>
  <c r="AV35" i="4"/>
  <c r="AT36" i="4"/>
  <c r="AU36" i="4"/>
  <c r="AV36" i="4"/>
  <c r="AU40" i="4"/>
  <c r="AT41" i="4"/>
  <c r="AU41" i="4"/>
  <c r="AV41" i="4"/>
  <c r="AT42" i="4"/>
  <c r="AU42" i="4"/>
  <c r="AV42" i="4"/>
  <c r="AT43" i="4"/>
  <c r="AU43" i="4"/>
  <c r="AV43" i="4"/>
  <c r="AT44" i="4"/>
  <c r="AU44" i="4"/>
  <c r="AV44" i="4"/>
  <c r="AT45" i="4"/>
  <c r="AU45" i="4"/>
  <c r="AV45" i="4"/>
  <c r="AT46" i="4"/>
  <c r="AU46" i="4"/>
  <c r="AV46" i="4"/>
  <c r="AT47" i="4"/>
  <c r="AU47" i="4"/>
  <c r="AV47" i="4"/>
  <c r="AU48" i="4"/>
  <c r="AU49" i="4"/>
  <c r="AU50" i="4"/>
  <c r="AT51" i="4"/>
  <c r="AU51" i="4"/>
  <c r="AV51" i="4"/>
  <c r="AU52" i="4"/>
  <c r="AT53" i="4"/>
  <c r="AU53" i="4"/>
  <c r="AV53" i="4"/>
  <c r="AU54" i="4"/>
  <c r="AT55" i="4"/>
  <c r="AU55" i="4"/>
  <c r="AV55" i="4"/>
  <c r="AT56" i="4"/>
  <c r="AU56" i="4"/>
  <c r="AV56" i="4"/>
  <c r="AU57" i="4"/>
  <c r="AU58" i="4"/>
  <c r="AU59" i="4"/>
  <c r="AU60" i="4"/>
  <c r="AT61" i="4"/>
  <c r="AU61" i="4"/>
  <c r="AV61" i="4"/>
  <c r="AU62" i="4"/>
  <c r="AU63" i="4"/>
  <c r="AU64" i="4"/>
  <c r="AT65" i="4"/>
  <c r="AU65" i="4"/>
  <c r="AV65" i="4"/>
  <c r="AT66" i="4"/>
  <c r="AU66" i="4"/>
  <c r="AV66" i="4"/>
  <c r="AU67" i="4"/>
  <c r="AU68" i="4"/>
  <c r="AV68" i="4"/>
  <c r="AT69" i="4"/>
  <c r="AU69" i="4"/>
  <c r="AV69" i="4"/>
  <c r="AT70" i="4"/>
  <c r="AU70" i="4"/>
  <c r="AV70" i="4"/>
  <c r="AT71" i="4"/>
  <c r="AU71" i="4"/>
  <c r="AV71" i="4"/>
  <c r="AV74" i="4"/>
  <c r="AU75" i="4"/>
  <c r="AV75" i="4"/>
  <c r="AT76" i="4"/>
  <c r="AU76" i="4"/>
  <c r="AV76" i="4"/>
  <c r="AV77" i="4"/>
  <c r="AU79" i="4"/>
  <c r="AV79" i="4"/>
  <c r="AT80" i="4"/>
  <c r="AU80" i="4"/>
  <c r="AV80" i="4"/>
  <c r="AT81" i="4"/>
  <c r="AU81" i="4"/>
  <c r="AV81" i="4"/>
  <c r="AT82" i="4"/>
  <c r="AU82" i="4"/>
  <c r="AV82" i="4"/>
  <c r="AT83" i="4"/>
  <c r="AU83" i="4"/>
  <c r="AV83" i="4"/>
  <c r="AT84" i="4"/>
  <c r="AU84" i="4"/>
  <c r="AV84" i="4"/>
  <c r="AT85" i="4"/>
  <c r="AU85" i="4"/>
  <c r="AV85" i="4"/>
  <c r="AT86" i="4"/>
  <c r="AU86" i="4"/>
  <c r="AV86" i="4"/>
  <c r="AT87" i="4"/>
  <c r="AU87" i="4"/>
  <c r="AV87" i="4"/>
  <c r="AT88" i="4"/>
  <c r="AU88" i="4"/>
  <c r="AV88" i="4"/>
  <c r="AT89" i="4"/>
  <c r="AU89" i="4"/>
  <c r="AV89" i="4"/>
  <c r="AT90" i="4"/>
  <c r="AU90" i="4"/>
  <c r="AV90" i="4"/>
  <c r="AT91" i="4"/>
  <c r="AU91" i="4"/>
  <c r="AV91" i="4"/>
  <c r="AT92" i="4"/>
  <c r="AU92" i="4"/>
  <c r="AV92" i="4"/>
  <c r="AT93" i="4"/>
  <c r="AU93" i="4"/>
  <c r="AV93" i="4"/>
  <c r="AT94" i="4"/>
  <c r="AU94" i="4"/>
  <c r="AV94" i="4"/>
  <c r="AT95" i="4"/>
  <c r="AU95" i="4"/>
  <c r="AV95" i="4"/>
  <c r="AT96" i="4"/>
  <c r="AU96" i="4"/>
  <c r="AV96" i="4"/>
  <c r="AT97" i="4"/>
  <c r="AU97" i="4"/>
  <c r="AV97" i="4"/>
  <c r="AT98" i="4"/>
  <c r="AU98" i="4"/>
  <c r="AV98" i="4"/>
  <c r="AT99" i="4"/>
  <c r="AU99" i="4"/>
  <c r="AV99" i="4"/>
  <c r="AT100" i="4"/>
  <c r="AU100" i="4"/>
  <c r="AV100" i="4"/>
  <c r="AT101" i="4"/>
  <c r="AU101" i="4"/>
  <c r="AV101" i="4"/>
  <c r="AT102" i="4"/>
  <c r="AU102" i="4"/>
  <c r="AV102" i="4"/>
  <c r="AT103" i="4"/>
  <c r="AU103" i="4"/>
  <c r="AV103" i="4"/>
  <c r="AT104" i="4"/>
  <c r="AU104" i="4"/>
  <c r="AV104" i="4"/>
  <c r="AT105" i="4"/>
  <c r="AU105" i="4"/>
  <c r="AV105" i="4"/>
  <c r="AT106" i="4"/>
  <c r="AU106" i="4"/>
  <c r="AV106" i="4"/>
  <c r="AT107" i="4"/>
  <c r="AU107" i="4"/>
  <c r="AV107" i="4"/>
  <c r="AT108" i="4"/>
  <c r="AU108" i="4"/>
  <c r="AV108" i="4"/>
  <c r="AT109" i="4"/>
  <c r="AU109" i="4"/>
  <c r="AV109" i="4"/>
  <c r="AT110" i="4"/>
  <c r="AU110" i="4"/>
  <c r="AV110" i="4"/>
  <c r="AT111" i="4"/>
  <c r="AU111" i="4"/>
  <c r="AV111" i="4"/>
  <c r="AT112" i="4"/>
  <c r="AU112" i="4"/>
  <c r="AV112" i="4"/>
  <c r="AT113" i="4"/>
  <c r="AU113" i="4"/>
  <c r="AV113" i="4"/>
  <c r="AT114" i="4"/>
  <c r="AU114" i="4"/>
  <c r="AV114" i="4"/>
  <c r="AT115" i="4"/>
  <c r="AU115" i="4"/>
  <c r="AV115" i="4"/>
  <c r="AT116" i="4"/>
  <c r="AU116" i="4"/>
  <c r="AV116" i="4"/>
  <c r="AT117" i="4"/>
  <c r="AU117" i="4"/>
  <c r="AV117" i="4"/>
  <c r="AT118" i="4"/>
  <c r="AU118" i="4"/>
  <c r="AV118" i="4"/>
  <c r="AT119" i="4"/>
  <c r="AU119" i="4"/>
  <c r="AV119" i="4"/>
  <c r="AT120" i="4"/>
  <c r="AU120" i="4"/>
  <c r="AV120" i="4"/>
  <c r="AT121" i="4"/>
  <c r="AU121" i="4"/>
  <c r="AV121" i="4"/>
  <c r="AT122" i="4"/>
  <c r="AU122" i="4"/>
  <c r="AV122" i="4"/>
  <c r="AT123" i="4"/>
  <c r="AU123" i="4"/>
  <c r="AV123" i="4"/>
  <c r="AT124" i="4"/>
  <c r="AU124" i="4"/>
  <c r="AV124" i="4"/>
  <c r="AT125" i="4"/>
  <c r="AU125" i="4"/>
  <c r="AV125" i="4"/>
  <c r="AT126" i="4"/>
  <c r="AU126" i="4"/>
  <c r="AV126" i="4"/>
  <c r="AT127" i="4"/>
  <c r="AU127" i="4"/>
  <c r="AV127" i="4"/>
  <c r="AT128" i="4"/>
  <c r="AU128" i="4"/>
  <c r="AV128" i="4"/>
  <c r="AT129" i="4"/>
  <c r="AU129" i="4"/>
  <c r="AV129" i="4"/>
  <c r="AT130" i="4"/>
  <c r="AU130" i="4"/>
  <c r="AV130" i="4"/>
  <c r="AT131" i="4"/>
  <c r="AU131" i="4"/>
  <c r="AV131" i="4"/>
  <c r="AT132" i="4"/>
  <c r="AU132" i="4"/>
  <c r="AV132" i="4"/>
  <c r="AT133" i="4"/>
  <c r="AU133" i="4"/>
  <c r="AV133" i="4"/>
  <c r="AT134" i="4"/>
  <c r="AU134" i="4"/>
  <c r="AV134" i="4"/>
  <c r="AT135" i="4"/>
  <c r="AU135" i="4"/>
  <c r="AV135" i="4"/>
  <c r="AT136" i="4"/>
  <c r="AU136" i="4"/>
  <c r="AV136" i="4"/>
  <c r="AT137" i="4"/>
  <c r="AU137" i="4"/>
  <c r="AV137" i="4"/>
  <c r="AT138" i="4"/>
  <c r="AU138" i="4"/>
  <c r="AV138" i="4"/>
  <c r="AT139" i="4"/>
  <c r="AU139" i="4"/>
  <c r="AV139" i="4"/>
  <c r="AT140" i="4"/>
  <c r="AU140" i="4"/>
  <c r="AV140" i="4"/>
  <c r="AT141" i="4"/>
  <c r="AU141" i="4"/>
  <c r="AV141" i="4"/>
  <c r="AT142" i="4"/>
  <c r="AU142" i="4"/>
  <c r="AV142" i="4"/>
  <c r="AT143" i="4"/>
  <c r="AU143" i="4"/>
  <c r="AV143" i="4"/>
  <c r="AT144" i="4"/>
  <c r="AU144" i="4"/>
  <c r="AV144" i="4"/>
  <c r="AT145" i="4"/>
  <c r="AU145" i="4"/>
  <c r="AV145" i="4"/>
  <c r="AT146" i="4"/>
  <c r="AU146" i="4"/>
  <c r="AV146" i="4"/>
  <c r="AT147" i="4"/>
  <c r="AU147" i="4"/>
  <c r="AV147" i="4"/>
  <c r="AT148" i="4"/>
  <c r="AU148" i="4"/>
  <c r="AV148" i="4"/>
  <c r="AT149" i="4"/>
  <c r="AU149" i="4"/>
  <c r="AV149" i="4"/>
  <c r="AT150" i="4"/>
  <c r="AU150" i="4"/>
  <c r="AV150" i="4"/>
  <c r="AT151" i="4"/>
  <c r="AU151" i="4"/>
  <c r="AV151" i="4"/>
  <c r="AT152" i="4"/>
  <c r="AU152" i="4"/>
  <c r="AV152" i="4"/>
  <c r="AT153" i="4"/>
  <c r="AU153" i="4"/>
  <c r="AV153" i="4"/>
  <c r="AT154" i="4"/>
  <c r="AU154" i="4"/>
  <c r="AV154" i="4"/>
  <c r="AT155" i="4"/>
  <c r="AU155" i="4"/>
  <c r="AV155" i="4"/>
  <c r="AT156" i="4"/>
  <c r="AU156" i="4"/>
  <c r="AV156" i="4"/>
  <c r="AT157" i="4"/>
  <c r="AU157" i="4"/>
  <c r="AV157" i="4"/>
  <c r="AT158" i="4"/>
  <c r="AU158" i="4"/>
  <c r="AV158" i="4"/>
  <c r="AT159" i="4"/>
  <c r="AU159" i="4"/>
  <c r="AV159" i="4"/>
  <c r="AT160" i="4"/>
  <c r="AU160" i="4"/>
  <c r="AV160" i="4"/>
  <c r="AT161" i="4"/>
  <c r="AU161" i="4"/>
  <c r="AV161" i="4"/>
  <c r="AV3" i="4"/>
  <c r="AT3" i="4"/>
  <c r="AR7" i="4"/>
  <c r="AS7" i="4"/>
  <c r="AR9" i="4"/>
  <c r="AS9" i="4"/>
  <c r="AR10" i="4"/>
  <c r="AS10" i="4"/>
  <c r="AR12" i="4"/>
  <c r="AS12" i="4"/>
  <c r="AR13" i="4"/>
  <c r="AS13" i="4"/>
  <c r="AR14" i="4"/>
  <c r="AR16" i="4"/>
  <c r="AS16" i="4"/>
  <c r="AR17" i="4"/>
  <c r="AS17" i="4"/>
  <c r="AR18" i="4"/>
  <c r="AS18" i="4"/>
  <c r="AS19" i="4"/>
  <c r="AR20" i="4"/>
  <c r="AS20" i="4"/>
  <c r="AR21" i="4"/>
  <c r="AS21" i="4"/>
  <c r="AS22" i="4"/>
  <c r="AR26" i="4"/>
  <c r="AS26" i="4"/>
  <c r="AS28" i="4"/>
  <c r="AR31" i="4"/>
  <c r="AS31" i="4"/>
  <c r="AR36" i="4"/>
  <c r="AS36" i="4"/>
  <c r="AR38" i="4"/>
  <c r="AS38" i="4"/>
  <c r="AR41" i="4"/>
  <c r="AS41" i="4"/>
  <c r="AR42" i="4"/>
  <c r="AS42" i="4"/>
  <c r="AR43" i="4"/>
  <c r="AS43" i="4"/>
  <c r="AR44" i="4"/>
  <c r="AS44" i="4"/>
  <c r="AR45" i="4"/>
  <c r="AS45" i="4"/>
  <c r="AR46" i="4"/>
  <c r="AS46" i="4"/>
  <c r="AR51" i="4"/>
  <c r="AS51" i="4"/>
  <c r="AR53" i="4"/>
  <c r="AS53" i="4"/>
  <c r="AR56" i="4"/>
  <c r="AS56" i="4"/>
  <c r="AR61" i="4"/>
  <c r="AS61" i="4"/>
  <c r="AR65" i="4"/>
  <c r="AS65" i="4"/>
  <c r="AR66" i="4"/>
  <c r="AS66" i="4"/>
  <c r="AR67" i="4"/>
  <c r="AS67" i="4"/>
  <c r="AR69" i="4"/>
  <c r="AS69" i="4"/>
  <c r="AR70" i="4"/>
  <c r="AS70" i="4"/>
  <c r="AR71" i="4"/>
  <c r="AS71" i="4"/>
  <c r="AR72" i="4"/>
  <c r="AS72" i="4"/>
  <c r="AR76" i="4"/>
  <c r="AS76" i="4"/>
  <c r="AR81" i="4"/>
  <c r="AS81" i="4"/>
  <c r="AR82" i="4"/>
  <c r="AS82" i="4"/>
  <c r="AR83" i="4"/>
  <c r="AS83" i="4"/>
  <c r="AR84" i="4"/>
  <c r="AS84" i="4"/>
  <c r="AR85" i="4"/>
  <c r="AS85" i="4"/>
  <c r="AR86" i="4"/>
  <c r="AS86" i="4"/>
  <c r="AR87" i="4"/>
  <c r="AS87" i="4"/>
  <c r="AR88" i="4"/>
  <c r="AS88" i="4"/>
  <c r="AR89" i="4"/>
  <c r="AS89" i="4"/>
  <c r="AR90" i="4"/>
  <c r="AS90" i="4"/>
  <c r="AR91" i="4"/>
  <c r="AS91" i="4"/>
  <c r="AR92" i="4"/>
  <c r="AS92" i="4"/>
  <c r="AR93" i="4"/>
  <c r="AS93" i="4"/>
  <c r="AR94" i="4"/>
  <c r="AS94" i="4"/>
  <c r="AR95" i="4"/>
  <c r="AS95" i="4"/>
  <c r="AR96" i="4"/>
  <c r="AS96" i="4"/>
  <c r="AR97" i="4"/>
  <c r="AS97" i="4"/>
  <c r="AR98" i="4"/>
  <c r="AS98" i="4"/>
  <c r="AR99" i="4"/>
  <c r="AS99" i="4"/>
  <c r="AR100" i="4"/>
  <c r="AS100" i="4"/>
  <c r="AR101" i="4"/>
  <c r="AS101" i="4"/>
  <c r="AR102" i="4"/>
  <c r="AS102" i="4"/>
  <c r="AR103" i="4"/>
  <c r="AS103" i="4"/>
  <c r="AR104" i="4"/>
  <c r="AS104" i="4"/>
  <c r="AR105" i="4"/>
  <c r="AS105" i="4"/>
  <c r="AR106" i="4"/>
  <c r="AS106" i="4"/>
  <c r="AR107" i="4"/>
  <c r="AS107" i="4"/>
  <c r="AR108" i="4"/>
  <c r="AS108" i="4"/>
  <c r="AR109" i="4"/>
  <c r="AS109" i="4"/>
  <c r="AR110" i="4"/>
  <c r="AS110" i="4"/>
  <c r="AR111" i="4"/>
  <c r="AS111" i="4"/>
  <c r="AR112" i="4"/>
  <c r="AS112" i="4"/>
  <c r="AR113" i="4"/>
  <c r="AS113" i="4"/>
  <c r="AR114" i="4"/>
  <c r="AS114" i="4"/>
  <c r="AR115" i="4"/>
  <c r="AS115" i="4"/>
  <c r="AR116" i="4"/>
  <c r="AS116" i="4"/>
  <c r="AR117" i="4"/>
  <c r="AS117" i="4"/>
  <c r="AR118" i="4"/>
  <c r="AS118" i="4"/>
  <c r="AR119" i="4"/>
  <c r="AS119" i="4"/>
  <c r="AR120" i="4"/>
  <c r="AS120" i="4"/>
  <c r="AR121" i="4"/>
  <c r="AS121" i="4"/>
  <c r="AR122" i="4"/>
  <c r="AS122" i="4"/>
  <c r="AR123" i="4"/>
  <c r="AS123" i="4"/>
  <c r="AR124" i="4"/>
  <c r="AS124" i="4"/>
  <c r="AR125" i="4"/>
  <c r="AS125" i="4"/>
  <c r="AR126" i="4"/>
  <c r="AS126" i="4"/>
  <c r="AR127" i="4"/>
  <c r="AS127" i="4"/>
  <c r="AR128" i="4"/>
  <c r="AS128" i="4"/>
  <c r="AR129" i="4"/>
  <c r="AS129" i="4"/>
  <c r="AR130" i="4"/>
  <c r="AS130" i="4"/>
  <c r="AR131" i="4"/>
  <c r="AS131" i="4"/>
  <c r="AR132" i="4"/>
  <c r="AS132" i="4"/>
  <c r="AR133" i="4"/>
  <c r="AS133" i="4"/>
  <c r="AR134" i="4"/>
  <c r="AS134" i="4"/>
  <c r="AR135" i="4"/>
  <c r="AS135" i="4"/>
  <c r="AR136" i="4"/>
  <c r="AS136" i="4"/>
  <c r="AR137" i="4"/>
  <c r="AS137" i="4"/>
  <c r="AR138" i="4"/>
  <c r="AS138" i="4"/>
  <c r="AR139" i="4"/>
  <c r="AS139" i="4"/>
  <c r="AR140" i="4"/>
  <c r="AS140" i="4"/>
  <c r="AR141" i="4"/>
  <c r="AS141" i="4"/>
  <c r="AR142" i="4"/>
  <c r="AS142" i="4"/>
  <c r="AR143" i="4"/>
  <c r="AS143" i="4"/>
  <c r="AR144" i="4"/>
  <c r="AS144" i="4"/>
  <c r="AR145" i="4"/>
  <c r="AS145" i="4"/>
  <c r="AR146" i="4"/>
  <c r="AS146" i="4"/>
  <c r="AR147" i="4"/>
  <c r="AS147" i="4"/>
  <c r="AR148" i="4"/>
  <c r="AS148" i="4"/>
  <c r="AR149" i="4"/>
  <c r="AS149" i="4"/>
  <c r="AR150" i="4"/>
  <c r="AS150" i="4"/>
  <c r="AR151" i="4"/>
  <c r="AS151" i="4"/>
  <c r="AR152" i="4"/>
  <c r="AS152" i="4"/>
  <c r="AR153" i="4"/>
  <c r="AS153" i="4"/>
  <c r="AR154" i="4"/>
  <c r="AS154" i="4"/>
  <c r="AR155" i="4"/>
  <c r="AS155" i="4"/>
  <c r="AR156" i="4"/>
  <c r="AS156" i="4"/>
  <c r="AR157" i="4"/>
  <c r="AS157" i="4"/>
  <c r="AR158" i="4"/>
  <c r="AS158" i="4"/>
  <c r="AR159" i="4"/>
  <c r="AS159" i="4"/>
  <c r="AR160" i="4"/>
  <c r="AS160" i="4"/>
  <c r="AR161" i="4"/>
  <c r="AS161" i="4"/>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3" i="3"/>
  <c r="H34" i="3"/>
  <c r="H35" i="3"/>
  <c r="H36" i="3"/>
  <c r="H37" i="3"/>
  <c r="H38" i="3"/>
  <c r="H39" i="3"/>
  <c r="H40" i="3"/>
  <c r="H41" i="3"/>
  <c r="H43" i="3"/>
  <c r="H44" i="3"/>
  <c r="H45" i="3"/>
  <c r="H46" i="3"/>
  <c r="H47" i="3"/>
  <c r="H48" i="3"/>
  <c r="H49" i="3"/>
  <c r="H50" i="3"/>
  <c r="H51" i="3"/>
  <c r="H52" i="3"/>
  <c r="H53" i="3"/>
  <c r="H54" i="3"/>
  <c r="H55" i="3"/>
  <c r="H57" i="3"/>
  <c r="H58" i="3"/>
  <c r="H59" i="3"/>
  <c r="H62" i="3"/>
  <c r="H63" i="3"/>
  <c r="H65" i="3"/>
  <c r="H68" i="3"/>
  <c r="H69" i="3"/>
  <c r="H70" i="3"/>
  <c r="H71" i="3"/>
  <c r="H72" i="3"/>
  <c r="H73" i="3"/>
  <c r="H74" i="3"/>
  <c r="H77" i="3"/>
  <c r="H78" i="3"/>
  <c r="H79" i="3"/>
  <c r="H80" i="3"/>
  <c r="H82" i="3"/>
  <c r="H83" i="3"/>
  <c r="H88" i="3"/>
  <c r="H92" i="3"/>
  <c r="H93" i="3"/>
  <c r="H95" i="3"/>
  <c r="H96" i="3"/>
  <c r="H97" i="3"/>
  <c r="H98" i="3"/>
  <c r="H101" i="3"/>
  <c r="H102" i="3"/>
  <c r="H103" i="3"/>
  <c r="H106" i="3"/>
  <c r="H107" i="3"/>
  <c r="H108" i="3"/>
  <c r="H110" i="3"/>
  <c r="H111"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G3" i="3"/>
  <c r="G4" i="3"/>
  <c r="G5" i="3"/>
  <c r="G6" i="3"/>
  <c r="G7" i="3"/>
  <c r="G8" i="3"/>
  <c r="G9" i="3"/>
  <c r="G10" i="3"/>
  <c r="G11" i="3"/>
  <c r="G12" i="3"/>
  <c r="G13" i="3"/>
  <c r="G16" i="3"/>
  <c r="G17" i="3"/>
  <c r="G18" i="3"/>
  <c r="G19" i="3"/>
  <c r="G21" i="3"/>
  <c r="G23" i="3"/>
  <c r="G24" i="3"/>
  <c r="G25" i="3"/>
  <c r="G26" i="3"/>
  <c r="G27" i="3"/>
  <c r="G28" i="3"/>
  <c r="G29" i="3"/>
  <c r="G30" i="3"/>
  <c r="G31" i="3"/>
  <c r="G32" i="3"/>
  <c r="G33" i="3"/>
  <c r="G34" i="3"/>
  <c r="G35" i="3"/>
  <c r="G36" i="3"/>
  <c r="G37" i="3"/>
  <c r="G38" i="3"/>
  <c r="G39" i="3"/>
  <c r="G40" i="3"/>
  <c r="G41" i="3"/>
  <c r="G42" i="3"/>
  <c r="G43" i="3"/>
  <c r="G44" i="3"/>
  <c r="G45" i="3"/>
  <c r="G47" i="3"/>
  <c r="G48" i="3"/>
  <c r="G49" i="3"/>
  <c r="G50" i="3"/>
  <c r="G52" i="3"/>
  <c r="G53" i="3"/>
  <c r="G54" i="3"/>
  <c r="G55" i="3"/>
  <c r="G56" i="3"/>
  <c r="G57" i="3"/>
  <c r="G58" i="3"/>
  <c r="G60" i="3"/>
  <c r="G62" i="3"/>
  <c r="G63" i="3"/>
  <c r="G65" i="3"/>
  <c r="G67" i="3"/>
  <c r="G68" i="3"/>
  <c r="G69" i="3"/>
  <c r="G70" i="3"/>
  <c r="G71" i="3"/>
  <c r="G72" i="3"/>
  <c r="G73" i="3"/>
  <c r="G78" i="3"/>
  <c r="G79" i="3"/>
  <c r="G80" i="3"/>
  <c r="G82" i="3"/>
  <c r="G83" i="3"/>
  <c r="G88" i="3"/>
  <c r="G89" i="3"/>
  <c r="G92" i="3"/>
  <c r="G93" i="3"/>
  <c r="G94" i="3"/>
  <c r="G95" i="3"/>
  <c r="G96" i="3"/>
  <c r="G97" i="3"/>
  <c r="G98" i="3"/>
  <c r="G99" i="3"/>
  <c r="G100" i="3"/>
  <c r="G102" i="3"/>
  <c r="G103" i="3"/>
  <c r="G104" i="3"/>
  <c r="G105"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L71" i="6"/>
  <c r="D71" i="6"/>
  <c r="AU39" i="4"/>
  <c r="K71" i="1"/>
  <c r="G66" i="3" s="1"/>
  <c r="E71" i="1"/>
  <c r="AS39" i="4" s="1"/>
  <c r="D71" i="1"/>
  <c r="AU38" i="4"/>
  <c r="G70" i="1"/>
  <c r="AT38" i="4" s="1"/>
  <c r="F70" i="6"/>
  <c r="D70" i="6"/>
  <c r="D69" i="6"/>
  <c r="F69" i="6"/>
  <c r="AU37" i="4"/>
  <c r="N69" i="1"/>
  <c r="G69" i="1"/>
  <c r="E69" i="1"/>
  <c r="AS37" i="4" s="1"/>
  <c r="D69" i="1"/>
  <c r="F67" i="6"/>
  <c r="D67" i="6"/>
  <c r="E67" i="1"/>
  <c r="AS35" i="4" s="1"/>
  <c r="D67" i="1"/>
  <c r="E62" i="3" s="1"/>
  <c r="H67" i="1"/>
  <c r="AU35" i="4" s="1"/>
  <c r="G67" i="1"/>
  <c r="D66" i="6"/>
  <c r="M61" i="3"/>
  <c r="F66" i="6"/>
  <c r="O66" i="1"/>
  <c r="H61" i="3" s="1"/>
  <c r="K66" i="1"/>
  <c r="G61" i="3" s="1"/>
  <c r="D66" i="1"/>
  <c r="H66" i="1"/>
  <c r="E66" i="1"/>
  <c r="AS34" i="4" s="1"/>
  <c r="O60" i="11"/>
  <c r="O57" i="11"/>
  <c r="O56" i="11"/>
  <c r="O63" i="11"/>
  <c r="O62" i="11"/>
  <c r="F65" i="6"/>
  <c r="D65" i="6"/>
  <c r="O65" i="1"/>
  <c r="H60" i="3" s="1"/>
  <c r="H65" i="1"/>
  <c r="AU33" i="4" s="1"/>
  <c r="G65" i="1"/>
  <c r="E65" i="1"/>
  <c r="AS33" i="4" s="1"/>
  <c r="D65" i="1"/>
  <c r="K64" i="1"/>
  <c r="G59" i="3" s="1"/>
  <c r="B305" i="13"/>
  <c r="B304" i="13"/>
  <c r="AA283" i="13"/>
  <c r="Z283" i="13"/>
  <c r="Y283" i="13"/>
  <c r="X283" i="13"/>
  <c r="W283" i="13"/>
  <c r="V283" i="13"/>
  <c r="U283" i="13"/>
  <c r="T283" i="13"/>
  <c r="S283" i="13"/>
  <c r="R283" i="13"/>
  <c r="Q283" i="13"/>
  <c r="P283" i="13"/>
  <c r="AA282" i="13"/>
  <c r="Z282" i="13"/>
  <c r="Y282" i="13"/>
  <c r="X282" i="13"/>
  <c r="W282" i="13"/>
  <c r="V282" i="13"/>
  <c r="U282" i="13"/>
  <c r="T282" i="13"/>
  <c r="S282" i="13"/>
  <c r="R282" i="13"/>
  <c r="Q282" i="13"/>
  <c r="P282" i="13"/>
  <c r="AA281" i="13"/>
  <c r="Z281" i="13"/>
  <c r="Y281" i="13"/>
  <c r="X281" i="13"/>
  <c r="W281" i="13"/>
  <c r="V281" i="13"/>
  <c r="U281" i="13"/>
  <c r="T281" i="13"/>
  <c r="S281" i="13"/>
  <c r="R281" i="13"/>
  <c r="Q281" i="13"/>
  <c r="P281" i="13"/>
  <c r="AA278" i="13"/>
  <c r="Z278" i="13"/>
  <c r="Y278" i="13"/>
  <c r="X278" i="13"/>
  <c r="W278" i="13"/>
  <c r="V278" i="13"/>
  <c r="U278" i="13"/>
  <c r="T278" i="13"/>
  <c r="S278" i="13"/>
  <c r="R278" i="13"/>
  <c r="Q278" i="13"/>
  <c r="P278" i="13"/>
  <c r="AA277" i="13"/>
  <c r="Z277" i="13"/>
  <c r="Y277" i="13"/>
  <c r="X277" i="13"/>
  <c r="W277" i="13"/>
  <c r="V277" i="13"/>
  <c r="U277" i="13"/>
  <c r="T277" i="13"/>
  <c r="S277" i="13"/>
  <c r="R277" i="13"/>
  <c r="Q277" i="13"/>
  <c r="P277" i="13"/>
  <c r="AA276" i="13"/>
  <c r="Z276" i="13"/>
  <c r="Y276" i="13"/>
  <c r="X276" i="13"/>
  <c r="W276" i="13"/>
  <c r="V276" i="13"/>
  <c r="U276" i="13"/>
  <c r="T276" i="13"/>
  <c r="S276" i="13"/>
  <c r="R276" i="13"/>
  <c r="Q276" i="13"/>
  <c r="P276" i="13"/>
  <c r="AA273" i="13"/>
  <c r="Z273" i="13"/>
  <c r="Y273" i="13"/>
  <c r="X273" i="13"/>
  <c r="W273" i="13"/>
  <c r="V273" i="13"/>
  <c r="U273" i="13"/>
  <c r="T273" i="13"/>
  <c r="S273" i="13"/>
  <c r="R273" i="13"/>
  <c r="Q273" i="13"/>
  <c r="P273" i="13"/>
  <c r="AA272" i="13"/>
  <c r="Z272" i="13"/>
  <c r="Y272" i="13"/>
  <c r="X272" i="13"/>
  <c r="W272" i="13"/>
  <c r="V272" i="13"/>
  <c r="U272" i="13"/>
  <c r="T272" i="13"/>
  <c r="S272" i="13"/>
  <c r="R272" i="13"/>
  <c r="Q272" i="13"/>
  <c r="P272" i="13"/>
  <c r="AA271" i="13"/>
  <c r="Z271" i="13"/>
  <c r="Y271" i="13"/>
  <c r="X271" i="13"/>
  <c r="W271" i="13"/>
  <c r="V271" i="13"/>
  <c r="U271" i="13"/>
  <c r="T271" i="13"/>
  <c r="S271" i="13"/>
  <c r="R271" i="13"/>
  <c r="Q271" i="13"/>
  <c r="P271" i="13"/>
  <c r="P266" i="13"/>
  <c r="P265" i="13"/>
  <c r="P264" i="13"/>
  <c r="P262" i="13"/>
  <c r="C244" i="13"/>
  <c r="A244" i="13"/>
  <c r="BA218" i="13"/>
  <c r="BA217" i="13"/>
  <c r="N216" i="13"/>
  <c r="P206" i="13"/>
  <c r="P205" i="13"/>
  <c r="P204" i="13"/>
  <c r="P203" i="13"/>
  <c r="P202" i="13"/>
  <c r="P201" i="13"/>
  <c r="P287" i="13" s="1"/>
  <c r="BA182" i="13"/>
  <c r="AZ182" i="13"/>
  <c r="AY182" i="13"/>
  <c r="AX182" i="13"/>
  <c r="AW182" i="13"/>
  <c r="AV182" i="13"/>
  <c r="AU182" i="13"/>
  <c r="AT182" i="13"/>
  <c r="AS182" i="13"/>
  <c r="AR182" i="13"/>
  <c r="AQ182" i="13"/>
  <c r="AP182" i="13"/>
  <c r="AO182" i="13"/>
  <c r="AN182" i="13"/>
  <c r="AM182" i="13"/>
  <c r="AL182" i="13"/>
  <c r="AK182" i="13"/>
  <c r="AJ182" i="13"/>
  <c r="AI182" i="13"/>
  <c r="AH182" i="13"/>
  <c r="AG182" i="13"/>
  <c r="AF182" i="13"/>
  <c r="AE182" i="13"/>
  <c r="AD182" i="13"/>
  <c r="AC182" i="13"/>
  <c r="AB182" i="13"/>
  <c r="AA182" i="13"/>
  <c r="AA266" i="13" s="1"/>
  <c r="Z182" i="13"/>
  <c r="Z266" i="13" s="1"/>
  <c r="Y182" i="13"/>
  <c r="Y266" i="13" s="1"/>
  <c r="X182" i="13"/>
  <c r="X266" i="13" s="1"/>
  <c r="W182" i="13"/>
  <c r="W266" i="13" s="1"/>
  <c r="V182" i="13"/>
  <c r="V266" i="13" s="1"/>
  <c r="U182" i="13"/>
  <c r="U266" i="13" s="1"/>
  <c r="T182" i="13"/>
  <c r="T266" i="13" s="1"/>
  <c r="S182" i="13"/>
  <c r="S266" i="13" s="1"/>
  <c r="R182" i="13"/>
  <c r="R266" i="13" s="1"/>
  <c r="Q182" i="13"/>
  <c r="Q266" i="13" s="1"/>
  <c r="BA181" i="13"/>
  <c r="AZ181" i="13"/>
  <c r="AY181" i="13"/>
  <c r="AX181" i="13"/>
  <c r="AW181" i="13"/>
  <c r="AV181" i="13"/>
  <c r="AU181" i="13"/>
  <c r="AT181" i="13"/>
  <c r="AS181" i="13"/>
  <c r="AR181" i="13"/>
  <c r="AQ181" i="13"/>
  <c r="AP181" i="13"/>
  <c r="AO181" i="13"/>
  <c r="AN181" i="13"/>
  <c r="AM181" i="13"/>
  <c r="AL181" i="13"/>
  <c r="AK181" i="13"/>
  <c r="AJ181" i="13"/>
  <c r="AI181" i="13"/>
  <c r="AH181" i="13"/>
  <c r="AG181" i="13"/>
  <c r="AF181" i="13"/>
  <c r="AE181" i="13"/>
  <c r="AD181" i="13"/>
  <c r="AC181" i="13"/>
  <c r="AB181" i="13"/>
  <c r="AA181" i="13"/>
  <c r="AA265" i="13" s="1"/>
  <c r="Z181" i="13"/>
  <c r="Z265" i="13" s="1"/>
  <c r="Y181" i="13"/>
  <c r="Y265" i="13" s="1"/>
  <c r="X181" i="13"/>
  <c r="X265" i="13" s="1"/>
  <c r="W181" i="13"/>
  <c r="W265" i="13" s="1"/>
  <c r="V181" i="13"/>
  <c r="V265" i="13" s="1"/>
  <c r="U181" i="13"/>
  <c r="U265" i="13" s="1"/>
  <c r="T181" i="13"/>
  <c r="T265" i="13" s="1"/>
  <c r="S181" i="13"/>
  <c r="S265" i="13" s="1"/>
  <c r="R181" i="13"/>
  <c r="R265" i="13" s="1"/>
  <c r="Q181" i="13"/>
  <c r="Q265" i="13" s="1"/>
  <c r="BA180" i="13"/>
  <c r="AZ180" i="13"/>
  <c r="AY180" i="13"/>
  <c r="AX180" i="13"/>
  <c r="AW180" i="13"/>
  <c r="AV180" i="13"/>
  <c r="AU180" i="13"/>
  <c r="AT180" i="13"/>
  <c r="AS180" i="13"/>
  <c r="AR180" i="13"/>
  <c r="AQ180" i="13"/>
  <c r="AP180" i="13"/>
  <c r="AO180" i="13"/>
  <c r="AN180" i="13"/>
  <c r="AM180" i="13"/>
  <c r="AL180" i="13"/>
  <c r="AK180" i="13"/>
  <c r="AJ180" i="13"/>
  <c r="AI180" i="13"/>
  <c r="AH180" i="13"/>
  <c r="AG180" i="13"/>
  <c r="AF180" i="13"/>
  <c r="AE180" i="13"/>
  <c r="AD180" i="13"/>
  <c r="AC180" i="13"/>
  <c r="AB180" i="13"/>
  <c r="AA180" i="13"/>
  <c r="AA264" i="13" s="1"/>
  <c r="Z180" i="13"/>
  <c r="Z264" i="13" s="1"/>
  <c r="Y180" i="13"/>
  <c r="Y264" i="13" s="1"/>
  <c r="X180" i="13"/>
  <c r="X264" i="13" s="1"/>
  <c r="W180" i="13"/>
  <c r="W264" i="13" s="1"/>
  <c r="V180" i="13"/>
  <c r="V264" i="13" s="1"/>
  <c r="U180" i="13"/>
  <c r="U264" i="13" s="1"/>
  <c r="T180" i="13"/>
  <c r="T264" i="13" s="1"/>
  <c r="S180" i="13"/>
  <c r="S264" i="13" s="1"/>
  <c r="R180" i="13"/>
  <c r="R264" i="13" s="1"/>
  <c r="Q180" i="13"/>
  <c r="Q264" i="13" s="1"/>
  <c r="P179" i="13"/>
  <c r="O179" i="13"/>
  <c r="BA178" i="13"/>
  <c r="AZ178" i="13"/>
  <c r="AY178" i="13"/>
  <c r="AX178" i="13"/>
  <c r="AW178" i="13"/>
  <c r="AV178" i="13"/>
  <c r="AU178" i="13"/>
  <c r="AT178" i="13"/>
  <c r="AS178" i="13"/>
  <c r="AR178" i="13"/>
  <c r="AQ178" i="13"/>
  <c r="AP178" i="13"/>
  <c r="AO178" i="13"/>
  <c r="AN178" i="13"/>
  <c r="AM178" i="13"/>
  <c r="AL178" i="13"/>
  <c r="AK178" i="13"/>
  <c r="AJ178" i="13"/>
  <c r="AI178" i="13"/>
  <c r="AH178" i="13"/>
  <c r="AG178" i="13"/>
  <c r="AF178" i="13"/>
  <c r="AE178" i="13"/>
  <c r="AD178" i="13"/>
  <c r="AC178" i="13"/>
  <c r="AB178" i="13"/>
  <c r="AA178" i="13"/>
  <c r="AA262" i="13" s="1"/>
  <c r="Z178" i="13"/>
  <c r="Z262" i="13" s="1"/>
  <c r="Y178" i="13"/>
  <c r="Y262" i="13" s="1"/>
  <c r="X178" i="13"/>
  <c r="X262" i="13" s="1"/>
  <c r="W178" i="13"/>
  <c r="W262" i="13" s="1"/>
  <c r="V178" i="13"/>
  <c r="V262" i="13" s="1"/>
  <c r="U178" i="13"/>
  <c r="U262" i="13" s="1"/>
  <c r="T178" i="13"/>
  <c r="T262" i="13" s="1"/>
  <c r="S178" i="13"/>
  <c r="S262" i="13" s="1"/>
  <c r="R178" i="13"/>
  <c r="R262" i="13" s="1"/>
  <c r="Q178" i="13"/>
  <c r="Q262" i="13" s="1"/>
  <c r="O175" i="13"/>
  <c r="O174" i="13"/>
  <c r="O173" i="13"/>
  <c r="O172" i="13"/>
  <c r="O171" i="13"/>
  <c r="O170" i="13"/>
  <c r="AY149" i="13"/>
  <c r="AX149" i="13"/>
  <c r="AW149" i="13"/>
  <c r="AV149" i="13"/>
  <c r="AU149" i="13"/>
  <c r="AT149" i="13"/>
  <c r="AS149" i="13"/>
  <c r="AR149" i="13"/>
  <c r="AQ149" i="13"/>
  <c r="AP149" i="13"/>
  <c r="AO149" i="13"/>
  <c r="AN149" i="13"/>
  <c r="AM149" i="13"/>
  <c r="AL149" i="13"/>
  <c r="AK149"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P175" i="13" s="1"/>
  <c r="BA138" i="13"/>
  <c r="AZ138" i="13"/>
  <c r="AY138" i="13"/>
  <c r="AX138" i="13"/>
  <c r="AW138" i="13"/>
  <c r="AV138" i="13"/>
  <c r="AU138" i="13"/>
  <c r="AT138" i="13"/>
  <c r="AS138" i="13"/>
  <c r="AR138" i="13"/>
  <c r="AQ138" i="13"/>
  <c r="AP138" i="13"/>
  <c r="AO138" i="13"/>
  <c r="AN138" i="13"/>
  <c r="AM138" i="13"/>
  <c r="AL138" i="13"/>
  <c r="AK138" i="13"/>
  <c r="AJ138" i="13"/>
  <c r="AI138" i="13"/>
  <c r="AH138" i="13"/>
  <c r="AG138" i="13"/>
  <c r="AF138" i="13"/>
  <c r="AE138" i="13"/>
  <c r="AD138" i="13"/>
  <c r="AC138" i="13"/>
  <c r="AB138" i="13"/>
  <c r="AA138" i="13"/>
  <c r="Z138" i="13"/>
  <c r="Y138" i="13"/>
  <c r="X138" i="13"/>
  <c r="W138" i="13"/>
  <c r="V138" i="13"/>
  <c r="U138" i="13"/>
  <c r="T138" i="13"/>
  <c r="S138" i="13"/>
  <c r="R138" i="13"/>
  <c r="BA134" i="13"/>
  <c r="AZ134" i="13"/>
  <c r="AY134" i="13"/>
  <c r="B133" i="13"/>
  <c r="AK131" i="13"/>
  <c r="S131" i="13"/>
  <c r="BA127" i="13"/>
  <c r="AZ127" i="13"/>
  <c r="AY127" i="13"/>
  <c r="AX127" i="13"/>
  <c r="AW127" i="13"/>
  <c r="AV127" i="13"/>
  <c r="AU127" i="13"/>
  <c r="AT127" i="13"/>
  <c r="AS127" i="13"/>
  <c r="AR127" i="13"/>
  <c r="AQ127" i="13"/>
  <c r="AP127" i="13"/>
  <c r="AO127" i="13"/>
  <c r="AN127" i="13"/>
  <c r="AM127" i="13"/>
  <c r="AL127" i="13"/>
  <c r="AK127" i="13"/>
  <c r="AJ127" i="13"/>
  <c r="AI127" i="13"/>
  <c r="AH127" i="13"/>
  <c r="AG127" i="13"/>
  <c r="AF127" i="13"/>
  <c r="AE127" i="13"/>
  <c r="AD127" i="13"/>
  <c r="AC127" i="13"/>
  <c r="AB127" i="13"/>
  <c r="AA127" i="13"/>
  <c r="Z127" i="13"/>
  <c r="Y127" i="13"/>
  <c r="X127" i="13"/>
  <c r="W127" i="13"/>
  <c r="V127" i="13"/>
  <c r="U127" i="13"/>
  <c r="T127" i="13"/>
  <c r="S127" i="13"/>
  <c r="R127" i="13"/>
  <c r="Q127" i="13"/>
  <c r="P127" i="13"/>
  <c r="W126" i="13"/>
  <c r="V126" i="13"/>
  <c r="U126" i="13"/>
  <c r="T126" i="13"/>
  <c r="S126" i="13"/>
  <c r="R126" i="13"/>
  <c r="Q126" i="13"/>
  <c r="P126" i="13"/>
  <c r="Y114" i="13"/>
  <c r="AI114" i="13" s="1"/>
  <c r="AS114" i="13" s="1"/>
  <c r="X114" i="13"/>
  <c r="AH114" i="13" s="1"/>
  <c r="AR114" i="13" s="1"/>
  <c r="W114" i="13"/>
  <c r="AG114" i="13" s="1"/>
  <c r="AQ114" i="13" s="1"/>
  <c r="BA114" i="13" s="1"/>
  <c r="V114" i="13"/>
  <c r="AF114" i="13" s="1"/>
  <c r="AP114" i="13" s="1"/>
  <c r="AZ114" i="13" s="1"/>
  <c r="U114" i="13"/>
  <c r="AE114" i="13" s="1"/>
  <c r="AO114" i="13" s="1"/>
  <c r="AY114" i="13" s="1"/>
  <c r="T114" i="13"/>
  <c r="AD114" i="13" s="1"/>
  <c r="AN114" i="13" s="1"/>
  <c r="AX114" i="13" s="1"/>
  <c r="S114" i="13"/>
  <c r="AC114" i="13" s="1"/>
  <c r="AM114" i="13" s="1"/>
  <c r="AW114" i="13" s="1"/>
  <c r="R114" i="13"/>
  <c r="AB114" i="13" s="1"/>
  <c r="AL114" i="13" s="1"/>
  <c r="AV114" i="13" s="1"/>
  <c r="Q114" i="13"/>
  <c r="AA114" i="13" s="1"/>
  <c r="AK114" i="13" s="1"/>
  <c r="AU114" i="13" s="1"/>
  <c r="P114" i="13"/>
  <c r="Z114" i="13" s="1"/>
  <c r="AJ114" i="13" s="1"/>
  <c r="AT114" i="13" s="1"/>
  <c r="O114" i="13"/>
  <c r="Y112" i="13"/>
  <c r="AI112" i="13" s="1"/>
  <c r="AS112" i="13" s="1"/>
  <c r="X112" i="13"/>
  <c r="AH112" i="13" s="1"/>
  <c r="AR112" i="13" s="1"/>
  <c r="W112" i="13"/>
  <c r="AG112" i="13" s="1"/>
  <c r="AQ112" i="13" s="1"/>
  <c r="BA112" i="13" s="1"/>
  <c r="V112" i="13"/>
  <c r="AF112" i="13" s="1"/>
  <c r="AP112" i="13" s="1"/>
  <c r="AZ112" i="13" s="1"/>
  <c r="U112" i="13"/>
  <c r="AE112" i="13" s="1"/>
  <c r="AO112" i="13" s="1"/>
  <c r="AY112" i="13" s="1"/>
  <c r="T112" i="13"/>
  <c r="AD112" i="13" s="1"/>
  <c r="AN112" i="13" s="1"/>
  <c r="AX112" i="13" s="1"/>
  <c r="S112" i="13"/>
  <c r="R112" i="13"/>
  <c r="AB112" i="13" s="1"/>
  <c r="AL112" i="13" s="1"/>
  <c r="AV112" i="13" s="1"/>
  <c r="Q112" i="13"/>
  <c r="AA112" i="13" s="1"/>
  <c r="AK112" i="13" s="1"/>
  <c r="AU112" i="13" s="1"/>
  <c r="P112" i="13"/>
  <c r="Z112" i="13" s="1"/>
  <c r="AJ112" i="13" s="1"/>
  <c r="AT112" i="13" s="1"/>
  <c r="O112" i="13"/>
  <c r="Y111" i="13"/>
  <c r="X111" i="13"/>
  <c r="W111" i="13"/>
  <c r="V111" i="13"/>
  <c r="U111" i="13"/>
  <c r="T111" i="13"/>
  <c r="S111" i="13"/>
  <c r="R111" i="13"/>
  <c r="Q111" i="13"/>
  <c r="P111" i="13"/>
  <c r="N104" i="13" a="1"/>
  <c r="M104" i="13" a="1"/>
  <c r="N103" i="13" a="1"/>
  <c r="M103" i="13" a="1"/>
  <c r="AM93" i="13"/>
  <c r="AY93" i="13" s="1"/>
  <c r="AL93" i="13"/>
  <c r="AX93" i="13" s="1"/>
  <c r="AK93" i="13"/>
  <c r="AW93" i="13" s="1"/>
  <c r="AJ93" i="13"/>
  <c r="AV93" i="13" s="1"/>
  <c r="AI93" i="13"/>
  <c r="AU93" i="13" s="1"/>
  <c r="AH93" i="13"/>
  <c r="AT93" i="13" s="1"/>
  <c r="AG93" i="13"/>
  <c r="AS93" i="13" s="1"/>
  <c r="AF93" i="13"/>
  <c r="AR93" i="13" s="1"/>
  <c r="AE93" i="13"/>
  <c r="AQ93" i="13" s="1"/>
  <c r="AD93" i="13"/>
  <c r="AP93" i="13" s="1"/>
  <c r="AC93" i="13"/>
  <c r="AO93" i="13" s="1"/>
  <c r="BA93" i="13" s="1"/>
  <c r="AB93" i="13"/>
  <c r="AN93" i="13" s="1"/>
  <c r="AZ93" i="13" s="1"/>
  <c r="Y92" i="13"/>
  <c r="Z92" i="13" s="1"/>
  <c r="AA92" i="13" s="1"/>
  <c r="AB92" i="13" s="1"/>
  <c r="AC92" i="13" s="1"/>
  <c r="AD92" i="13" s="1"/>
  <c r="AE92" i="13" s="1"/>
  <c r="AF92" i="13" s="1"/>
  <c r="AG92" i="13" s="1"/>
  <c r="AH92" i="13" s="1"/>
  <c r="AI92" i="13" s="1"/>
  <c r="AJ92" i="13" s="1"/>
  <c r="AK92" i="13" s="1"/>
  <c r="AL92" i="13" s="1"/>
  <c r="AM92" i="13" s="1"/>
  <c r="AN92" i="13" s="1"/>
  <c r="AO92" i="13" s="1"/>
  <c r="AP92" i="13" s="1"/>
  <c r="AQ92" i="13" s="1"/>
  <c r="AR92" i="13" s="1"/>
  <c r="AS92" i="13" s="1"/>
  <c r="AT92" i="13" s="1"/>
  <c r="AU92" i="13" s="1"/>
  <c r="AV92" i="13" s="1"/>
  <c r="AW92" i="13" s="1"/>
  <c r="AX92" i="13" s="1"/>
  <c r="AY92" i="13" s="1"/>
  <c r="AZ92" i="13" s="1"/>
  <c r="BA92" i="13" s="1"/>
  <c r="BA91" i="13"/>
  <c r="AZ91" i="13"/>
  <c r="AY91" i="13"/>
  <c r="AX91" i="13"/>
  <c r="AW91" i="13"/>
  <c r="AV91" i="13"/>
  <c r="AU91" i="13"/>
  <c r="AT91" i="13"/>
  <c r="AS91" i="13"/>
  <c r="AR91" i="13"/>
  <c r="AQ91" i="13"/>
  <c r="AP91" i="13"/>
  <c r="AO91" i="13"/>
  <c r="AN91" i="13"/>
  <c r="AM91" i="13"/>
  <c r="AL91" i="13"/>
  <c r="AK91" i="13"/>
  <c r="AJ91" i="13"/>
  <c r="AI91" i="13"/>
  <c r="AH91" i="13"/>
  <c r="AG91" i="13"/>
  <c r="AF91" i="13"/>
  <c r="AE91" i="13"/>
  <c r="AD91" i="13"/>
  <c r="AC91" i="13"/>
  <c r="AB91" i="13"/>
  <c r="AA91" i="13"/>
  <c r="Z91" i="13"/>
  <c r="Y91" i="13"/>
  <c r="X91" i="13"/>
  <c r="W91" i="13"/>
  <c r="V91" i="13"/>
  <c r="U91" i="13"/>
  <c r="T91" i="13"/>
  <c r="S91" i="13"/>
  <c r="R91" i="13"/>
  <c r="Q91" i="13"/>
  <c r="P91" i="13"/>
  <c r="O91" i="13"/>
  <c r="N91" i="13"/>
  <c r="BA89" i="13"/>
  <c r="AZ89" i="13"/>
  <c r="AY89" i="13"/>
  <c r="AX89" i="13"/>
  <c r="AW89" i="13"/>
  <c r="AV89" i="13"/>
  <c r="AU89" i="13"/>
  <c r="AT89" i="13"/>
  <c r="AS89" i="13"/>
  <c r="AR89" i="13"/>
  <c r="AQ89" i="13"/>
  <c r="AP89" i="13"/>
  <c r="AO89" i="13"/>
  <c r="AN89" i="13"/>
  <c r="AM89" i="13"/>
  <c r="AL89" i="13"/>
  <c r="AK89" i="13"/>
  <c r="AJ89" i="13"/>
  <c r="AI89" i="13"/>
  <c r="AH89" i="13"/>
  <c r="AG89" i="13"/>
  <c r="AF89" i="13"/>
  <c r="AE89" i="13"/>
  <c r="AD89" i="13"/>
  <c r="AC89" i="13"/>
  <c r="AB89" i="13"/>
  <c r="AA89" i="13"/>
  <c r="Z89" i="13"/>
  <c r="Y89" i="13"/>
  <c r="X89" i="13"/>
  <c r="W89" i="13"/>
  <c r="V89" i="13"/>
  <c r="U89" i="13"/>
  <c r="T89" i="13"/>
  <c r="S89" i="13"/>
  <c r="R89" i="13"/>
  <c r="Q89" i="13"/>
  <c r="P89" i="13"/>
  <c r="O89" i="13"/>
  <c r="N89" i="13"/>
  <c r="BA86" i="13"/>
  <c r="AZ86" i="13"/>
  <c r="AY86" i="13"/>
  <c r="AX86" i="13"/>
  <c r="AW86" i="13"/>
  <c r="AV86" i="13"/>
  <c r="AU86" i="13"/>
  <c r="AT86" i="13"/>
  <c r="AS86" i="13"/>
  <c r="AR86" i="13"/>
  <c r="AQ86" i="13"/>
  <c r="AP86" i="13"/>
  <c r="AO86" i="13"/>
  <c r="AN86" i="13"/>
  <c r="AM86" i="13"/>
  <c r="AL86" i="13"/>
  <c r="AK86" i="13"/>
  <c r="AJ86" i="13"/>
  <c r="AI86" i="13"/>
  <c r="AH86" i="13"/>
  <c r="AG86" i="13"/>
  <c r="AF86" i="13"/>
  <c r="AE86" i="13"/>
  <c r="AD86" i="13"/>
  <c r="AC86" i="13"/>
  <c r="AB86" i="13"/>
  <c r="AA86" i="13"/>
  <c r="Z86" i="13"/>
  <c r="Y86" i="13"/>
  <c r="X86" i="13"/>
  <c r="W86" i="13"/>
  <c r="V86" i="13"/>
  <c r="U86" i="13"/>
  <c r="T86" i="13"/>
  <c r="S86" i="13"/>
  <c r="R86" i="13"/>
  <c r="Q86" i="13"/>
  <c r="P86" i="13"/>
  <c r="O86" i="13"/>
  <c r="N86" i="13"/>
  <c r="AM81" i="13"/>
  <c r="AY81" i="13" s="1"/>
  <c r="AL81" i="13"/>
  <c r="AX81" i="13" s="1"/>
  <c r="AK81" i="13"/>
  <c r="AW81" i="13" s="1"/>
  <c r="AJ81" i="13"/>
  <c r="AV81" i="13" s="1"/>
  <c r="AI81" i="13"/>
  <c r="AU81" i="13" s="1"/>
  <c r="AH81" i="13"/>
  <c r="AT81" i="13" s="1"/>
  <c r="AG81" i="13"/>
  <c r="AS81" i="13" s="1"/>
  <c r="AF81" i="13"/>
  <c r="AR81" i="13" s="1"/>
  <c r="AE81" i="13"/>
  <c r="AQ81" i="13" s="1"/>
  <c r="AD81" i="13"/>
  <c r="AP81" i="13" s="1"/>
  <c r="AC81" i="13"/>
  <c r="AO81" i="13" s="1"/>
  <c r="BA81" i="13" s="1"/>
  <c r="AB81" i="13"/>
  <c r="AN81" i="13" s="1"/>
  <c r="AZ81" i="13" s="1"/>
  <c r="BA79" i="13"/>
  <c r="AZ79" i="13"/>
  <c r="AY79" i="13"/>
  <c r="AX79" i="13"/>
  <c r="AW79" i="13"/>
  <c r="AV79" i="13"/>
  <c r="AU79" i="13"/>
  <c r="AT79" i="13"/>
  <c r="AS79" i="13"/>
  <c r="AR79" i="13"/>
  <c r="AQ79" i="13"/>
  <c r="AP79" i="13"/>
  <c r="AO79" i="13"/>
  <c r="AN79" i="13"/>
  <c r="AM79" i="13"/>
  <c r="AL79" i="13"/>
  <c r="AK79" i="13"/>
  <c r="AJ79" i="13"/>
  <c r="AI79" i="13"/>
  <c r="AH79" i="13"/>
  <c r="AG79" i="13"/>
  <c r="AF79" i="13"/>
  <c r="AE79" i="13"/>
  <c r="AD79" i="13"/>
  <c r="AC79" i="13"/>
  <c r="AB79" i="13"/>
  <c r="AA79" i="13"/>
  <c r="Z79" i="13"/>
  <c r="Y79" i="13"/>
  <c r="X79" i="13"/>
  <c r="W79" i="13"/>
  <c r="V79" i="13"/>
  <c r="U79" i="13"/>
  <c r="T79" i="13"/>
  <c r="S79" i="13"/>
  <c r="R79" i="13"/>
  <c r="Q79" i="13"/>
  <c r="P79" i="13"/>
  <c r="O79" i="13"/>
  <c r="N79" i="13"/>
  <c r="BA77" i="13"/>
  <c r="AZ77" i="13"/>
  <c r="AY77" i="13"/>
  <c r="AX77" i="13"/>
  <c r="AW77" i="13"/>
  <c r="AV77" i="13"/>
  <c r="AU77" i="13"/>
  <c r="AT77" i="13"/>
  <c r="AS77" i="13"/>
  <c r="AR77" i="13"/>
  <c r="AQ77" i="13"/>
  <c r="AP77" i="13"/>
  <c r="AO77" i="13"/>
  <c r="AN77" i="13"/>
  <c r="AM77" i="13"/>
  <c r="AL77" i="13"/>
  <c r="AK77" i="13"/>
  <c r="AJ77" i="13"/>
  <c r="AI77" i="13"/>
  <c r="AH77" i="13"/>
  <c r="AG77" i="13"/>
  <c r="AF77" i="13"/>
  <c r="AE77" i="13"/>
  <c r="AD77" i="13"/>
  <c r="AC77" i="13"/>
  <c r="AB77" i="13"/>
  <c r="AA77" i="13"/>
  <c r="Z77" i="13"/>
  <c r="Y77" i="13"/>
  <c r="X77" i="13"/>
  <c r="W77" i="13"/>
  <c r="V77" i="13"/>
  <c r="U77" i="13"/>
  <c r="T77" i="13"/>
  <c r="S77" i="13"/>
  <c r="R77" i="13"/>
  <c r="Q77" i="13"/>
  <c r="P77" i="13"/>
  <c r="O77" i="13"/>
  <c r="N77" i="13"/>
  <c r="BA74" i="13"/>
  <c r="AZ74" i="13"/>
  <c r="AY74" i="13"/>
  <c r="AX74" i="13"/>
  <c r="AW74" i="13"/>
  <c r="AV74" i="13"/>
  <c r="AU74" i="13"/>
  <c r="AT74" i="13"/>
  <c r="AS74" i="13"/>
  <c r="AR74" i="13"/>
  <c r="AQ74" i="13"/>
  <c r="AP74" i="13"/>
  <c r="AO74" i="13"/>
  <c r="AN74" i="13"/>
  <c r="AM74" i="13"/>
  <c r="AL74" i="13"/>
  <c r="AK74" i="13"/>
  <c r="AJ74" i="13"/>
  <c r="AI74" i="13"/>
  <c r="AH74" i="13"/>
  <c r="AG74" i="13"/>
  <c r="AF74" i="13"/>
  <c r="AE74" i="13"/>
  <c r="AD74" i="13"/>
  <c r="AC74" i="13"/>
  <c r="AB74" i="13"/>
  <c r="AA74" i="13"/>
  <c r="Z74" i="13"/>
  <c r="Y74" i="13"/>
  <c r="X74" i="13"/>
  <c r="W74" i="13"/>
  <c r="V74" i="13"/>
  <c r="U74" i="13"/>
  <c r="T74" i="13"/>
  <c r="S74" i="13"/>
  <c r="R74" i="13"/>
  <c r="Q74" i="13"/>
  <c r="P74" i="13"/>
  <c r="O74" i="13"/>
  <c r="N74" i="13"/>
  <c r="O70" i="13"/>
  <c r="P70" i="13" s="1"/>
  <c r="Q70" i="13" s="1"/>
  <c r="R70" i="13" s="1"/>
  <c r="S70" i="13" s="1"/>
  <c r="T70" i="13" s="1"/>
  <c r="U70" i="13" s="1"/>
  <c r="V70" i="13" s="1"/>
  <c r="W70" i="13" s="1"/>
  <c r="X70" i="13" s="1"/>
  <c r="Y70" i="13" s="1"/>
  <c r="Z70" i="13" s="1"/>
  <c r="AA70" i="13" s="1"/>
  <c r="AB70" i="13" s="1"/>
  <c r="AC70" i="13" s="1"/>
  <c r="AD70" i="13" s="1"/>
  <c r="AE70" i="13" s="1"/>
  <c r="AF70" i="13" s="1"/>
  <c r="AG70" i="13" s="1"/>
  <c r="AH70" i="13" s="1"/>
  <c r="AI70" i="13" s="1"/>
  <c r="AJ70" i="13" s="1"/>
  <c r="AK70" i="13" s="1"/>
  <c r="AL70" i="13" s="1"/>
  <c r="AM70" i="13" s="1"/>
  <c r="AN70" i="13" s="1"/>
  <c r="AO70" i="13" s="1"/>
  <c r="AP70" i="13" s="1"/>
  <c r="AQ70" i="13" s="1"/>
  <c r="AR70" i="13" s="1"/>
  <c r="AS70" i="13" s="1"/>
  <c r="AT70" i="13" s="1"/>
  <c r="AU70" i="13" s="1"/>
  <c r="AV70" i="13" s="1"/>
  <c r="AW70" i="13" s="1"/>
  <c r="AX70" i="13" s="1"/>
  <c r="AY70" i="13" s="1"/>
  <c r="AZ70" i="13" s="1"/>
  <c r="BA70" i="13" s="1"/>
  <c r="O69" i="13"/>
  <c r="P69" i="13" s="1"/>
  <c r="Q69" i="13" s="1"/>
  <c r="R69" i="13" s="1"/>
  <c r="S69" i="13" s="1"/>
  <c r="T69" i="13" s="1"/>
  <c r="U69" i="13" s="1"/>
  <c r="V69" i="13" s="1"/>
  <c r="W69" i="13" s="1"/>
  <c r="X69" i="13" s="1"/>
  <c r="Y69" i="13" s="1"/>
  <c r="Z69" i="13" s="1"/>
  <c r="AA69" i="13" s="1"/>
  <c r="AB69" i="13" s="1"/>
  <c r="AC69" i="13" s="1"/>
  <c r="AD69" i="13" s="1"/>
  <c r="AE69" i="13" s="1"/>
  <c r="AF69" i="13" s="1"/>
  <c r="AG69" i="13" s="1"/>
  <c r="AH69" i="13" s="1"/>
  <c r="AI69" i="13" s="1"/>
  <c r="AJ69" i="13" s="1"/>
  <c r="AK69" i="13" s="1"/>
  <c r="AL69" i="13" s="1"/>
  <c r="AM69" i="13" s="1"/>
  <c r="AN69" i="13" s="1"/>
  <c r="AO69" i="13" s="1"/>
  <c r="AP69" i="13" s="1"/>
  <c r="AQ69" i="13" s="1"/>
  <c r="AR69" i="13" s="1"/>
  <c r="AS69" i="13" s="1"/>
  <c r="AT69" i="13" s="1"/>
  <c r="AU69" i="13" s="1"/>
  <c r="AV69" i="13" s="1"/>
  <c r="AW69" i="13" s="1"/>
  <c r="AX69" i="13" s="1"/>
  <c r="AY69" i="13" s="1"/>
  <c r="AZ69" i="13" s="1"/>
  <c r="BA69" i="13" s="1"/>
  <c r="Q68" i="13"/>
  <c r="R68" i="13" s="1"/>
  <c r="S68" i="13" s="1"/>
  <c r="T68" i="13" s="1"/>
  <c r="U68" i="13" s="1"/>
  <c r="V68" i="13" s="1"/>
  <c r="W68" i="13" s="1"/>
  <c r="X68" i="13" s="1"/>
  <c r="Y68" i="13" s="1"/>
  <c r="Z68" i="13" s="1"/>
  <c r="AA68" i="13" s="1"/>
  <c r="AB68" i="13" s="1"/>
  <c r="AC68" i="13" s="1"/>
  <c r="AD68" i="13" s="1"/>
  <c r="AE68" i="13" s="1"/>
  <c r="AF68" i="13" s="1"/>
  <c r="AG68" i="13" s="1"/>
  <c r="AH68" i="13" s="1"/>
  <c r="AI68" i="13" s="1"/>
  <c r="AJ68" i="13" s="1"/>
  <c r="AK68" i="13" s="1"/>
  <c r="AL68" i="13" s="1"/>
  <c r="AM68" i="13" s="1"/>
  <c r="AN68" i="13" s="1"/>
  <c r="AO68" i="13" s="1"/>
  <c r="AP68" i="13" s="1"/>
  <c r="AQ68" i="13" s="1"/>
  <c r="AR68" i="13" s="1"/>
  <c r="AS68" i="13" s="1"/>
  <c r="AT68" i="13" s="1"/>
  <c r="AU68" i="13" s="1"/>
  <c r="AV68" i="13" s="1"/>
  <c r="AW68" i="13" s="1"/>
  <c r="AX68" i="13" s="1"/>
  <c r="AY68" i="13" s="1"/>
  <c r="AZ68" i="13" s="1"/>
  <c r="BA68" i="13" s="1"/>
  <c r="O68" i="13"/>
  <c r="O67" i="13"/>
  <c r="P67" i="13" s="1"/>
  <c r="Q67" i="13" s="1"/>
  <c r="R67" i="13" s="1"/>
  <c r="S67" i="13" s="1"/>
  <c r="T67" i="13" s="1"/>
  <c r="U67" i="13" s="1"/>
  <c r="V67" i="13" s="1"/>
  <c r="W67" i="13" s="1"/>
  <c r="X67" i="13" s="1"/>
  <c r="Y67" i="13" s="1"/>
  <c r="Z67" i="13" s="1"/>
  <c r="AA67" i="13" s="1"/>
  <c r="AB67" i="13" s="1"/>
  <c r="AC67" i="13" s="1"/>
  <c r="AD67" i="13" s="1"/>
  <c r="AE67" i="13" s="1"/>
  <c r="AF67" i="13" s="1"/>
  <c r="AG67" i="13" s="1"/>
  <c r="AH67" i="13" s="1"/>
  <c r="AI67" i="13" s="1"/>
  <c r="AJ67" i="13" s="1"/>
  <c r="AK67" i="13" s="1"/>
  <c r="AL67" i="13" s="1"/>
  <c r="AM67" i="13" s="1"/>
  <c r="AN67" i="13" s="1"/>
  <c r="AO67" i="13" s="1"/>
  <c r="AP67" i="13" s="1"/>
  <c r="AQ67" i="13" s="1"/>
  <c r="AR67" i="13" s="1"/>
  <c r="AS67" i="13" s="1"/>
  <c r="AT67" i="13" s="1"/>
  <c r="AU67" i="13" s="1"/>
  <c r="AV67" i="13" s="1"/>
  <c r="AW67" i="13" s="1"/>
  <c r="AX67" i="13" s="1"/>
  <c r="AY67" i="13" s="1"/>
  <c r="AZ67" i="13" s="1"/>
  <c r="BA67" i="13" s="1"/>
  <c r="O66" i="13"/>
  <c r="P66" i="13" s="1"/>
  <c r="Q66" i="13" s="1"/>
  <c r="R66" i="13" s="1"/>
  <c r="S66" i="13" s="1"/>
  <c r="T66" i="13" s="1"/>
  <c r="U66" i="13" s="1"/>
  <c r="V66" i="13" s="1"/>
  <c r="W66" i="13" s="1"/>
  <c r="X66" i="13" s="1"/>
  <c r="Y66" i="13" s="1"/>
  <c r="Z66" i="13" s="1"/>
  <c r="AA66" i="13" s="1"/>
  <c r="AB66" i="13" s="1"/>
  <c r="AC66" i="13" s="1"/>
  <c r="AD66" i="13" s="1"/>
  <c r="AE66" i="13" s="1"/>
  <c r="AF66" i="13" s="1"/>
  <c r="AG66" i="13" s="1"/>
  <c r="AH66" i="13" s="1"/>
  <c r="AI66" i="13" s="1"/>
  <c r="AJ66" i="13" s="1"/>
  <c r="AK66" i="13" s="1"/>
  <c r="AL66" i="13" s="1"/>
  <c r="AM66" i="13" s="1"/>
  <c r="AN66" i="13" s="1"/>
  <c r="AO66" i="13" s="1"/>
  <c r="AP66" i="13" s="1"/>
  <c r="AQ66" i="13" s="1"/>
  <c r="AR66" i="13" s="1"/>
  <c r="AS66" i="13" s="1"/>
  <c r="AT66" i="13" s="1"/>
  <c r="AU66" i="13" s="1"/>
  <c r="AV66" i="13" s="1"/>
  <c r="AW66" i="13" s="1"/>
  <c r="AX66" i="13" s="1"/>
  <c r="AY66" i="13" s="1"/>
  <c r="AZ66" i="13" s="1"/>
  <c r="BA66" i="13" s="1"/>
  <c r="Q65" i="13"/>
  <c r="R65" i="13" s="1"/>
  <c r="S65" i="13" s="1"/>
  <c r="T65" i="13" s="1"/>
  <c r="U65" i="13" s="1"/>
  <c r="V65" i="13" s="1"/>
  <c r="W65" i="13" s="1"/>
  <c r="X65" i="13" s="1"/>
  <c r="Y65" i="13" s="1"/>
  <c r="Z65" i="13" s="1"/>
  <c r="AA65" i="13" s="1"/>
  <c r="AB65" i="13" s="1"/>
  <c r="AC65" i="13" s="1"/>
  <c r="AD65" i="13" s="1"/>
  <c r="AE65" i="13" s="1"/>
  <c r="AF65" i="13" s="1"/>
  <c r="AG65" i="13" s="1"/>
  <c r="AH65" i="13" s="1"/>
  <c r="AI65" i="13" s="1"/>
  <c r="AJ65" i="13" s="1"/>
  <c r="AK65" i="13" s="1"/>
  <c r="AL65" i="13" s="1"/>
  <c r="AM65" i="13" s="1"/>
  <c r="AN65" i="13" s="1"/>
  <c r="AO65" i="13" s="1"/>
  <c r="AP65" i="13" s="1"/>
  <c r="AQ65" i="13" s="1"/>
  <c r="AR65" i="13" s="1"/>
  <c r="AS65" i="13" s="1"/>
  <c r="AT65" i="13" s="1"/>
  <c r="AU65" i="13" s="1"/>
  <c r="AV65" i="13" s="1"/>
  <c r="AW65" i="13" s="1"/>
  <c r="AX65" i="13" s="1"/>
  <c r="AY65" i="13" s="1"/>
  <c r="AZ65" i="13" s="1"/>
  <c r="BA65" i="13" s="1"/>
  <c r="O65" i="13"/>
  <c r="Q64" i="13"/>
  <c r="R64" i="13" s="1"/>
  <c r="S64" i="13" s="1"/>
  <c r="T64" i="13" s="1"/>
  <c r="U64" i="13" s="1"/>
  <c r="V64" i="13" s="1"/>
  <c r="W64" i="13" s="1"/>
  <c r="X64" i="13" s="1"/>
  <c r="Y64" i="13" s="1"/>
  <c r="Z64" i="13" s="1"/>
  <c r="AA64" i="13" s="1"/>
  <c r="AB64" i="13" s="1"/>
  <c r="AC64" i="13" s="1"/>
  <c r="AD64" i="13" s="1"/>
  <c r="AE64" i="13" s="1"/>
  <c r="AF64" i="13" s="1"/>
  <c r="AG64" i="13" s="1"/>
  <c r="AH64" i="13" s="1"/>
  <c r="AI64" i="13" s="1"/>
  <c r="AJ64" i="13" s="1"/>
  <c r="AK64" i="13" s="1"/>
  <c r="AL64" i="13" s="1"/>
  <c r="AM64" i="13" s="1"/>
  <c r="AN64" i="13" s="1"/>
  <c r="AO64" i="13" s="1"/>
  <c r="AP64" i="13" s="1"/>
  <c r="AQ64" i="13" s="1"/>
  <c r="AR64" i="13" s="1"/>
  <c r="AS64" i="13" s="1"/>
  <c r="AT64" i="13" s="1"/>
  <c r="AU64" i="13" s="1"/>
  <c r="AV64" i="13" s="1"/>
  <c r="AW64" i="13" s="1"/>
  <c r="AX64" i="13" s="1"/>
  <c r="AY64" i="13" s="1"/>
  <c r="AZ64" i="13" s="1"/>
  <c r="BA64" i="13" s="1"/>
  <c r="O64" i="13"/>
  <c r="Q63" i="13"/>
  <c r="R63" i="13" s="1"/>
  <c r="S63" i="13" s="1"/>
  <c r="T63" i="13" s="1"/>
  <c r="U63" i="13" s="1"/>
  <c r="V63" i="13" s="1"/>
  <c r="W63" i="13" s="1"/>
  <c r="X63" i="13" s="1"/>
  <c r="Y63" i="13" s="1"/>
  <c r="Z63" i="13" s="1"/>
  <c r="AA63" i="13" s="1"/>
  <c r="AB63" i="13" s="1"/>
  <c r="AC63" i="13" s="1"/>
  <c r="AD63" i="13" s="1"/>
  <c r="AE63" i="13" s="1"/>
  <c r="AF63" i="13" s="1"/>
  <c r="AG63" i="13" s="1"/>
  <c r="AH63" i="13" s="1"/>
  <c r="AI63" i="13" s="1"/>
  <c r="AJ63" i="13" s="1"/>
  <c r="AK63" i="13" s="1"/>
  <c r="AL63" i="13" s="1"/>
  <c r="AM63" i="13" s="1"/>
  <c r="AN63" i="13" s="1"/>
  <c r="AO63" i="13" s="1"/>
  <c r="AP63" i="13" s="1"/>
  <c r="AQ63" i="13" s="1"/>
  <c r="AR63" i="13" s="1"/>
  <c r="AS63" i="13" s="1"/>
  <c r="AT63" i="13" s="1"/>
  <c r="AU63" i="13" s="1"/>
  <c r="AV63" i="13" s="1"/>
  <c r="AW63" i="13" s="1"/>
  <c r="AX63" i="13" s="1"/>
  <c r="AY63" i="13" s="1"/>
  <c r="AZ63" i="13" s="1"/>
  <c r="BA63" i="13" s="1"/>
  <c r="O63" i="13"/>
  <c r="Q62" i="13"/>
  <c r="R62" i="13" s="1"/>
  <c r="S62" i="13" s="1"/>
  <c r="T62" i="13" s="1"/>
  <c r="U62" i="13" s="1"/>
  <c r="V62" i="13" s="1"/>
  <c r="W62" i="13" s="1"/>
  <c r="X62" i="13" s="1"/>
  <c r="Y62" i="13" s="1"/>
  <c r="Z62" i="13" s="1"/>
  <c r="AA62" i="13" s="1"/>
  <c r="AB62" i="13" s="1"/>
  <c r="AC62" i="13" s="1"/>
  <c r="AD62" i="13" s="1"/>
  <c r="AE62" i="13" s="1"/>
  <c r="AF62" i="13" s="1"/>
  <c r="AG62" i="13" s="1"/>
  <c r="AH62" i="13" s="1"/>
  <c r="AI62" i="13" s="1"/>
  <c r="AJ62" i="13" s="1"/>
  <c r="AK62" i="13" s="1"/>
  <c r="AL62" i="13" s="1"/>
  <c r="AM62" i="13" s="1"/>
  <c r="AN62" i="13" s="1"/>
  <c r="AO62" i="13" s="1"/>
  <c r="AP62" i="13" s="1"/>
  <c r="AQ62" i="13" s="1"/>
  <c r="AR62" i="13" s="1"/>
  <c r="AS62" i="13" s="1"/>
  <c r="AT62" i="13" s="1"/>
  <c r="AU62" i="13" s="1"/>
  <c r="AV62" i="13" s="1"/>
  <c r="AW62" i="13" s="1"/>
  <c r="AX62" i="13" s="1"/>
  <c r="AY62" i="13" s="1"/>
  <c r="AZ62" i="13" s="1"/>
  <c r="BA62" i="13" s="1"/>
  <c r="O62" i="13"/>
  <c r="Q61" i="13"/>
  <c r="R61" i="13" s="1"/>
  <c r="S61" i="13" s="1"/>
  <c r="T61" i="13" s="1"/>
  <c r="U61" i="13" s="1"/>
  <c r="V61" i="13" s="1"/>
  <c r="W61" i="13" s="1"/>
  <c r="X61" i="13" s="1"/>
  <c r="Y61" i="13" s="1"/>
  <c r="Z61" i="13" s="1"/>
  <c r="AA61" i="13" s="1"/>
  <c r="AB61" i="13" s="1"/>
  <c r="AC61" i="13" s="1"/>
  <c r="AD61" i="13" s="1"/>
  <c r="AE61" i="13" s="1"/>
  <c r="AF61" i="13" s="1"/>
  <c r="AG61" i="13" s="1"/>
  <c r="AH61" i="13" s="1"/>
  <c r="AI61" i="13" s="1"/>
  <c r="AJ61" i="13" s="1"/>
  <c r="AK61" i="13" s="1"/>
  <c r="AL61" i="13" s="1"/>
  <c r="AM61" i="13" s="1"/>
  <c r="AN61" i="13" s="1"/>
  <c r="AO61" i="13" s="1"/>
  <c r="AP61" i="13" s="1"/>
  <c r="AQ61" i="13" s="1"/>
  <c r="AR61" i="13" s="1"/>
  <c r="AS61" i="13" s="1"/>
  <c r="AT61" i="13" s="1"/>
  <c r="AU61" i="13" s="1"/>
  <c r="AV61" i="13" s="1"/>
  <c r="AW61" i="13" s="1"/>
  <c r="AX61" i="13" s="1"/>
  <c r="AY61" i="13" s="1"/>
  <c r="AZ61" i="13" s="1"/>
  <c r="BA61" i="13" s="1"/>
  <c r="O61" i="13"/>
  <c r="O60" i="13"/>
  <c r="P60" i="13" s="1"/>
  <c r="Q60" i="13" s="1"/>
  <c r="R60" i="13" s="1"/>
  <c r="S60" i="13" s="1"/>
  <c r="T60" i="13" s="1"/>
  <c r="U60" i="13" s="1"/>
  <c r="V60" i="13" s="1"/>
  <c r="W60" i="13" s="1"/>
  <c r="X60" i="13" s="1"/>
  <c r="Y60" i="13" s="1"/>
  <c r="Z60" i="13" s="1"/>
  <c r="AA60" i="13" s="1"/>
  <c r="AB60" i="13" s="1"/>
  <c r="AC60" i="13" s="1"/>
  <c r="AD60" i="13" s="1"/>
  <c r="AE60" i="13" s="1"/>
  <c r="AF60" i="13" s="1"/>
  <c r="AG60" i="13" s="1"/>
  <c r="AH60" i="13" s="1"/>
  <c r="AI60" i="13" s="1"/>
  <c r="AJ60" i="13" s="1"/>
  <c r="AK60" i="13" s="1"/>
  <c r="AL60" i="13" s="1"/>
  <c r="AM60" i="13" s="1"/>
  <c r="AN60" i="13" s="1"/>
  <c r="AO60" i="13" s="1"/>
  <c r="AP60" i="13" s="1"/>
  <c r="AQ60" i="13" s="1"/>
  <c r="AR60" i="13" s="1"/>
  <c r="AS60" i="13" s="1"/>
  <c r="AT60" i="13" s="1"/>
  <c r="AU60" i="13" s="1"/>
  <c r="AV60" i="13" s="1"/>
  <c r="AW60" i="13" s="1"/>
  <c r="AX60" i="13" s="1"/>
  <c r="AY60" i="13" s="1"/>
  <c r="AZ60" i="13" s="1"/>
  <c r="BA60" i="13" s="1"/>
  <c r="O59" i="13"/>
  <c r="P59" i="13" s="1"/>
  <c r="S51" i="13"/>
  <c r="T51" i="13" s="1"/>
  <c r="U51" i="13" s="1"/>
  <c r="V51" i="13" s="1"/>
  <c r="W51" i="13" s="1"/>
  <c r="X51" i="13" s="1"/>
  <c r="Y51" i="13" s="1"/>
  <c r="Z51" i="13" s="1"/>
  <c r="AA51" i="13" s="1"/>
  <c r="AB51" i="13" s="1"/>
  <c r="AC51" i="13" s="1"/>
  <c r="AD51" i="13" s="1"/>
  <c r="AE51" i="13" s="1"/>
  <c r="AF51" i="13" s="1"/>
  <c r="AG51" i="13" s="1"/>
  <c r="AH51" i="13" s="1"/>
  <c r="AI51" i="13" s="1"/>
  <c r="AJ51" i="13" s="1"/>
  <c r="AK51" i="13" s="1"/>
  <c r="AL51" i="13" s="1"/>
  <c r="AM51" i="13" s="1"/>
  <c r="AN51" i="13" s="1"/>
  <c r="AO51" i="13" s="1"/>
  <c r="AP51" i="13" s="1"/>
  <c r="AQ51" i="13" s="1"/>
  <c r="AR51" i="13" s="1"/>
  <c r="AS51" i="13" s="1"/>
  <c r="AT51" i="13" s="1"/>
  <c r="AU51" i="13" s="1"/>
  <c r="AV51" i="13" s="1"/>
  <c r="AW51" i="13" s="1"/>
  <c r="AX51" i="13" s="1"/>
  <c r="AY51" i="13" s="1"/>
  <c r="AZ51" i="13" s="1"/>
  <c r="BA51" i="13" s="1"/>
  <c r="W50" i="13"/>
  <c r="X50" i="13" s="1"/>
  <c r="Y50" i="13" s="1"/>
  <c r="Z50" i="13" s="1"/>
  <c r="AA50" i="13" s="1"/>
  <c r="AB50" i="13" s="1"/>
  <c r="AC50" i="13" s="1"/>
  <c r="AD50" i="13" s="1"/>
  <c r="AE50" i="13" s="1"/>
  <c r="AF50" i="13" s="1"/>
  <c r="AG50" i="13" s="1"/>
  <c r="AH50" i="13" s="1"/>
  <c r="AI50" i="13" s="1"/>
  <c r="AJ50" i="13" s="1"/>
  <c r="AK50" i="13" s="1"/>
  <c r="AL50" i="13" s="1"/>
  <c r="AM50" i="13" s="1"/>
  <c r="AN50" i="13" s="1"/>
  <c r="AO50" i="13" s="1"/>
  <c r="AP50" i="13" s="1"/>
  <c r="AQ50" i="13" s="1"/>
  <c r="AR50" i="13" s="1"/>
  <c r="AS50" i="13" s="1"/>
  <c r="AT50" i="13" s="1"/>
  <c r="AU50" i="13" s="1"/>
  <c r="AV50" i="13" s="1"/>
  <c r="AW50" i="13" s="1"/>
  <c r="AX50" i="13" s="1"/>
  <c r="AY50" i="13" s="1"/>
  <c r="AZ50" i="13" s="1"/>
  <c r="BA50" i="13" s="1"/>
  <c r="Q50" i="13"/>
  <c r="R50" i="13" s="1"/>
  <c r="S50" i="13" s="1"/>
  <c r="T50" i="13" s="1"/>
  <c r="U50" i="13" s="1"/>
  <c r="Q48" i="13"/>
  <c r="R48" i="13" s="1"/>
  <c r="S48" i="13" s="1"/>
  <c r="T48" i="13" s="1"/>
  <c r="U48" i="13" s="1"/>
  <c r="V48" i="13" s="1"/>
  <c r="W48" i="13" s="1"/>
  <c r="X48" i="13" s="1"/>
  <c r="Y48" i="13" s="1"/>
  <c r="Z48" i="13" s="1"/>
  <c r="AA48" i="13" s="1"/>
  <c r="AB48" i="13" s="1"/>
  <c r="AC48" i="13" s="1"/>
  <c r="AD48" i="13" s="1"/>
  <c r="AE48" i="13" s="1"/>
  <c r="AF48" i="13" s="1"/>
  <c r="AG48" i="13" s="1"/>
  <c r="AH48" i="13" s="1"/>
  <c r="AI48" i="13" s="1"/>
  <c r="AJ48" i="13" s="1"/>
  <c r="AK48" i="13" s="1"/>
  <c r="AL48" i="13" s="1"/>
  <c r="AM48" i="13" s="1"/>
  <c r="AN48" i="13" s="1"/>
  <c r="AO48" i="13" s="1"/>
  <c r="AP48" i="13" s="1"/>
  <c r="AQ48" i="13" s="1"/>
  <c r="AR48" i="13" s="1"/>
  <c r="AS48" i="13" s="1"/>
  <c r="AT48" i="13" s="1"/>
  <c r="AU48" i="13" s="1"/>
  <c r="AV48" i="13" s="1"/>
  <c r="AW48" i="13" s="1"/>
  <c r="AX48" i="13" s="1"/>
  <c r="AY48" i="13" s="1"/>
  <c r="AZ48" i="13" s="1"/>
  <c r="BA48" i="13" s="1"/>
  <c r="V45" i="13"/>
  <c r="U45" i="13"/>
  <c r="T45" i="13"/>
  <c r="S45" i="13"/>
  <c r="BA41" i="13"/>
  <c r="AZ41" i="13"/>
  <c r="AY41" i="13"/>
  <c r="AX41" i="13"/>
  <c r="AW41" i="13"/>
  <c r="AV41" i="13"/>
  <c r="AU41" i="13"/>
  <c r="AT41" i="13"/>
  <c r="AS41" i="13"/>
  <c r="AR41" i="13"/>
  <c r="AQ41" i="13"/>
  <c r="AP41" i="13"/>
  <c r="AO41" i="13"/>
  <c r="AN41" i="13"/>
  <c r="AM41" i="13"/>
  <c r="AL41" i="13"/>
  <c r="AK41" i="13"/>
  <c r="AJ41" i="13"/>
  <c r="AI41" i="13"/>
  <c r="AH41" i="13"/>
  <c r="AG41" i="13"/>
  <c r="AF41" i="13"/>
  <c r="AE41" i="13"/>
  <c r="AD41" i="13"/>
  <c r="AC41" i="13"/>
  <c r="AB41" i="13"/>
  <c r="AA41" i="13"/>
  <c r="Z41" i="13"/>
  <c r="Y41" i="13"/>
  <c r="X41" i="13"/>
  <c r="W41" i="13"/>
  <c r="V41" i="13"/>
  <c r="U41" i="13"/>
  <c r="T41" i="13"/>
  <c r="S41" i="13"/>
  <c r="R41" i="13"/>
  <c r="Q41" i="13"/>
  <c r="P41" i="13"/>
  <c r="O41" i="13"/>
  <c r="N41" i="13"/>
  <c r="M41" i="13"/>
  <c r="L41" i="13"/>
  <c r="K41" i="13"/>
  <c r="J41" i="13"/>
  <c r="I41" i="13"/>
  <c r="H41" i="13"/>
  <c r="G41" i="13"/>
  <c r="F41" i="13"/>
  <c r="E41" i="13"/>
  <c r="D41" i="13"/>
  <c r="BA40" i="13"/>
  <c r="AZ40" i="13"/>
  <c r="AY40" i="13"/>
  <c r="AX40" i="13"/>
  <c r="AW40" i="13"/>
  <c r="AV40" i="13"/>
  <c r="AU40" i="13"/>
  <c r="AT40" i="13"/>
  <c r="AS40" i="13"/>
  <c r="AR40" i="13"/>
  <c r="AQ40" i="13"/>
  <c r="AP40" i="13"/>
  <c r="AO40" i="13"/>
  <c r="AN40" i="13"/>
  <c r="AM40" i="13"/>
  <c r="AL40" i="13"/>
  <c r="AK40" i="13"/>
  <c r="AJ40" i="13"/>
  <c r="AI40" i="13"/>
  <c r="AH40" i="13"/>
  <c r="AG40" i="13"/>
  <c r="AF40" i="13"/>
  <c r="AE40" i="13"/>
  <c r="AD40" i="13"/>
  <c r="AC40" i="13"/>
  <c r="AB40" i="13"/>
  <c r="AA40" i="13"/>
  <c r="Z40" i="13"/>
  <c r="Y40" i="13"/>
  <c r="X40" i="13"/>
  <c r="W40" i="13"/>
  <c r="V40" i="13"/>
  <c r="U40" i="13"/>
  <c r="T40" i="13"/>
  <c r="S40" i="13"/>
  <c r="R40" i="13"/>
  <c r="Q40" i="13"/>
  <c r="P40" i="13"/>
  <c r="O40" i="13"/>
  <c r="N40" i="13"/>
  <c r="M40" i="13"/>
  <c r="L40" i="13"/>
  <c r="K40" i="13"/>
  <c r="J40" i="13"/>
  <c r="I40" i="13"/>
  <c r="H40" i="13"/>
  <c r="G40" i="13"/>
  <c r="F40" i="13"/>
  <c r="E40" i="13"/>
  <c r="D40" i="13"/>
  <c r="BA39" i="13"/>
  <c r="AZ39" i="13"/>
  <c r="AY39" i="13"/>
  <c r="AX39" i="13"/>
  <c r="AW39" i="13"/>
  <c r="AV39" i="13"/>
  <c r="AU39" i="13"/>
  <c r="AT39" i="13"/>
  <c r="AS39" i="13"/>
  <c r="AR39" i="13"/>
  <c r="AQ39" i="13"/>
  <c r="AP39" i="13"/>
  <c r="AO39" i="13"/>
  <c r="AN39" i="13"/>
  <c r="AM39" i="13"/>
  <c r="AL39" i="13"/>
  <c r="AK39" i="13"/>
  <c r="AJ39" i="13"/>
  <c r="AI39" i="13"/>
  <c r="AH39" i="13"/>
  <c r="AG39" i="13"/>
  <c r="AF39" i="13"/>
  <c r="AE39" i="13"/>
  <c r="AD39" i="13"/>
  <c r="AC39" i="13"/>
  <c r="AB39" i="13"/>
  <c r="AA39" i="13"/>
  <c r="Z39" i="13"/>
  <c r="Y39" i="13"/>
  <c r="X39" i="13"/>
  <c r="W39" i="13"/>
  <c r="V39" i="13"/>
  <c r="U39" i="13"/>
  <c r="T39" i="13"/>
  <c r="S39" i="13"/>
  <c r="R39" i="13"/>
  <c r="Q39" i="13"/>
  <c r="P39" i="13"/>
  <c r="O39" i="13"/>
  <c r="N39" i="13"/>
  <c r="M39" i="13"/>
  <c r="L39" i="13"/>
  <c r="K39" i="13"/>
  <c r="J39" i="13"/>
  <c r="I39" i="13"/>
  <c r="H39" i="13"/>
  <c r="G39" i="13"/>
  <c r="F39" i="13"/>
  <c r="E39" i="13"/>
  <c r="D39" i="13"/>
  <c r="BA35" i="13"/>
  <c r="AZ35" i="13"/>
  <c r="AY35" i="13"/>
  <c r="AX35" i="13"/>
  <c r="AW35" i="13"/>
  <c r="AV35" i="13"/>
  <c r="AU35" i="13"/>
  <c r="AT35" i="13"/>
  <c r="AS35" i="13"/>
  <c r="AR35" i="13"/>
  <c r="AQ35" i="13"/>
  <c r="AP35" i="13"/>
  <c r="AO35" i="13"/>
  <c r="AN35" i="13"/>
  <c r="AM35" i="13"/>
  <c r="AL35" i="13"/>
  <c r="AK35" i="13"/>
  <c r="AJ35" i="13"/>
  <c r="AI35" i="13"/>
  <c r="AH35" i="13"/>
  <c r="AG35" i="13"/>
  <c r="AF35" i="13"/>
  <c r="AE35" i="13"/>
  <c r="AD35" i="13"/>
  <c r="AC35" i="13"/>
  <c r="AB35" i="13"/>
  <c r="AA35" i="13"/>
  <c r="Z35" i="13"/>
  <c r="Y35" i="13"/>
  <c r="X35" i="13"/>
  <c r="W35" i="13"/>
  <c r="V35" i="13"/>
  <c r="U35" i="13"/>
  <c r="T35" i="13"/>
  <c r="S35" i="13"/>
  <c r="R35" i="13"/>
  <c r="Q35" i="13"/>
  <c r="P35" i="13"/>
  <c r="O35" i="13"/>
  <c r="N35" i="13"/>
  <c r="M35" i="13"/>
  <c r="L35" i="13"/>
  <c r="K35" i="13"/>
  <c r="J35" i="13"/>
  <c r="I35" i="13"/>
  <c r="H35" i="13"/>
  <c r="G35" i="13"/>
  <c r="F35" i="13"/>
  <c r="E35" i="13"/>
  <c r="D35" i="13"/>
  <c r="O30" i="13"/>
  <c r="N30" i="13"/>
  <c r="M30" i="13"/>
  <c r="L30" i="13"/>
  <c r="K30" i="13"/>
  <c r="J30" i="13"/>
  <c r="I30" i="13"/>
  <c r="H30" i="13"/>
  <c r="G30" i="13"/>
  <c r="F30" i="13"/>
  <c r="E30" i="13"/>
  <c r="D30" i="13"/>
  <c r="O28" i="13"/>
  <c r="N28" i="13"/>
  <c r="M28" i="13"/>
  <c r="L28" i="13"/>
  <c r="K28" i="13"/>
  <c r="J28" i="13"/>
  <c r="I28" i="13"/>
  <c r="H28" i="13"/>
  <c r="G28" i="13"/>
  <c r="F28" i="13"/>
  <c r="E28" i="13"/>
  <c r="D28" i="13"/>
  <c r="AA25" i="13"/>
  <c r="Z25" i="13"/>
  <c r="Y25" i="13"/>
  <c r="X25" i="13"/>
  <c r="W25" i="13"/>
  <c r="V25" i="13"/>
  <c r="U25" i="13"/>
  <c r="T25" i="13"/>
  <c r="S25" i="13"/>
  <c r="R25" i="13"/>
  <c r="Q25" i="13"/>
  <c r="P25" i="13"/>
  <c r="B25" i="13"/>
  <c r="O24" i="13"/>
  <c r="N24" i="13"/>
  <c r="N29" i="13" s="1"/>
  <c r="M24" i="13"/>
  <c r="M29" i="13" s="1"/>
  <c r="L24" i="13"/>
  <c r="L29" i="13" s="1"/>
  <c r="K24" i="13"/>
  <c r="K29" i="13" s="1"/>
  <c r="J24" i="13"/>
  <c r="J29" i="13" s="1"/>
  <c r="I24" i="13"/>
  <c r="I29" i="13" s="1"/>
  <c r="H24" i="13"/>
  <c r="H29" i="13" s="1"/>
  <c r="G24" i="13"/>
  <c r="G29" i="13" s="1"/>
  <c r="F24" i="13"/>
  <c r="F29" i="13" s="1"/>
  <c r="E24" i="13"/>
  <c r="E29" i="13" s="1"/>
  <c r="D24" i="13"/>
  <c r="D29" i="13" s="1"/>
  <c r="AA23" i="13"/>
  <c r="Z23" i="13"/>
  <c r="Y23" i="13"/>
  <c r="X23" i="13"/>
  <c r="W23" i="13"/>
  <c r="V23" i="13"/>
  <c r="U23" i="13"/>
  <c r="T23" i="13"/>
  <c r="S23" i="13"/>
  <c r="R23" i="13"/>
  <c r="Q23" i="13"/>
  <c r="P23" i="13"/>
  <c r="AZ16" i="13"/>
  <c r="BA16" i="13" s="1"/>
  <c r="AZ13" i="13"/>
  <c r="AZ12" i="13"/>
  <c r="BA12" i="13" s="1"/>
  <c r="AZ11" i="13"/>
  <c r="BA11" i="13" s="1"/>
  <c r="AZ8" i="13"/>
  <c r="BA8" i="13" s="1"/>
  <c r="AZ7" i="13"/>
  <c r="BA7" i="13" s="1"/>
  <c r="AZ6" i="13"/>
  <c r="BA6" i="13" s="1"/>
  <c r="AM3" i="13"/>
  <c r="AY3" i="13" s="1"/>
  <c r="AL3" i="13"/>
  <c r="AX3" i="13" s="1"/>
  <c r="AK3" i="13"/>
  <c r="AW3" i="13" s="1"/>
  <c r="AJ3" i="13"/>
  <c r="AV3" i="13" s="1"/>
  <c r="AI3" i="13"/>
  <c r="AU3" i="13" s="1"/>
  <c r="AH3" i="13"/>
  <c r="AT3" i="13" s="1"/>
  <c r="AG3" i="13"/>
  <c r="AS3" i="13" s="1"/>
  <c r="AF3" i="13"/>
  <c r="AR3" i="13" s="1"/>
  <c r="AE3" i="13"/>
  <c r="AQ3" i="13" s="1"/>
  <c r="AD3" i="13"/>
  <c r="AP3" i="13" s="1"/>
  <c r="AC3" i="13"/>
  <c r="AO3" i="13" s="1"/>
  <c r="BA3" i="13" s="1"/>
  <c r="AB3" i="13"/>
  <c r="AM2" i="13"/>
  <c r="AY2" i="13" s="1"/>
  <c r="AL2" i="13"/>
  <c r="AX2" i="13" s="1"/>
  <c r="AK2" i="13"/>
  <c r="AW2" i="13" s="1"/>
  <c r="AJ2" i="13"/>
  <c r="AV2" i="13" s="1"/>
  <c r="AI2" i="13"/>
  <c r="AU2" i="13" s="1"/>
  <c r="AH2" i="13"/>
  <c r="AT2" i="13" s="1"/>
  <c r="AG2" i="13"/>
  <c r="AS2" i="13" s="1"/>
  <c r="AF2" i="13"/>
  <c r="AR2" i="13" s="1"/>
  <c r="AE2" i="13"/>
  <c r="AQ2" i="13" s="1"/>
  <c r="AD2" i="13"/>
  <c r="AP2" i="13" s="1"/>
  <c r="AC2" i="13"/>
  <c r="AO2" i="13" s="1"/>
  <c r="BA2" i="13" s="1"/>
  <c r="AB2" i="13"/>
  <c r="AN2" i="13" s="1"/>
  <c r="AZ2" i="13" s="1"/>
  <c r="AM1" i="13"/>
  <c r="AY1" i="13" s="1"/>
  <c r="AL1" i="13"/>
  <c r="AX1" i="13" s="1"/>
  <c r="AK1" i="13"/>
  <c r="AW1" i="13" s="1"/>
  <c r="AJ1" i="13"/>
  <c r="AV1" i="13" s="1"/>
  <c r="AI1" i="13"/>
  <c r="AU1" i="13" s="1"/>
  <c r="AH1" i="13"/>
  <c r="AT1" i="13" s="1"/>
  <c r="AG1" i="13"/>
  <c r="AS1" i="13" s="1"/>
  <c r="AF1" i="13"/>
  <c r="AR1" i="13" s="1"/>
  <c r="AE1" i="13"/>
  <c r="AQ1" i="13" s="1"/>
  <c r="AD1" i="13"/>
  <c r="AP1" i="13" s="1"/>
  <c r="AC1" i="13"/>
  <c r="AO1" i="13" s="1"/>
  <c r="AB1" i="13"/>
  <c r="AN1" i="13" s="1"/>
  <c r="B4" i="5"/>
  <c r="B3" i="5"/>
  <c r="B2" i="5"/>
  <c r="A68" i="6"/>
  <c r="C67" i="6"/>
  <c r="B67" i="6"/>
  <c r="F64" i="6"/>
  <c r="D64" i="6"/>
  <c r="F62" i="6"/>
  <c r="D62" i="6"/>
  <c r="F61" i="6"/>
  <c r="D61" i="6"/>
  <c r="F60" i="6"/>
  <c r="D60" i="6"/>
  <c r="F59" i="6"/>
  <c r="D59" i="6"/>
  <c r="F58" i="6"/>
  <c r="F57" i="6"/>
  <c r="F56" i="6"/>
  <c r="D56" i="6"/>
  <c r="D55" i="6"/>
  <c r="F52" i="6"/>
  <c r="D52" i="6"/>
  <c r="D50" i="6"/>
  <c r="D49" i="6"/>
  <c r="D48" i="6"/>
  <c r="D47" i="6"/>
  <c r="F46" i="6"/>
  <c r="D46" i="6"/>
  <c r="D45" i="6"/>
  <c r="F44" i="6"/>
  <c r="A36" i="6"/>
  <c r="C35" i="6"/>
  <c r="B35" i="6"/>
  <c r="C34" i="6"/>
  <c r="B34" i="6"/>
  <c r="C33" i="6"/>
  <c r="B33" i="6"/>
  <c r="C32" i="6"/>
  <c r="B32" i="6"/>
  <c r="C31" i="6"/>
  <c r="B31" i="6"/>
  <c r="C30" i="6"/>
  <c r="B30" i="6"/>
  <c r="C29" i="6"/>
  <c r="B29" i="6"/>
  <c r="C28" i="6"/>
  <c r="B28" i="6"/>
  <c r="C27" i="6"/>
  <c r="B27" i="6"/>
  <c r="C26" i="6"/>
  <c r="B26" i="6"/>
  <c r="C25" i="6"/>
  <c r="B25" i="6"/>
  <c r="C24" i="6"/>
  <c r="B24" i="6"/>
  <c r="C23" i="6"/>
  <c r="B23" i="6"/>
  <c r="C22" i="6"/>
  <c r="B22" i="6"/>
  <c r="C21" i="6"/>
  <c r="B21" i="6"/>
  <c r="C20" i="6"/>
  <c r="B20" i="6"/>
  <c r="C19" i="6"/>
  <c r="B19" i="6"/>
  <c r="C18" i="6"/>
  <c r="B18" i="6"/>
  <c r="C17" i="6"/>
  <c r="B17" i="6"/>
  <c r="C16" i="6"/>
  <c r="B16" i="6"/>
  <c r="C15" i="6"/>
  <c r="B15" i="6"/>
  <c r="C14" i="6"/>
  <c r="B14" i="6"/>
  <c r="C13" i="6"/>
  <c r="B13" i="6"/>
  <c r="C12" i="6"/>
  <c r="B12" i="6"/>
  <c r="C11" i="6"/>
  <c r="B11" i="6"/>
  <c r="C10" i="6"/>
  <c r="B10" i="6"/>
  <c r="C9" i="6"/>
  <c r="B9" i="6"/>
  <c r="C8" i="6"/>
  <c r="B8" i="6"/>
  <c r="C7" i="6"/>
  <c r="B7" i="6"/>
  <c r="A68" i="1"/>
  <c r="A63" i="3" s="1"/>
  <c r="B63" i="3" s="1"/>
  <c r="C67" i="1"/>
  <c r="B67" i="1"/>
  <c r="H64" i="1"/>
  <c r="G64" i="1"/>
  <c r="E64" i="1"/>
  <c r="D64" i="1"/>
  <c r="E59" i="3" s="1"/>
  <c r="G62" i="1"/>
  <c r="F57" i="3" s="1"/>
  <c r="E62" i="1"/>
  <c r="D62" i="1"/>
  <c r="N61" i="1"/>
  <c r="G61" i="1"/>
  <c r="E61" i="1"/>
  <c r="D61" i="1"/>
  <c r="H60" i="1"/>
  <c r="F55" i="3" s="1"/>
  <c r="D60" i="1"/>
  <c r="E55" i="3" s="1"/>
  <c r="H59" i="1"/>
  <c r="F54" i="3" s="1"/>
  <c r="E59" i="1"/>
  <c r="D59" i="1"/>
  <c r="H57" i="1"/>
  <c r="F52" i="3" s="1"/>
  <c r="E57" i="1"/>
  <c r="D57" i="1"/>
  <c r="E52" i="3" s="1"/>
  <c r="K56" i="1"/>
  <c r="H56" i="1"/>
  <c r="F51" i="3" s="1"/>
  <c r="E56" i="1"/>
  <c r="D56" i="1"/>
  <c r="E55" i="1"/>
  <c r="D55" i="1"/>
  <c r="D54" i="1"/>
  <c r="E49" i="3" s="1"/>
  <c r="K51" i="1"/>
  <c r="D51" i="1"/>
  <c r="E46" i="3" s="1"/>
  <c r="O47" i="1"/>
  <c r="H47" i="1"/>
  <c r="E47" i="1"/>
  <c r="D47" i="1"/>
  <c r="E46" i="1"/>
  <c r="E41" i="3" s="1"/>
  <c r="AG43" i="1"/>
  <c r="AF43" i="1"/>
  <c r="E43" i="1"/>
  <c r="D43" i="1"/>
  <c r="E38" i="3" s="1"/>
  <c r="AG42" i="1"/>
  <c r="AF42" i="1"/>
  <c r="H42" i="1"/>
  <c r="F37" i="3" s="1"/>
  <c r="AG41" i="1"/>
  <c r="AF41" i="1"/>
  <c r="AG40" i="1"/>
  <c r="AF40" i="1"/>
  <c r="E40" i="1"/>
  <c r="D40" i="1"/>
  <c r="AG38" i="1"/>
  <c r="AF38" i="1"/>
  <c r="H38" i="1"/>
  <c r="G38" i="1"/>
  <c r="E38" i="1"/>
  <c r="D38" i="1"/>
  <c r="AG37" i="1"/>
  <c r="AF37" i="1"/>
  <c r="O37" i="1"/>
  <c r="H37" i="1"/>
  <c r="E37" i="1"/>
  <c r="D37" i="1"/>
  <c r="E32" i="3" s="1"/>
  <c r="AG36" i="1"/>
  <c r="AF36" i="1"/>
  <c r="V36" i="1"/>
  <c r="U36" i="1"/>
  <c r="H36" i="1"/>
  <c r="F31" i="3" s="1"/>
  <c r="E36" i="1"/>
  <c r="D36" i="1"/>
  <c r="A36" i="1"/>
  <c r="AG35" i="1"/>
  <c r="AF35" i="1"/>
  <c r="H35" i="1"/>
  <c r="F30" i="3" s="1"/>
  <c r="E35" i="1"/>
  <c r="D35" i="1"/>
  <c r="C35" i="1"/>
  <c r="B35" i="1"/>
  <c r="AG34" i="1"/>
  <c r="AF34" i="1"/>
  <c r="D34" i="1"/>
  <c r="C34" i="1"/>
  <c r="B34" i="1"/>
  <c r="AG33" i="1"/>
  <c r="AF33" i="1"/>
  <c r="D33" i="1"/>
  <c r="C33" i="1"/>
  <c r="B33" i="1"/>
  <c r="AG32" i="1"/>
  <c r="AF32" i="1"/>
  <c r="D32" i="1"/>
  <c r="C32" i="1"/>
  <c r="B32" i="1"/>
  <c r="AG31" i="1"/>
  <c r="AF31" i="1"/>
  <c r="D31" i="1"/>
  <c r="C31" i="1"/>
  <c r="B31" i="1"/>
  <c r="AG30" i="1"/>
  <c r="AF30" i="1"/>
  <c r="D30" i="1"/>
  <c r="C30" i="1"/>
  <c r="B30" i="1"/>
  <c r="AG29" i="1"/>
  <c r="AF29" i="1"/>
  <c r="D29" i="1"/>
  <c r="C29" i="1"/>
  <c r="B29" i="1"/>
  <c r="AG28" i="1"/>
  <c r="AF28" i="1"/>
  <c r="D28" i="1"/>
  <c r="C28" i="1"/>
  <c r="B28" i="1"/>
  <c r="AG27" i="1"/>
  <c r="AF27" i="1"/>
  <c r="L27" i="1"/>
  <c r="G22" i="3" s="1"/>
  <c r="E27" i="1"/>
  <c r="E22" i="3" s="1"/>
  <c r="C27" i="1"/>
  <c r="B27" i="1"/>
  <c r="AG26" i="1"/>
  <c r="AF26" i="1"/>
  <c r="D26" i="1"/>
  <c r="C26" i="1"/>
  <c r="B26" i="1"/>
  <c r="AG25" i="1"/>
  <c r="AF25" i="1"/>
  <c r="K25" i="1"/>
  <c r="D25" i="1"/>
  <c r="C25" i="1"/>
  <c r="B25" i="1"/>
  <c r="AG24" i="1"/>
  <c r="AF24" i="1"/>
  <c r="D24" i="1"/>
  <c r="C24" i="1"/>
  <c r="B24" i="1"/>
  <c r="AG23" i="1"/>
  <c r="AF23" i="1"/>
  <c r="D23" i="1"/>
  <c r="C23" i="1"/>
  <c r="B23" i="1"/>
  <c r="AG22" i="1"/>
  <c r="AF22" i="1"/>
  <c r="D22" i="1"/>
  <c r="C22" i="1"/>
  <c r="B22" i="1"/>
  <c r="AG21" i="1"/>
  <c r="AF21" i="1"/>
  <c r="D21" i="1"/>
  <c r="C21" i="1"/>
  <c r="B21" i="1"/>
  <c r="AG20" i="1"/>
  <c r="AF20" i="1"/>
  <c r="L20" i="1"/>
  <c r="G15" i="3" s="1"/>
  <c r="D20" i="1"/>
  <c r="C20" i="1"/>
  <c r="B20" i="1"/>
  <c r="AG19" i="1"/>
  <c r="AF19" i="1"/>
  <c r="L19" i="1"/>
  <c r="G14" i="3" s="1"/>
  <c r="D19" i="1"/>
  <c r="C19" i="1"/>
  <c r="B19" i="1"/>
  <c r="AG18" i="1"/>
  <c r="AF18" i="1"/>
  <c r="D18" i="1"/>
  <c r="C18" i="1"/>
  <c r="B18" i="1"/>
  <c r="AG17" i="1"/>
  <c r="AF17" i="1"/>
  <c r="D17" i="1"/>
  <c r="C17" i="1"/>
  <c r="B17" i="1"/>
  <c r="AG16" i="1"/>
  <c r="AF16" i="1"/>
  <c r="D16" i="1"/>
  <c r="C16" i="1"/>
  <c r="B16" i="1"/>
  <c r="AG15" i="1"/>
  <c r="AF15" i="1"/>
  <c r="D15" i="1"/>
  <c r="C15" i="1"/>
  <c r="B15" i="1"/>
  <c r="AG14" i="1"/>
  <c r="AF14" i="1"/>
  <c r="D14" i="1"/>
  <c r="C14" i="1"/>
  <c r="B14" i="1"/>
  <c r="AG13" i="1"/>
  <c r="AF13" i="1"/>
  <c r="D13" i="1"/>
  <c r="C13" i="1"/>
  <c r="B13" i="1"/>
  <c r="AG12" i="1"/>
  <c r="AF12" i="1"/>
  <c r="D12" i="1"/>
  <c r="C12" i="1"/>
  <c r="B12" i="1"/>
  <c r="AG11" i="1"/>
  <c r="AF11" i="1"/>
  <c r="D11" i="1"/>
  <c r="C11" i="1"/>
  <c r="B11" i="1"/>
  <c r="AF10" i="1"/>
  <c r="D10" i="1"/>
  <c r="C10" i="1"/>
  <c r="B10" i="1"/>
  <c r="AF9" i="1"/>
  <c r="D9" i="1"/>
  <c r="C9" i="1"/>
  <c r="B9" i="1"/>
  <c r="AF8" i="1"/>
  <c r="D8" i="1"/>
  <c r="C8" i="1"/>
  <c r="B8" i="1"/>
  <c r="AF7" i="1"/>
  <c r="D7" i="1"/>
  <c r="C7" i="1"/>
  <c r="B7" i="1"/>
  <c r="F258" i="3"/>
  <c r="C258" i="3"/>
  <c r="F257" i="3"/>
  <c r="C257" i="3"/>
  <c r="F256" i="3"/>
  <c r="C256" i="3"/>
  <c r="F255" i="3"/>
  <c r="C255" i="3"/>
  <c r="F254" i="3"/>
  <c r="C254" i="3"/>
  <c r="F253" i="3"/>
  <c r="C253" i="3"/>
  <c r="F252" i="3"/>
  <c r="C252" i="3"/>
  <c r="F251" i="3"/>
  <c r="C251" i="3"/>
  <c r="F250" i="3"/>
  <c r="C250" i="3"/>
  <c r="F249" i="3"/>
  <c r="C249" i="3"/>
  <c r="F248" i="3"/>
  <c r="C248" i="3"/>
  <c r="F247" i="3"/>
  <c r="C247" i="3"/>
  <c r="F246" i="3"/>
  <c r="C246" i="3"/>
  <c r="F245" i="3"/>
  <c r="C245" i="3"/>
  <c r="F244" i="3"/>
  <c r="C244" i="3"/>
  <c r="F243" i="3"/>
  <c r="C243" i="3"/>
  <c r="F242" i="3"/>
  <c r="C242" i="3"/>
  <c r="F241" i="3"/>
  <c r="C241" i="3"/>
  <c r="F240" i="3"/>
  <c r="C240" i="3"/>
  <c r="F239" i="3"/>
  <c r="C239" i="3"/>
  <c r="F238" i="3"/>
  <c r="C238" i="3"/>
  <c r="F237" i="3"/>
  <c r="C237" i="3"/>
  <c r="F236" i="3"/>
  <c r="C236" i="3"/>
  <c r="F235" i="3"/>
  <c r="C235" i="3"/>
  <c r="F234" i="3"/>
  <c r="C234" i="3"/>
  <c r="F233" i="3"/>
  <c r="C233" i="3"/>
  <c r="F232" i="3"/>
  <c r="C232" i="3"/>
  <c r="F231" i="3"/>
  <c r="C231" i="3"/>
  <c r="F230" i="3"/>
  <c r="C230" i="3"/>
  <c r="F229" i="3"/>
  <c r="C229" i="3"/>
  <c r="F228" i="3"/>
  <c r="C228" i="3"/>
  <c r="F227" i="3"/>
  <c r="C227" i="3"/>
  <c r="F226" i="3"/>
  <c r="C226" i="3"/>
  <c r="F225" i="3"/>
  <c r="C225" i="3"/>
  <c r="F224" i="3"/>
  <c r="C224" i="3"/>
  <c r="F223" i="3"/>
  <c r="C223" i="3"/>
  <c r="F222" i="3"/>
  <c r="C222" i="3"/>
  <c r="F221" i="3"/>
  <c r="C221" i="3"/>
  <c r="F220" i="3"/>
  <c r="C220" i="3"/>
  <c r="F219" i="3"/>
  <c r="C219" i="3"/>
  <c r="F218" i="3"/>
  <c r="C218" i="3"/>
  <c r="F217" i="3"/>
  <c r="C217" i="3"/>
  <c r="F216" i="3"/>
  <c r="C216" i="3"/>
  <c r="F215" i="3"/>
  <c r="C215" i="3"/>
  <c r="F214" i="3"/>
  <c r="C214" i="3"/>
  <c r="F213" i="3"/>
  <c r="C213" i="3"/>
  <c r="F212" i="3"/>
  <c r="C212" i="3"/>
  <c r="F211" i="3"/>
  <c r="C211" i="3"/>
  <c r="F210" i="3"/>
  <c r="C210" i="3"/>
  <c r="F209" i="3"/>
  <c r="C209" i="3"/>
  <c r="F208" i="3"/>
  <c r="C208" i="3"/>
  <c r="F207" i="3"/>
  <c r="C207" i="3"/>
  <c r="F206" i="3"/>
  <c r="C206" i="3"/>
  <c r="F205" i="3"/>
  <c r="C205" i="3"/>
  <c r="F204" i="3"/>
  <c r="C204" i="3"/>
  <c r="F203" i="3"/>
  <c r="C203" i="3"/>
  <c r="F202" i="3"/>
  <c r="C202" i="3"/>
  <c r="F201" i="3"/>
  <c r="C201" i="3"/>
  <c r="F200" i="3"/>
  <c r="C200" i="3"/>
  <c r="F199" i="3"/>
  <c r="C199" i="3"/>
  <c r="F198" i="3"/>
  <c r="C198" i="3"/>
  <c r="F197" i="3"/>
  <c r="C197" i="3"/>
  <c r="F196" i="3"/>
  <c r="C196" i="3"/>
  <c r="F195" i="3"/>
  <c r="C195" i="3"/>
  <c r="F194" i="3"/>
  <c r="C194" i="3"/>
  <c r="F193" i="3"/>
  <c r="C193" i="3"/>
  <c r="F192" i="3"/>
  <c r="C192" i="3"/>
  <c r="F191" i="3"/>
  <c r="C191" i="3"/>
  <c r="F190" i="3"/>
  <c r="C190" i="3"/>
  <c r="F189" i="3"/>
  <c r="C189" i="3"/>
  <c r="F188" i="3"/>
  <c r="A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3" i="3"/>
  <c r="F98" i="3"/>
  <c r="F97" i="3"/>
  <c r="F96" i="3"/>
  <c r="F93" i="3"/>
  <c r="F92" i="3"/>
  <c r="F88" i="3"/>
  <c r="F83" i="3"/>
  <c r="F82" i="3"/>
  <c r="F80" i="3"/>
  <c r="F78" i="3"/>
  <c r="F74" i="3"/>
  <c r="F73" i="3"/>
  <c r="F72" i="3"/>
  <c r="F71" i="3"/>
  <c r="F70" i="3"/>
  <c r="F69" i="3"/>
  <c r="F68" i="3"/>
  <c r="F63" i="3"/>
  <c r="A62" i="3"/>
  <c r="B62" i="3" s="1"/>
  <c r="F58" i="3"/>
  <c r="F53" i="3"/>
  <c r="F50" i="3"/>
  <c r="F49" i="3"/>
  <c r="F48" i="3"/>
  <c r="F47" i="3"/>
  <c r="F46" i="3"/>
  <c r="F45" i="3"/>
  <c r="F44" i="3"/>
  <c r="F43" i="3"/>
  <c r="F41" i="3"/>
  <c r="F40" i="3"/>
  <c r="F39" i="3"/>
  <c r="F38" i="3"/>
  <c r="F36" i="3"/>
  <c r="F35" i="3"/>
  <c r="F34" i="3"/>
  <c r="A30" i="3"/>
  <c r="F29" i="3"/>
  <c r="A29" i="3"/>
  <c r="F28" i="3"/>
  <c r="A28" i="3"/>
  <c r="F27" i="3"/>
  <c r="A27" i="3"/>
  <c r="F26" i="3"/>
  <c r="A26" i="3"/>
  <c r="F25" i="3"/>
  <c r="A25" i="3"/>
  <c r="F24" i="3"/>
  <c r="A24" i="3"/>
  <c r="F23" i="3"/>
  <c r="A23" i="3"/>
  <c r="F22" i="3"/>
  <c r="A22" i="3"/>
  <c r="F21" i="3"/>
  <c r="A21" i="3"/>
  <c r="F20" i="3"/>
  <c r="A20" i="3"/>
  <c r="F19" i="3"/>
  <c r="A19" i="3"/>
  <c r="F18" i="3"/>
  <c r="A18" i="3"/>
  <c r="F17" i="3"/>
  <c r="A17" i="3"/>
  <c r="F16" i="3"/>
  <c r="A16" i="3"/>
  <c r="F15" i="3"/>
  <c r="A15" i="3"/>
  <c r="F14" i="3"/>
  <c r="A14" i="3"/>
  <c r="F13" i="3"/>
  <c r="A13" i="3"/>
  <c r="F12" i="3"/>
  <c r="A12" i="3"/>
  <c r="F11" i="3"/>
  <c r="A11" i="3"/>
  <c r="F10" i="3"/>
  <c r="A10" i="3"/>
  <c r="F9" i="3"/>
  <c r="A9" i="3"/>
  <c r="F8" i="3"/>
  <c r="A8" i="3"/>
  <c r="F7" i="3"/>
  <c r="A7" i="3"/>
  <c r="F6" i="3"/>
  <c r="A6" i="3"/>
  <c r="F5" i="3"/>
  <c r="A5" i="3"/>
  <c r="F4" i="3"/>
  <c r="A4" i="3"/>
  <c r="F3" i="3"/>
  <c r="A3" i="3"/>
  <c r="H2" i="3"/>
  <c r="G2" i="3"/>
  <c r="F2" i="3"/>
  <c r="A2" i="3"/>
  <c r="L74" i="11"/>
  <c r="L68" i="11"/>
  <c r="N63" i="11"/>
  <c r="N62" i="11"/>
  <c r="M62" i="11"/>
  <c r="L62" i="11"/>
  <c r="N60" i="11"/>
  <c r="M60" i="11"/>
  <c r="L60" i="11"/>
  <c r="N58" i="11"/>
  <c r="N57" i="11"/>
  <c r="L57" i="11"/>
  <c r="N56" i="11"/>
  <c r="L56" i="11"/>
  <c r="C4" i="11"/>
  <c r="D3" i="11"/>
  <c r="D4" i="11" s="1"/>
  <c r="D23" i="17"/>
  <c r="D22" i="17"/>
  <c r="D16" i="17"/>
  <c r="D11" i="17"/>
  <c r="C7" i="17"/>
  <c r="C3" i="17"/>
  <c r="C29" i="18"/>
  <c r="C7" i="18"/>
  <c r="C3" i="18"/>
  <c r="H2" i="18" l="1"/>
  <c r="E90" i="3"/>
  <c r="H86" i="3"/>
  <c r="G84" i="3"/>
  <c r="H85" i="3"/>
  <c r="G74" i="3"/>
  <c r="F104" i="3"/>
  <c r="O104" i="3" s="1"/>
  <c r="E74" i="3"/>
  <c r="N74" i="3" s="1"/>
  <c r="E51" i="3"/>
  <c r="N51" i="3" s="1"/>
  <c r="P159" i="4"/>
  <c r="C159" i="4" s="1"/>
  <c r="Q161" i="4"/>
  <c r="D161" i="4" s="1"/>
  <c r="P161" i="4"/>
  <c r="C161" i="4" s="1"/>
  <c r="U160" i="4"/>
  <c r="H160" i="4" s="1"/>
  <c r="T160" i="4"/>
  <c r="G160" i="4" s="1"/>
  <c r="S160" i="4"/>
  <c r="F160" i="4" s="1"/>
  <c r="Q160" i="4"/>
  <c r="D160" i="4" s="1"/>
  <c r="P160" i="4"/>
  <c r="C160" i="4" s="1"/>
  <c r="U159" i="4"/>
  <c r="H159" i="4" s="1"/>
  <c r="T159" i="4"/>
  <c r="G159" i="4" s="1"/>
  <c r="S159" i="4"/>
  <c r="F159" i="4" s="1"/>
  <c r="Q159" i="4"/>
  <c r="D159" i="4" s="1"/>
  <c r="U158" i="4"/>
  <c r="H158" i="4" s="1"/>
  <c r="T158" i="4"/>
  <c r="G158" i="4" s="1"/>
  <c r="S158" i="4"/>
  <c r="F158" i="4" s="1"/>
  <c r="Q158" i="4"/>
  <c r="D158" i="4" s="1"/>
  <c r="P158" i="4"/>
  <c r="C158" i="4" s="1"/>
  <c r="U157" i="4"/>
  <c r="H157" i="4" s="1"/>
  <c r="AR75" i="4"/>
  <c r="E102" i="3"/>
  <c r="N102" i="3" s="1"/>
  <c r="AR74" i="4"/>
  <c r="E101" i="3"/>
  <c r="N101" i="3" s="1"/>
  <c r="AR78" i="4"/>
  <c r="E105" i="3"/>
  <c r="N105" i="3" s="1"/>
  <c r="AR77" i="4"/>
  <c r="E104" i="3"/>
  <c r="N104" i="3" s="1"/>
  <c r="AR79" i="4"/>
  <c r="E106" i="3"/>
  <c r="N106" i="3" s="1"/>
  <c r="E31" i="3"/>
  <c r="N31" i="3" s="1"/>
  <c r="F106" i="3"/>
  <c r="O106" i="3" s="1"/>
  <c r="AT79" i="4"/>
  <c r="G75" i="3"/>
  <c r="E35" i="3"/>
  <c r="N35" i="3" s="1"/>
  <c r="E76" i="3"/>
  <c r="N76" i="3" s="1"/>
  <c r="F105" i="3"/>
  <c r="O105" i="3" s="1"/>
  <c r="R110" i="1"/>
  <c r="T110" i="1" s="1"/>
  <c r="R7" i="1"/>
  <c r="R8" i="1"/>
  <c r="R9" i="1"/>
  <c r="R10" i="1"/>
  <c r="R11" i="1"/>
  <c r="R12" i="1"/>
  <c r="T12" i="1" s="1"/>
  <c r="R13" i="1"/>
  <c r="T13" i="1" s="1"/>
  <c r="R14" i="1"/>
  <c r="T14" i="1" s="1"/>
  <c r="R15" i="1"/>
  <c r="T15" i="1" s="1"/>
  <c r="R16" i="1"/>
  <c r="T16" i="1" s="1"/>
  <c r="R17" i="1"/>
  <c r="T17" i="1" s="1"/>
  <c r="R18" i="1"/>
  <c r="T18" i="1" s="1"/>
  <c r="R19" i="1"/>
  <c r="T19" i="1" s="1"/>
  <c r="R20" i="1"/>
  <c r="T20" i="1" s="1"/>
  <c r="R21" i="1"/>
  <c r="T21" i="1" s="1"/>
  <c r="R22" i="1"/>
  <c r="T22" i="1" s="1"/>
  <c r="R23" i="1"/>
  <c r="T23" i="1" s="1"/>
  <c r="R24" i="1"/>
  <c r="T24" i="1" s="1"/>
  <c r="R25" i="1"/>
  <c r="T25" i="1" s="1"/>
  <c r="R26" i="1"/>
  <c r="T26" i="1" s="1"/>
  <c r="R27" i="1"/>
  <c r="T27" i="1" s="1"/>
  <c r="R28" i="1"/>
  <c r="T28" i="1" s="1"/>
  <c r="R29" i="1"/>
  <c r="T29" i="1" s="1"/>
  <c r="R30" i="1"/>
  <c r="T30" i="1" s="1"/>
  <c r="R31" i="1"/>
  <c r="T31" i="1" s="1"/>
  <c r="R32" i="1"/>
  <c r="T32" i="1" s="1"/>
  <c r="R33" i="1"/>
  <c r="T33" i="1" s="1"/>
  <c r="R34" i="1"/>
  <c r="T34" i="1" s="1"/>
  <c r="R35" i="1"/>
  <c r="T35" i="1" s="1"/>
  <c r="R36" i="1"/>
  <c r="T36" i="1" s="1"/>
  <c r="R37" i="1"/>
  <c r="T37" i="1" s="1"/>
  <c r="R38" i="1"/>
  <c r="T38" i="1" s="1"/>
  <c r="R39" i="1"/>
  <c r="T39" i="1" s="1"/>
  <c r="R40" i="1"/>
  <c r="T40" i="1" s="1"/>
  <c r="R41" i="1"/>
  <c r="T41" i="1" s="1"/>
  <c r="R42" i="1"/>
  <c r="T42" i="1" s="1"/>
  <c r="R43" i="1"/>
  <c r="T43" i="1" s="1"/>
  <c r="R44" i="1"/>
  <c r="T44" i="1" s="1"/>
  <c r="R45" i="1"/>
  <c r="T45" i="1" s="1"/>
  <c r="R46" i="1"/>
  <c r="T46" i="1" s="1"/>
  <c r="R47" i="1"/>
  <c r="T47" i="1" s="1"/>
  <c r="R48" i="1"/>
  <c r="T48" i="1" s="1"/>
  <c r="R49" i="1"/>
  <c r="T49" i="1" s="1"/>
  <c r="R50" i="1"/>
  <c r="T50" i="1" s="1"/>
  <c r="R51" i="1"/>
  <c r="T51" i="1" s="1"/>
  <c r="R52" i="1"/>
  <c r="T52" i="1" s="1"/>
  <c r="R53" i="1"/>
  <c r="T53" i="1" s="1"/>
  <c r="R54" i="1"/>
  <c r="T54" i="1" s="1"/>
  <c r="R55" i="1"/>
  <c r="T55" i="1" s="1"/>
  <c r="R56" i="1"/>
  <c r="T56" i="1" s="1"/>
  <c r="R57" i="1"/>
  <c r="T57" i="1" s="1"/>
  <c r="R58" i="1"/>
  <c r="T58" i="1" s="1"/>
  <c r="R59" i="1"/>
  <c r="T59" i="1" s="1"/>
  <c r="R60" i="1"/>
  <c r="T60" i="1" s="1"/>
  <c r="R61" i="1"/>
  <c r="T61" i="1" s="1"/>
  <c r="R62" i="1"/>
  <c r="T62" i="1" s="1"/>
  <c r="R63" i="1"/>
  <c r="T63" i="1" s="1"/>
  <c r="R64" i="1"/>
  <c r="T64" i="1" s="1"/>
  <c r="R65" i="1"/>
  <c r="T65" i="1" s="1"/>
  <c r="R66" i="1"/>
  <c r="T66" i="1" s="1"/>
  <c r="R67" i="1"/>
  <c r="T67" i="1" s="1"/>
  <c r="R68" i="1"/>
  <c r="T68" i="1" s="1"/>
  <c r="R69" i="1"/>
  <c r="T69" i="1" s="1"/>
  <c r="R70" i="1"/>
  <c r="T70" i="1" s="1"/>
  <c r="R71" i="1"/>
  <c r="T71" i="1" s="1"/>
  <c r="R72" i="1"/>
  <c r="T72" i="1" s="1"/>
  <c r="R73" i="1"/>
  <c r="T73" i="1" s="1"/>
  <c r="R74" i="1"/>
  <c r="T74" i="1" s="1"/>
  <c r="R75" i="1"/>
  <c r="T75" i="1" s="1"/>
  <c r="R76" i="1"/>
  <c r="T76" i="1" s="1"/>
  <c r="R77" i="1"/>
  <c r="T77" i="1" s="1"/>
  <c r="R78" i="1"/>
  <c r="T78" i="1" s="1"/>
  <c r="R79" i="1"/>
  <c r="T79" i="1" s="1"/>
  <c r="R80" i="1"/>
  <c r="T80" i="1" s="1"/>
  <c r="R81" i="1"/>
  <c r="T81" i="1" s="1"/>
  <c r="R82" i="1"/>
  <c r="T82" i="1" s="1"/>
  <c r="R83" i="1"/>
  <c r="T83" i="1" s="1"/>
  <c r="R84" i="1"/>
  <c r="T84" i="1" s="1"/>
  <c r="R85" i="1"/>
  <c r="T85" i="1" s="1"/>
  <c r="R86" i="1"/>
  <c r="T86" i="1" s="1"/>
  <c r="R87" i="1"/>
  <c r="T87" i="1" s="1"/>
  <c r="R88" i="1"/>
  <c r="T88" i="1" s="1"/>
  <c r="R89" i="1"/>
  <c r="T89" i="1" s="1"/>
  <c r="R90" i="1"/>
  <c r="T90" i="1" s="1"/>
  <c r="R91" i="1"/>
  <c r="T91" i="1" s="1"/>
  <c r="R92" i="1"/>
  <c r="T92" i="1" s="1"/>
  <c r="R93" i="1"/>
  <c r="T93" i="1" s="1"/>
  <c r="R94" i="1"/>
  <c r="T94" i="1" s="1"/>
  <c r="R95" i="1"/>
  <c r="T95" i="1" s="1"/>
  <c r="R96" i="1"/>
  <c r="T96" i="1" s="1"/>
  <c r="R97" i="1"/>
  <c r="T97" i="1" s="1"/>
  <c r="R98" i="1"/>
  <c r="T98" i="1" s="1"/>
  <c r="R99" i="1"/>
  <c r="T99" i="1" s="1"/>
  <c r="R100" i="1"/>
  <c r="T100" i="1" s="1"/>
  <c r="R101" i="1"/>
  <c r="T101" i="1" s="1"/>
  <c r="R102" i="1"/>
  <c r="T102" i="1" s="1"/>
  <c r="R103" i="1"/>
  <c r="T103" i="1" s="1"/>
  <c r="R104" i="1"/>
  <c r="T104" i="1" s="1"/>
  <c r="R105" i="1"/>
  <c r="T105" i="1" s="1"/>
  <c r="R106" i="1"/>
  <c r="T106" i="1" s="1"/>
  <c r="R107" i="1"/>
  <c r="T107" i="1" s="1"/>
  <c r="R108" i="1"/>
  <c r="T108" i="1" s="1"/>
  <c r="R109" i="1"/>
  <c r="T109" i="1" s="1"/>
  <c r="E33" i="3"/>
  <c r="N33" i="3" s="1"/>
  <c r="E30" i="3"/>
  <c r="N30" i="3" s="1"/>
  <c r="R73" i="4"/>
  <c r="R68" i="4"/>
  <c r="R111" i="4"/>
  <c r="E111" i="4" s="1"/>
  <c r="R112" i="4"/>
  <c r="E112" i="4" s="1"/>
  <c r="R113" i="4"/>
  <c r="E113" i="4" s="1"/>
  <c r="R114" i="4"/>
  <c r="E114" i="4" s="1"/>
  <c r="R115" i="4"/>
  <c r="E115" i="4" s="1"/>
  <c r="R116" i="4"/>
  <c r="E116" i="4" s="1"/>
  <c r="R117" i="4"/>
  <c r="E117" i="4" s="1"/>
  <c r="R118" i="4"/>
  <c r="E118" i="4" s="1"/>
  <c r="R119" i="4"/>
  <c r="E119" i="4" s="1"/>
  <c r="R120" i="4"/>
  <c r="E120" i="4" s="1"/>
  <c r="R121" i="4"/>
  <c r="E121" i="4" s="1"/>
  <c r="R122" i="4"/>
  <c r="E122" i="4" s="1"/>
  <c r="R123" i="4"/>
  <c r="E123" i="4" s="1"/>
  <c r="R124" i="4"/>
  <c r="E124" i="4" s="1"/>
  <c r="R125" i="4"/>
  <c r="E125" i="4" s="1"/>
  <c r="R126" i="4"/>
  <c r="E126" i="4" s="1"/>
  <c r="R127" i="4"/>
  <c r="E127" i="4" s="1"/>
  <c r="R128" i="4"/>
  <c r="E128" i="4" s="1"/>
  <c r="R129" i="4"/>
  <c r="E129" i="4" s="1"/>
  <c r="R130" i="4"/>
  <c r="E130" i="4" s="1"/>
  <c r="R131" i="4"/>
  <c r="E131" i="4" s="1"/>
  <c r="R132" i="4"/>
  <c r="E132" i="4" s="1"/>
  <c r="R133" i="4"/>
  <c r="E133" i="4" s="1"/>
  <c r="R134" i="4"/>
  <c r="E134" i="4" s="1"/>
  <c r="R135" i="4"/>
  <c r="E135" i="4" s="1"/>
  <c r="R136" i="4"/>
  <c r="E136" i="4" s="1"/>
  <c r="R137" i="4"/>
  <c r="E137" i="4" s="1"/>
  <c r="R138" i="4"/>
  <c r="E138" i="4" s="1"/>
  <c r="R139" i="4"/>
  <c r="E139" i="4" s="1"/>
  <c r="R140" i="4"/>
  <c r="E140" i="4" s="1"/>
  <c r="R141" i="4"/>
  <c r="E141" i="4" s="1"/>
  <c r="R142" i="4"/>
  <c r="E142" i="4" s="1"/>
  <c r="R143" i="4"/>
  <c r="E143" i="4" s="1"/>
  <c r="R144" i="4"/>
  <c r="E144" i="4" s="1"/>
  <c r="R145" i="4"/>
  <c r="E145" i="4" s="1"/>
  <c r="R146" i="4"/>
  <c r="E146" i="4" s="1"/>
  <c r="R147" i="4"/>
  <c r="E147" i="4" s="1"/>
  <c r="R148" i="4"/>
  <c r="E148" i="4" s="1"/>
  <c r="R149" i="4"/>
  <c r="E149" i="4" s="1"/>
  <c r="R150" i="4"/>
  <c r="E150" i="4" s="1"/>
  <c r="R151" i="4"/>
  <c r="E151" i="4" s="1"/>
  <c r="R152" i="4"/>
  <c r="E152" i="4" s="1"/>
  <c r="R153" i="4"/>
  <c r="E153" i="4" s="1"/>
  <c r="R154" i="4"/>
  <c r="E154" i="4" s="1"/>
  <c r="R155" i="4"/>
  <c r="E155" i="4" s="1"/>
  <c r="R156" i="4"/>
  <c r="E156" i="4" s="1"/>
  <c r="R157" i="4"/>
  <c r="E157" i="4" s="1"/>
  <c r="R158" i="4"/>
  <c r="E158" i="4" s="1"/>
  <c r="R159" i="4"/>
  <c r="E159" i="4" s="1"/>
  <c r="R160" i="4"/>
  <c r="E160" i="4" s="1"/>
  <c r="R161" i="4"/>
  <c r="E161" i="4" s="1"/>
  <c r="R3" i="4"/>
  <c r="E3" i="4" s="1"/>
  <c r="R72" i="4"/>
  <c r="R76" i="4"/>
  <c r="E76" i="4" s="1"/>
  <c r="R77" i="4"/>
  <c r="E77" i="4" s="1"/>
  <c r="R78" i="4"/>
  <c r="E78" i="4" s="1"/>
  <c r="R79" i="4"/>
  <c r="R80" i="4"/>
  <c r="E80" i="4" s="1"/>
  <c r="R81" i="4"/>
  <c r="E81" i="4" s="1"/>
  <c r="R82" i="4"/>
  <c r="E82" i="4" s="1"/>
  <c r="R83" i="4"/>
  <c r="E83" i="4" s="1"/>
  <c r="R84" i="4"/>
  <c r="E84" i="4" s="1"/>
  <c r="R85" i="4"/>
  <c r="E85" i="4" s="1"/>
  <c r="R86" i="4"/>
  <c r="E86" i="4" s="1"/>
  <c r="R87" i="4"/>
  <c r="E87" i="4" s="1"/>
  <c r="R88" i="4"/>
  <c r="E88" i="4" s="1"/>
  <c r="R89" i="4"/>
  <c r="E89" i="4" s="1"/>
  <c r="R90" i="4"/>
  <c r="E90" i="4" s="1"/>
  <c r="R91" i="4"/>
  <c r="E91" i="4" s="1"/>
  <c r="R92" i="4"/>
  <c r="E92" i="4" s="1"/>
  <c r="R70" i="4"/>
  <c r="E70" i="4" s="1"/>
  <c r="R94" i="4"/>
  <c r="E94" i="4" s="1"/>
  <c r="R95" i="4"/>
  <c r="E95" i="4" s="1"/>
  <c r="R96" i="4"/>
  <c r="E96" i="4" s="1"/>
  <c r="R97" i="4"/>
  <c r="E97" i="4" s="1"/>
  <c r="R98" i="4"/>
  <c r="E98" i="4" s="1"/>
  <c r="R99" i="4"/>
  <c r="E99" i="4" s="1"/>
  <c r="R100" i="4"/>
  <c r="E100" i="4" s="1"/>
  <c r="R101" i="4"/>
  <c r="E101" i="4" s="1"/>
  <c r="R102" i="4"/>
  <c r="E102" i="4" s="1"/>
  <c r="R103" i="4"/>
  <c r="E103" i="4" s="1"/>
  <c r="R104" i="4"/>
  <c r="E104" i="4" s="1"/>
  <c r="R105" i="4"/>
  <c r="E105" i="4" s="1"/>
  <c r="R106" i="4"/>
  <c r="E106" i="4" s="1"/>
  <c r="R107" i="4"/>
  <c r="E107" i="4" s="1"/>
  <c r="R108" i="4"/>
  <c r="E108" i="4" s="1"/>
  <c r="R109" i="4"/>
  <c r="E109" i="4" s="1"/>
  <c r="R110" i="4"/>
  <c r="E110" i="4" s="1"/>
  <c r="R71" i="4"/>
  <c r="E71" i="4" s="1"/>
  <c r="R93" i="4"/>
  <c r="E93" i="4" s="1"/>
  <c r="R6" i="4"/>
  <c r="R7" i="4"/>
  <c r="E7" i="4" s="1"/>
  <c r="R8" i="4"/>
  <c r="E8" i="4" s="1"/>
  <c r="R9" i="4"/>
  <c r="E9" i="4" s="1"/>
  <c r="R10" i="4"/>
  <c r="E10" i="4" s="1"/>
  <c r="R11" i="4"/>
  <c r="E11" i="4" s="1"/>
  <c r="R12" i="4"/>
  <c r="E12" i="4" s="1"/>
  <c r="R13" i="4"/>
  <c r="E13" i="4" s="1"/>
  <c r="R14" i="4"/>
  <c r="E14" i="4" s="1"/>
  <c r="R15" i="4"/>
  <c r="E15" i="4" s="1"/>
  <c r="R16" i="4"/>
  <c r="E16" i="4" s="1"/>
  <c r="R17" i="4"/>
  <c r="E17" i="4" s="1"/>
  <c r="R18" i="4"/>
  <c r="E18" i="4" s="1"/>
  <c r="R19" i="4"/>
  <c r="E19" i="4" s="1"/>
  <c r="R20" i="4"/>
  <c r="E20" i="4" s="1"/>
  <c r="R21" i="4"/>
  <c r="E21" i="4" s="1"/>
  <c r="R22" i="4"/>
  <c r="E22" i="4" s="1"/>
  <c r="R23" i="4"/>
  <c r="E23" i="4" s="1"/>
  <c r="R24" i="4"/>
  <c r="E24" i="4" s="1"/>
  <c r="R25" i="4"/>
  <c r="E25" i="4" s="1"/>
  <c r="R26" i="4"/>
  <c r="E26" i="4" s="1"/>
  <c r="R27" i="4"/>
  <c r="E27" i="4" s="1"/>
  <c r="R28" i="4"/>
  <c r="E28" i="4" s="1"/>
  <c r="R29" i="4"/>
  <c r="R30" i="4"/>
  <c r="R31" i="4"/>
  <c r="E31" i="4" s="1"/>
  <c r="R32" i="4"/>
  <c r="R33" i="4"/>
  <c r="R34" i="4"/>
  <c r="E34" i="4" s="1"/>
  <c r="R35" i="4"/>
  <c r="R36" i="4"/>
  <c r="E36" i="4" s="1"/>
  <c r="R37" i="4"/>
  <c r="R38" i="4"/>
  <c r="E38" i="4" s="1"/>
  <c r="R39" i="4"/>
  <c r="E39" i="4" s="1"/>
  <c r="R40" i="4"/>
  <c r="R41" i="4"/>
  <c r="E41" i="4" s="1"/>
  <c r="R42" i="4"/>
  <c r="E42" i="4" s="1"/>
  <c r="R43" i="4"/>
  <c r="E43" i="4" s="1"/>
  <c r="R44" i="4"/>
  <c r="E44" i="4" s="1"/>
  <c r="R45" i="4"/>
  <c r="E45" i="4" s="1"/>
  <c r="R46" i="4"/>
  <c r="E46" i="4" s="1"/>
  <c r="R47" i="4"/>
  <c r="E47" i="4" s="1"/>
  <c r="R48" i="4"/>
  <c r="R49" i="4"/>
  <c r="R50" i="4"/>
  <c r="R51" i="4"/>
  <c r="E51" i="4" s="1"/>
  <c r="R52" i="4"/>
  <c r="R53" i="4"/>
  <c r="E53" i="4" s="1"/>
  <c r="R4" i="4"/>
  <c r="E4" i="4" s="1"/>
  <c r="R55" i="4"/>
  <c r="E55" i="4" s="1"/>
  <c r="R56" i="4"/>
  <c r="E56" i="4" s="1"/>
  <c r="R57" i="4"/>
  <c r="R58" i="4"/>
  <c r="R59" i="4"/>
  <c r="R60" i="4"/>
  <c r="E60" i="4" s="1"/>
  <c r="R61" i="4"/>
  <c r="E61" i="4" s="1"/>
  <c r="R54" i="4"/>
  <c r="E54" i="4" s="1"/>
  <c r="R63" i="4"/>
  <c r="R64" i="4"/>
  <c r="R65" i="4"/>
  <c r="E65" i="4" s="1"/>
  <c r="R66" i="4"/>
  <c r="E66" i="4" s="1"/>
  <c r="R67" i="4"/>
  <c r="R69" i="4"/>
  <c r="E69" i="4" s="1"/>
  <c r="R5" i="4"/>
  <c r="E5" i="4" s="1"/>
  <c r="R62" i="4"/>
  <c r="R75" i="4"/>
  <c r="R74" i="4"/>
  <c r="F102" i="3"/>
  <c r="O102" i="3" s="1"/>
  <c r="AT75" i="4"/>
  <c r="F101" i="3"/>
  <c r="O101" i="3" s="1"/>
  <c r="AT74" i="4"/>
  <c r="E54" i="3"/>
  <c r="N54" i="3" s="1"/>
  <c r="E56" i="3"/>
  <c r="N56" i="3" s="1"/>
  <c r="E42" i="3"/>
  <c r="N42" i="3" s="1"/>
  <c r="E57" i="3"/>
  <c r="N57" i="3" s="1"/>
  <c r="E50" i="3"/>
  <c r="N50" i="3" s="1"/>
  <c r="E100" i="3"/>
  <c r="N100" i="3" s="1"/>
  <c r="AR62" i="4"/>
  <c r="E89" i="3"/>
  <c r="AR57" i="4"/>
  <c r="E84" i="3"/>
  <c r="N84" i="3" s="1"/>
  <c r="AR58" i="4"/>
  <c r="E85" i="3"/>
  <c r="N85" i="3" s="1"/>
  <c r="AR59" i="4"/>
  <c r="E86" i="3"/>
  <c r="N86" i="3" s="1"/>
  <c r="AR60" i="4"/>
  <c r="E87" i="3"/>
  <c r="N87" i="3" s="1"/>
  <c r="AR54" i="4"/>
  <c r="E81" i="3"/>
  <c r="N81" i="3" s="1"/>
  <c r="AR39" i="4"/>
  <c r="E66" i="3"/>
  <c r="N66" i="3" s="1"/>
  <c r="AR37" i="4"/>
  <c r="E64" i="3"/>
  <c r="N64" i="3" s="1"/>
  <c r="AR34" i="4"/>
  <c r="E61" i="3"/>
  <c r="N61" i="3" s="1"/>
  <c r="AR33" i="4"/>
  <c r="E60" i="3"/>
  <c r="N60" i="3" s="1"/>
  <c r="E34" i="1"/>
  <c r="E29" i="3" s="1"/>
  <c r="N29" i="3" s="1"/>
  <c r="E33" i="1"/>
  <c r="E28" i="3" s="1"/>
  <c r="N28" i="3" s="1"/>
  <c r="E32" i="1"/>
  <c r="E27" i="3" s="1"/>
  <c r="N27" i="3" s="1"/>
  <c r="E31" i="1"/>
  <c r="E26" i="3" s="1"/>
  <c r="N26" i="3" s="1"/>
  <c r="E30" i="1"/>
  <c r="E25" i="3" s="1"/>
  <c r="N25" i="3" s="1"/>
  <c r="E29" i="1"/>
  <c r="E24" i="3" s="1"/>
  <c r="N24" i="3" s="1"/>
  <c r="E28" i="1"/>
  <c r="E23" i="3" s="1"/>
  <c r="N23" i="3" s="1"/>
  <c r="E26" i="1"/>
  <c r="E21" i="3" s="1"/>
  <c r="N21" i="3" s="1"/>
  <c r="E25" i="1"/>
  <c r="E20" i="3" s="1"/>
  <c r="N20" i="3" s="1"/>
  <c r="E24" i="1"/>
  <c r="E19" i="3" s="1"/>
  <c r="N19" i="3" s="1"/>
  <c r="E23" i="1"/>
  <c r="E18" i="3" s="1"/>
  <c r="N18" i="3" s="1"/>
  <c r="E22" i="1"/>
  <c r="E17" i="3" s="1"/>
  <c r="N17" i="3" s="1"/>
  <c r="E21" i="1"/>
  <c r="E16" i="3" s="1"/>
  <c r="N16" i="3" s="1"/>
  <c r="E20" i="1"/>
  <c r="E15" i="3" s="1"/>
  <c r="N15" i="3" s="1"/>
  <c r="E19" i="1"/>
  <c r="E14" i="3" s="1"/>
  <c r="N14" i="3" s="1"/>
  <c r="E18" i="1"/>
  <c r="E13" i="3" s="1"/>
  <c r="N13" i="3" s="1"/>
  <c r="E17" i="1"/>
  <c r="E12" i="3" s="1"/>
  <c r="N12" i="3" s="1"/>
  <c r="E16" i="1"/>
  <c r="E11" i="3" s="1"/>
  <c r="N11" i="3" s="1"/>
  <c r="E15" i="1"/>
  <c r="E10" i="3" s="1"/>
  <c r="N10" i="3" s="1"/>
  <c r="E14" i="1"/>
  <c r="E9" i="3" s="1"/>
  <c r="N9" i="3" s="1"/>
  <c r="E13" i="1"/>
  <c r="E8" i="3" s="1"/>
  <c r="N8" i="3" s="1"/>
  <c r="E12" i="1"/>
  <c r="E7" i="3" s="1"/>
  <c r="N7" i="3" s="1"/>
  <c r="E11" i="1"/>
  <c r="E6" i="3" s="1"/>
  <c r="N6" i="3" s="1"/>
  <c r="E10" i="1"/>
  <c r="E5" i="3" s="1"/>
  <c r="N5" i="3" s="1"/>
  <c r="E9" i="1"/>
  <c r="E4" i="3" s="1"/>
  <c r="N4" i="3" s="1"/>
  <c r="E8" i="1"/>
  <c r="E3" i="3" s="1"/>
  <c r="N3" i="3" s="1"/>
  <c r="G3" i="17"/>
  <c r="G4" i="17" s="1"/>
  <c r="G5" i="17" s="1"/>
  <c r="G6" i="17" s="1"/>
  <c r="G7" i="17" s="1"/>
  <c r="G8" i="17" s="1"/>
  <c r="G9" i="17" s="1"/>
  <c r="G10" i="17" s="1"/>
  <c r="G11" i="17" s="1"/>
  <c r="G12" i="17" s="1"/>
  <c r="G13" i="17" s="1"/>
  <c r="G14" i="17" s="1"/>
  <c r="G15" i="17" s="1"/>
  <c r="G16" i="17" s="1"/>
  <c r="G17" i="17" s="1"/>
  <c r="G18" i="17" s="1"/>
  <c r="G19" i="17" s="1"/>
  <c r="G20" i="17" s="1"/>
  <c r="G21" i="17" s="1"/>
  <c r="G22" i="17" s="1"/>
  <c r="G23" i="17" s="1"/>
  <c r="G24" i="17" s="1"/>
  <c r="G25" i="17" s="1"/>
  <c r="G26" i="17" s="1"/>
  <c r="G27" i="17" s="1"/>
  <c r="G28" i="17" s="1"/>
  <c r="G29" i="17" s="1"/>
  <c r="G30" i="17" s="1"/>
  <c r="G31" i="17" s="1"/>
  <c r="G32" i="17" s="1"/>
  <c r="G33" i="17" s="1"/>
  <c r="G34" i="17" s="1"/>
  <c r="G35" i="17" s="1"/>
  <c r="G36" i="17" s="1"/>
  <c r="G37" i="17" s="1"/>
  <c r="G38" i="17" s="1"/>
  <c r="G39" i="17" s="1"/>
  <c r="G40" i="17" s="1"/>
  <c r="G41" i="17" s="1"/>
  <c r="G42" i="17" s="1"/>
  <c r="G43" i="17" s="1"/>
  <c r="G44" i="17" s="1"/>
  <c r="G45" i="17" s="1"/>
  <c r="G46" i="17" s="1"/>
  <c r="G47" i="17" s="1"/>
  <c r="G48" i="17" s="1"/>
  <c r="G49" i="17" s="1"/>
  <c r="G50" i="17" s="1"/>
  <c r="G51" i="17" s="1"/>
  <c r="G52" i="17" s="1"/>
  <c r="G53" i="17" s="1"/>
  <c r="G54" i="17" s="1"/>
  <c r="G55" i="17" s="1"/>
  <c r="G56" i="17" s="1"/>
  <c r="G57" i="17" s="1"/>
  <c r="G58" i="17" s="1"/>
  <c r="G59" i="17" s="1"/>
  <c r="G60" i="17" s="1"/>
  <c r="G61" i="17" s="1"/>
  <c r="G62" i="17" s="1"/>
  <c r="G63" i="17" s="1"/>
  <c r="G64" i="17" s="1"/>
  <c r="G65" i="17" s="1"/>
  <c r="G66" i="17" s="1"/>
  <c r="G67" i="17" s="1"/>
  <c r="G68" i="17" s="1"/>
  <c r="G69" i="17" s="1"/>
  <c r="G70" i="17" s="1"/>
  <c r="G71" i="17" s="1"/>
  <c r="F99" i="3"/>
  <c r="O99" i="3" s="1"/>
  <c r="AT72" i="4"/>
  <c r="F100" i="3"/>
  <c r="O100" i="3" s="1"/>
  <c r="AT73" i="4"/>
  <c r="H91" i="3"/>
  <c r="G77" i="3"/>
  <c r="G90" i="3"/>
  <c r="E5" i="1"/>
  <c r="R3" i="1"/>
  <c r="R4" i="1"/>
  <c r="R5" i="1"/>
  <c r="R6" i="1"/>
  <c r="Q3" i="1"/>
  <c r="S3" i="1" s="1"/>
  <c r="Q4" i="1"/>
  <c r="S4" i="1" s="1"/>
  <c r="Q5" i="1"/>
  <c r="Q6" i="1"/>
  <c r="G85" i="3"/>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R111" i="1"/>
  <c r="T111" i="1" s="1"/>
  <c r="R112" i="1"/>
  <c r="T112" i="1" s="1"/>
  <c r="R113" i="1"/>
  <c r="T113" i="1" s="1"/>
  <c r="R114" i="1"/>
  <c r="T114" i="1" s="1"/>
  <c r="R115" i="1"/>
  <c r="T115" i="1" s="1"/>
  <c r="R116" i="1"/>
  <c r="T116" i="1" s="1"/>
  <c r="R117" i="1"/>
  <c r="T117" i="1" s="1"/>
  <c r="R118" i="1"/>
  <c r="T118" i="1" s="1"/>
  <c r="R119" i="1"/>
  <c r="T119" i="1" s="1"/>
  <c r="R120" i="1"/>
  <c r="T120" i="1" s="1"/>
  <c r="R121" i="1"/>
  <c r="T121" i="1" s="1"/>
  <c r="R122" i="1"/>
  <c r="T122" i="1" s="1"/>
  <c r="R123" i="1"/>
  <c r="T123" i="1" s="1"/>
  <c r="R124" i="1"/>
  <c r="T124" i="1" s="1"/>
  <c r="R125" i="1"/>
  <c r="T125" i="1" s="1"/>
  <c r="R126" i="1"/>
  <c r="T126" i="1" s="1"/>
  <c r="R127" i="1"/>
  <c r="T127" i="1" s="1"/>
  <c r="R128" i="1"/>
  <c r="T128" i="1" s="1"/>
  <c r="R129" i="1"/>
  <c r="T129" i="1" s="1"/>
  <c r="R130" i="1"/>
  <c r="T130" i="1" s="1"/>
  <c r="R131" i="1"/>
  <c r="T131" i="1" s="1"/>
  <c r="R132" i="1"/>
  <c r="T132" i="1" s="1"/>
  <c r="R133" i="1"/>
  <c r="T133" i="1" s="1"/>
  <c r="R134" i="1"/>
  <c r="T134" i="1" s="1"/>
  <c r="R135" i="1"/>
  <c r="T135" i="1" s="1"/>
  <c r="R136" i="1"/>
  <c r="T136" i="1" s="1"/>
  <c r="R137" i="1"/>
  <c r="T137" i="1" s="1"/>
  <c r="R138" i="1"/>
  <c r="T138" i="1" s="1"/>
  <c r="R139" i="1"/>
  <c r="T139" i="1" s="1"/>
  <c r="R140" i="1"/>
  <c r="T140" i="1" s="1"/>
  <c r="R141" i="1"/>
  <c r="T141" i="1" s="1"/>
  <c r="R142" i="1"/>
  <c r="T142" i="1" s="1"/>
  <c r="R143" i="1"/>
  <c r="T143" i="1" s="1"/>
  <c r="R144" i="1"/>
  <c r="T144" i="1" s="1"/>
  <c r="R145" i="1"/>
  <c r="T145" i="1" s="1"/>
  <c r="R146" i="1"/>
  <c r="T146" i="1" s="1"/>
  <c r="R147" i="1"/>
  <c r="T147" i="1" s="1"/>
  <c r="R148" i="1"/>
  <c r="T148" i="1" s="1"/>
  <c r="R149" i="1"/>
  <c r="T149" i="1" s="1"/>
  <c r="R150" i="1"/>
  <c r="T150" i="1" s="1"/>
  <c r="R151" i="1"/>
  <c r="T151" i="1" s="1"/>
  <c r="R152" i="1"/>
  <c r="T152" i="1" s="1"/>
  <c r="R153" i="1"/>
  <c r="T153" i="1" s="1"/>
  <c r="R154" i="1"/>
  <c r="T154" i="1" s="1"/>
  <c r="R155" i="1"/>
  <c r="T155" i="1" s="1"/>
  <c r="R156" i="1"/>
  <c r="T156" i="1" s="1"/>
  <c r="R157" i="1"/>
  <c r="T157" i="1" s="1"/>
  <c r="R158" i="1"/>
  <c r="T158" i="1" s="1"/>
  <c r="R159" i="1"/>
  <c r="T159" i="1" s="1"/>
  <c r="R160" i="1"/>
  <c r="T160" i="1" s="1"/>
  <c r="R161" i="1"/>
  <c r="T161" i="1" s="1"/>
  <c r="R162" i="1"/>
  <c r="T162" i="1" s="1"/>
  <c r="R163" i="1"/>
  <c r="T163" i="1" s="1"/>
  <c r="R164" i="1"/>
  <c r="T164" i="1" s="1"/>
  <c r="R165" i="1"/>
  <c r="T165" i="1" s="1"/>
  <c r="R166" i="1"/>
  <c r="T166" i="1" s="1"/>
  <c r="R167" i="1"/>
  <c r="T167" i="1" s="1"/>
  <c r="R168" i="1"/>
  <c r="T168" i="1" s="1"/>
  <c r="R169" i="1"/>
  <c r="T169" i="1" s="1"/>
  <c r="R170" i="1"/>
  <c r="T170" i="1" s="1"/>
  <c r="R171" i="1"/>
  <c r="T171" i="1" s="1"/>
  <c r="R172" i="1"/>
  <c r="T172" i="1" s="1"/>
  <c r="R173" i="1"/>
  <c r="T173" i="1" s="1"/>
  <c r="R174" i="1"/>
  <c r="T174" i="1" s="1"/>
  <c r="R175" i="1"/>
  <c r="T175" i="1" s="1"/>
  <c r="R176" i="1"/>
  <c r="T176" i="1" s="1"/>
  <c r="R177" i="1"/>
  <c r="T177" i="1" s="1"/>
  <c r="R178" i="1"/>
  <c r="T178" i="1" s="1"/>
  <c r="R179" i="1"/>
  <c r="T179" i="1" s="1"/>
  <c r="R180" i="1"/>
  <c r="T180" i="1" s="1"/>
  <c r="R181" i="1"/>
  <c r="T181" i="1" s="1"/>
  <c r="R182" i="1"/>
  <c r="T182" i="1" s="1"/>
  <c r="R183" i="1"/>
  <c r="T183" i="1" s="1"/>
  <c r="R184" i="1"/>
  <c r="T184" i="1" s="1"/>
  <c r="R185" i="1"/>
  <c r="T185" i="1" s="1"/>
  <c r="R186" i="1"/>
  <c r="T186" i="1" s="1"/>
  <c r="R187" i="1"/>
  <c r="T187" i="1" s="1"/>
  <c r="R188" i="1"/>
  <c r="T188" i="1" s="1"/>
  <c r="R189" i="1"/>
  <c r="T189" i="1" s="1"/>
  <c r="R190" i="1"/>
  <c r="T190" i="1" s="1"/>
  <c r="R191" i="1"/>
  <c r="T191" i="1" s="1"/>
  <c r="R192" i="1"/>
  <c r="T192" i="1" s="1"/>
  <c r="R193" i="1"/>
  <c r="T193" i="1" s="1"/>
  <c r="C5" i="5"/>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7" i="6"/>
  <c r="Q7" i="1"/>
  <c r="Q8" i="1"/>
  <c r="Q9" i="1"/>
  <c r="Q10" i="1"/>
  <c r="Q11" i="1"/>
  <c r="Q12" i="1"/>
  <c r="Q13" i="1"/>
  <c r="Q14" i="1"/>
  <c r="Q15" i="1"/>
  <c r="Q16" i="1"/>
  <c r="Q17" i="1"/>
  <c r="Q18" i="1"/>
  <c r="Q19" i="1"/>
  <c r="Q20" i="1"/>
  <c r="Q21" i="1"/>
  <c r="Q22" i="1"/>
  <c r="Q23" i="1"/>
  <c r="Q24" i="1"/>
  <c r="Q26" i="1"/>
  <c r="Q27" i="1"/>
  <c r="S27" i="1" s="1"/>
  <c r="Q28" i="1"/>
  <c r="Q29" i="1"/>
  <c r="Q30" i="1"/>
  <c r="Q31" i="1"/>
  <c r="Q32" i="1"/>
  <c r="Q33" i="1"/>
  <c r="Q34" i="1"/>
  <c r="Q35" i="1"/>
  <c r="S35" i="1" s="1"/>
  <c r="Q36" i="1"/>
  <c r="S36" i="1" s="1"/>
  <c r="Q37" i="1"/>
  <c r="S37" i="1" s="1"/>
  <c r="Q38" i="1"/>
  <c r="S38" i="1" s="1"/>
  <c r="Q39" i="1"/>
  <c r="S39" i="1" s="1"/>
  <c r="Q40" i="1"/>
  <c r="S40" i="1" s="1"/>
  <c r="Q41" i="1"/>
  <c r="S41" i="1" s="1"/>
  <c r="Q42" i="1"/>
  <c r="S42" i="1" s="1"/>
  <c r="Q43" i="1"/>
  <c r="S43" i="1" s="1"/>
  <c r="Q44" i="1"/>
  <c r="S44" i="1" s="1"/>
  <c r="Q45" i="1"/>
  <c r="S45" i="1" s="1"/>
  <c r="Q46" i="1"/>
  <c r="S46" i="1" s="1"/>
  <c r="Q47" i="1"/>
  <c r="S47" i="1" s="1"/>
  <c r="Q48" i="1"/>
  <c r="S48" i="1" s="1"/>
  <c r="Q49" i="1"/>
  <c r="S49" i="1" s="1"/>
  <c r="Q50" i="1"/>
  <c r="S50" i="1" s="1"/>
  <c r="Q51" i="1"/>
  <c r="S51" i="1" s="1"/>
  <c r="Q52" i="1"/>
  <c r="S52" i="1" s="1"/>
  <c r="Q53" i="1"/>
  <c r="S53" i="1" s="1"/>
  <c r="Q54" i="1"/>
  <c r="S54" i="1" s="1"/>
  <c r="Q55" i="1"/>
  <c r="S55" i="1" s="1"/>
  <c r="Q56" i="1"/>
  <c r="S56" i="1" s="1"/>
  <c r="Q57" i="1"/>
  <c r="S57" i="1" s="1"/>
  <c r="Q58" i="1"/>
  <c r="S58" i="1" s="1"/>
  <c r="Q59" i="1"/>
  <c r="S59" i="1" s="1"/>
  <c r="Q60" i="1"/>
  <c r="S60" i="1" s="1"/>
  <c r="Q61" i="1"/>
  <c r="S61" i="1" s="1"/>
  <c r="Q62" i="1"/>
  <c r="S62" i="1" s="1"/>
  <c r="Q63" i="1"/>
  <c r="S63" i="1" s="1"/>
  <c r="Q64" i="1"/>
  <c r="S64" i="1" s="1"/>
  <c r="Q65" i="1"/>
  <c r="S65" i="1" s="1"/>
  <c r="Q66" i="1"/>
  <c r="S66" i="1" s="1"/>
  <c r="Q67" i="1"/>
  <c r="S67" i="1" s="1"/>
  <c r="Q68" i="1"/>
  <c r="S68" i="1" s="1"/>
  <c r="Q69" i="1"/>
  <c r="S69" i="1" s="1"/>
  <c r="Q70" i="1"/>
  <c r="S70" i="1" s="1"/>
  <c r="Q71" i="1"/>
  <c r="S71" i="1" s="1"/>
  <c r="Q72" i="1"/>
  <c r="S72" i="1" s="1"/>
  <c r="Q73" i="1"/>
  <c r="S73" i="1" s="1"/>
  <c r="Q74" i="1"/>
  <c r="S74" i="1" s="1"/>
  <c r="Q75" i="1"/>
  <c r="S75" i="1" s="1"/>
  <c r="Q76" i="1"/>
  <c r="S76" i="1" s="1"/>
  <c r="Q77" i="1"/>
  <c r="S77" i="1" s="1"/>
  <c r="Q78" i="1"/>
  <c r="S78" i="1" s="1"/>
  <c r="Q79" i="1"/>
  <c r="S79" i="1" s="1"/>
  <c r="Q80" i="1"/>
  <c r="S80" i="1" s="1"/>
  <c r="Q81" i="1"/>
  <c r="S81" i="1" s="1"/>
  <c r="Q82" i="1"/>
  <c r="S82" i="1" s="1"/>
  <c r="Q83" i="1"/>
  <c r="S83" i="1" s="1"/>
  <c r="Q84" i="1"/>
  <c r="S84" i="1" s="1"/>
  <c r="Q85" i="1"/>
  <c r="S85" i="1" s="1"/>
  <c r="Q86" i="1"/>
  <c r="S86" i="1" s="1"/>
  <c r="Q87" i="1"/>
  <c r="S87" i="1" s="1"/>
  <c r="Q88" i="1"/>
  <c r="S88" i="1" s="1"/>
  <c r="Q89" i="1"/>
  <c r="S89" i="1" s="1"/>
  <c r="Q90" i="1"/>
  <c r="S90" i="1" s="1"/>
  <c r="Q91" i="1"/>
  <c r="S91" i="1" s="1"/>
  <c r="Q92" i="1"/>
  <c r="S92" i="1" s="1"/>
  <c r="Q93" i="1"/>
  <c r="S93" i="1" s="1"/>
  <c r="Q94" i="1"/>
  <c r="S94" i="1" s="1"/>
  <c r="Q95" i="1"/>
  <c r="S95" i="1" s="1"/>
  <c r="Q96" i="1"/>
  <c r="S96" i="1" s="1"/>
  <c r="Q97" i="1"/>
  <c r="S97" i="1" s="1"/>
  <c r="Q98" i="1"/>
  <c r="S98" i="1" s="1"/>
  <c r="Q99" i="1"/>
  <c r="S99" i="1" s="1"/>
  <c r="Q100" i="1"/>
  <c r="S100" i="1" s="1"/>
  <c r="Q101" i="1"/>
  <c r="S101" i="1" s="1"/>
  <c r="Q102" i="1"/>
  <c r="S102" i="1" s="1"/>
  <c r="Q103" i="1"/>
  <c r="S103" i="1" s="1"/>
  <c r="Q104" i="1"/>
  <c r="S104" i="1" s="1"/>
  <c r="Q105" i="1"/>
  <c r="S105" i="1" s="1"/>
  <c r="Q106" i="1"/>
  <c r="S106" i="1" s="1"/>
  <c r="Q107" i="1"/>
  <c r="S107" i="1" s="1"/>
  <c r="Q108" i="1"/>
  <c r="S108" i="1" s="1"/>
  <c r="Q109" i="1"/>
  <c r="S109" i="1" s="1"/>
  <c r="Q110" i="1"/>
  <c r="S110" i="1" s="1"/>
  <c r="Q111" i="1"/>
  <c r="S111" i="1" s="1"/>
  <c r="Q112" i="1"/>
  <c r="Q113" i="1"/>
  <c r="S113" i="1" s="1"/>
  <c r="Q114" i="1"/>
  <c r="S114" i="1" s="1"/>
  <c r="Q115" i="1"/>
  <c r="S115" i="1" s="1"/>
  <c r="Q116" i="1"/>
  <c r="S116" i="1" s="1"/>
  <c r="Q117" i="1"/>
  <c r="S117" i="1" s="1"/>
  <c r="Q118" i="1"/>
  <c r="S118" i="1" s="1"/>
  <c r="Q119" i="1"/>
  <c r="S119" i="1" s="1"/>
  <c r="Q120" i="1"/>
  <c r="S120" i="1" s="1"/>
  <c r="Q121" i="1"/>
  <c r="S121" i="1" s="1"/>
  <c r="Q122" i="1"/>
  <c r="S122" i="1" s="1"/>
  <c r="Q123" i="1"/>
  <c r="S123" i="1" s="1"/>
  <c r="Q124" i="1"/>
  <c r="S124" i="1" s="1"/>
  <c r="Q125" i="1"/>
  <c r="S125" i="1" s="1"/>
  <c r="Q126" i="1"/>
  <c r="S126" i="1" s="1"/>
  <c r="Q127" i="1"/>
  <c r="S127" i="1" s="1"/>
  <c r="Q128" i="1"/>
  <c r="S128" i="1" s="1"/>
  <c r="Q129" i="1"/>
  <c r="S129" i="1" s="1"/>
  <c r="Q130" i="1"/>
  <c r="S130" i="1" s="1"/>
  <c r="Q131" i="1"/>
  <c r="S131" i="1" s="1"/>
  <c r="Q132" i="1"/>
  <c r="S132" i="1" s="1"/>
  <c r="Q133" i="1"/>
  <c r="S133" i="1" s="1"/>
  <c r="Q134" i="1"/>
  <c r="S134" i="1" s="1"/>
  <c r="Q135" i="1"/>
  <c r="S135" i="1" s="1"/>
  <c r="Q136" i="1"/>
  <c r="S136" i="1" s="1"/>
  <c r="Q137" i="1"/>
  <c r="S137" i="1" s="1"/>
  <c r="Q138" i="1"/>
  <c r="S138" i="1" s="1"/>
  <c r="Q139" i="1"/>
  <c r="S139" i="1" s="1"/>
  <c r="Q140" i="1"/>
  <c r="S140" i="1" s="1"/>
  <c r="Q141" i="1"/>
  <c r="S141" i="1" s="1"/>
  <c r="Q142" i="1"/>
  <c r="S142" i="1" s="1"/>
  <c r="Q143" i="1"/>
  <c r="S143" i="1" s="1"/>
  <c r="Q144" i="1"/>
  <c r="S144" i="1" s="1"/>
  <c r="Q145" i="1"/>
  <c r="S145" i="1" s="1"/>
  <c r="Q146" i="1"/>
  <c r="S146" i="1" s="1"/>
  <c r="Q147" i="1"/>
  <c r="S147" i="1" s="1"/>
  <c r="Q148" i="1"/>
  <c r="S148" i="1" s="1"/>
  <c r="Q149" i="1"/>
  <c r="S149" i="1" s="1"/>
  <c r="Q150" i="1"/>
  <c r="S150" i="1" s="1"/>
  <c r="Q151" i="1"/>
  <c r="S151" i="1" s="1"/>
  <c r="Q152" i="1"/>
  <c r="S152" i="1" s="1"/>
  <c r="Q153" i="1"/>
  <c r="S153" i="1" s="1"/>
  <c r="Q154" i="1"/>
  <c r="S154" i="1" s="1"/>
  <c r="Q155" i="1"/>
  <c r="S155" i="1" s="1"/>
  <c r="Q156" i="1"/>
  <c r="S156" i="1" s="1"/>
  <c r="Q157" i="1"/>
  <c r="S157" i="1" s="1"/>
  <c r="Q158" i="1"/>
  <c r="S158" i="1" s="1"/>
  <c r="Q159" i="1"/>
  <c r="S159" i="1" s="1"/>
  <c r="Q160" i="1"/>
  <c r="S160" i="1" s="1"/>
  <c r="Q161" i="1"/>
  <c r="S161" i="1" s="1"/>
  <c r="Q162" i="1"/>
  <c r="S162" i="1" s="1"/>
  <c r="Q163" i="1"/>
  <c r="S163" i="1" s="1"/>
  <c r="Q164" i="1"/>
  <c r="S164" i="1" s="1"/>
  <c r="Q165" i="1"/>
  <c r="S165" i="1" s="1"/>
  <c r="Q166" i="1"/>
  <c r="S166" i="1" s="1"/>
  <c r="Q167" i="1"/>
  <c r="S167" i="1" s="1"/>
  <c r="Q168" i="1"/>
  <c r="S168" i="1" s="1"/>
  <c r="Q169" i="1"/>
  <c r="S169" i="1" s="1"/>
  <c r="Q170" i="1"/>
  <c r="S170" i="1" s="1"/>
  <c r="Q171" i="1"/>
  <c r="S171" i="1" s="1"/>
  <c r="Q172" i="1"/>
  <c r="S172" i="1" s="1"/>
  <c r="Q173" i="1"/>
  <c r="S173" i="1" s="1"/>
  <c r="Q174" i="1"/>
  <c r="S174" i="1" s="1"/>
  <c r="Q175" i="1"/>
  <c r="S175" i="1" s="1"/>
  <c r="Q176" i="1"/>
  <c r="S176" i="1" s="1"/>
  <c r="Q177" i="1"/>
  <c r="S177" i="1" s="1"/>
  <c r="Q178" i="1"/>
  <c r="S178" i="1" s="1"/>
  <c r="Q179" i="1"/>
  <c r="S179" i="1" s="1"/>
  <c r="Q180" i="1"/>
  <c r="S180" i="1" s="1"/>
  <c r="Q181" i="1"/>
  <c r="S181" i="1" s="1"/>
  <c r="Q182" i="1"/>
  <c r="S182" i="1" s="1"/>
  <c r="Q183" i="1"/>
  <c r="S183" i="1" s="1"/>
  <c r="Q184" i="1"/>
  <c r="S184" i="1" s="1"/>
  <c r="Q185" i="1"/>
  <c r="S185" i="1" s="1"/>
  <c r="Q186" i="1"/>
  <c r="S186" i="1" s="1"/>
  <c r="Q187" i="1"/>
  <c r="S187" i="1" s="1"/>
  <c r="Q188" i="1"/>
  <c r="S188" i="1" s="1"/>
  <c r="Q189" i="1"/>
  <c r="S189" i="1" s="1"/>
  <c r="Q190" i="1"/>
  <c r="S190" i="1" s="1"/>
  <c r="Q191" i="1"/>
  <c r="S191" i="1" s="1"/>
  <c r="Q192" i="1"/>
  <c r="S192" i="1" s="1"/>
  <c r="Q193" i="1"/>
  <c r="S193" i="1" s="1"/>
  <c r="F95" i="3"/>
  <c r="AT68" i="4"/>
  <c r="F94" i="3"/>
  <c r="AT67" i="4"/>
  <c r="S3" i="17"/>
  <c r="AR68" i="4"/>
  <c r="G3" i="18"/>
  <c r="G4" i="18" s="1"/>
  <c r="G5" i="18" s="1"/>
  <c r="G6" i="18" s="1"/>
  <c r="G7" i="18" s="1"/>
  <c r="G8" i="18" s="1"/>
  <c r="G9" i="18" s="1"/>
  <c r="G10" i="18" s="1"/>
  <c r="G11" i="18" s="1"/>
  <c r="G12" i="18" s="1"/>
  <c r="G13" i="18" s="1"/>
  <c r="G14" i="18" s="1"/>
  <c r="G15" i="18" s="1"/>
  <c r="G16" i="18" s="1"/>
  <c r="G17" i="18" s="1"/>
  <c r="G18" i="18" s="1"/>
  <c r="G19" i="18" s="1"/>
  <c r="G20" i="18" s="1"/>
  <c r="G21" i="18" s="1"/>
  <c r="G22" i="18" s="1"/>
  <c r="G23" i="18" s="1"/>
  <c r="G24" i="18" s="1"/>
  <c r="G25" i="18" s="1"/>
  <c r="G26" i="18" s="1"/>
  <c r="G27" i="18" s="1"/>
  <c r="G28" i="18" s="1"/>
  <c r="G29" i="18" s="1"/>
  <c r="G30" i="18" s="1"/>
  <c r="G31" i="18" s="1"/>
  <c r="G32" i="18" s="1"/>
  <c r="G33" i="18" s="1"/>
  <c r="G34" i="18" s="1"/>
  <c r="G35" i="18" s="1"/>
  <c r="G36" i="18" s="1"/>
  <c r="G37" i="18" s="1"/>
  <c r="G38" i="18" s="1"/>
  <c r="G39" i="18" s="1"/>
  <c r="G40" i="18" s="1"/>
  <c r="G41" i="18" s="1"/>
  <c r="G42" i="18" s="1"/>
  <c r="G43" i="18" s="1"/>
  <c r="G44" i="18" s="1"/>
  <c r="G45" i="18" s="1"/>
  <c r="G46" i="18" s="1"/>
  <c r="G47" i="18" s="1"/>
  <c r="G48" i="18" s="1"/>
  <c r="G49" i="18" s="1"/>
  <c r="G50" i="18" s="1"/>
  <c r="G51" i="18" s="1"/>
  <c r="G52" i="18" s="1"/>
  <c r="G53" i="18" s="1"/>
  <c r="G54" i="18" s="1"/>
  <c r="G55" i="18" s="1"/>
  <c r="G56" i="18" s="1"/>
  <c r="A4" i="17"/>
  <c r="A5" i="17" s="1"/>
  <c r="A6" i="17" s="1"/>
  <c r="A7" i="17" s="1"/>
  <c r="A8" i="17" s="1"/>
  <c r="A9" i="17" s="1"/>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A100" i="17" s="1"/>
  <c r="A101" i="17" s="1"/>
  <c r="A102" i="17" s="1"/>
  <c r="A103" i="17" s="1"/>
  <c r="A104" i="17" s="1"/>
  <c r="A105" i="17" s="1"/>
  <c r="A106" i="17" s="1"/>
  <c r="A107" i="17" s="1"/>
  <c r="A108" i="17" s="1"/>
  <c r="A109" i="17" s="1"/>
  <c r="A110" i="17" s="1"/>
  <c r="A111" i="17" s="1"/>
  <c r="A112" i="17" s="1"/>
  <c r="A113" i="17" s="1"/>
  <c r="A114" i="17" s="1"/>
  <c r="A115" i="17" s="1"/>
  <c r="A116" i="17" s="1"/>
  <c r="A117" i="17" s="1"/>
  <c r="A118" i="17" s="1"/>
  <c r="A119" i="17" s="1"/>
  <c r="A120" i="17" s="1"/>
  <c r="A121" i="17" s="1"/>
  <c r="A122" i="17" s="1"/>
  <c r="A123" i="17" s="1"/>
  <c r="A124" i="17" s="1"/>
  <c r="A125" i="17" s="1"/>
  <c r="A4" i="18"/>
  <c r="A5" i="18" s="1"/>
  <c r="A6" i="18" s="1"/>
  <c r="A7" i="18" s="1"/>
  <c r="A8" i="18" s="1"/>
  <c r="A9" i="18" s="1"/>
  <c r="A10" i="18" s="1"/>
  <c r="A11" i="18" s="1"/>
  <c r="A12" i="18" s="1"/>
  <c r="A13" i="18" s="1"/>
  <c r="A14" i="18" s="1"/>
  <c r="A15" i="18" s="1"/>
  <c r="D4" i="5"/>
  <c r="X41" i="3"/>
  <c r="A31" i="3"/>
  <c r="E7" i="1"/>
  <c r="E2" i="3" s="1"/>
  <c r="N2" i="3" s="1"/>
  <c r="AC112" i="13"/>
  <c r="AM112" i="13" s="1"/>
  <c r="AW112" i="13" s="1"/>
  <c r="H4" i="19"/>
  <c r="G1" i="19"/>
  <c r="AN3" i="13"/>
  <c r="H89" i="3"/>
  <c r="G81" i="3"/>
  <c r="E196" i="17"/>
  <c r="E189" i="17"/>
  <c r="K184" i="17"/>
  <c r="E168" i="17"/>
  <c r="E161" i="17"/>
  <c r="K154" i="17"/>
  <c r="L153" i="17"/>
  <c r="E154" i="17"/>
  <c r="E126" i="17"/>
  <c r="K123" i="17"/>
  <c r="L122" i="17"/>
  <c r="K93" i="17"/>
  <c r="L92" i="17"/>
  <c r="E93" i="17"/>
  <c r="E85" i="17"/>
  <c r="E72" i="17"/>
  <c r="E64" i="17"/>
  <c r="K31" i="17"/>
  <c r="L30" i="17"/>
  <c r="C8" i="17"/>
  <c r="N4" i="17"/>
  <c r="T3" i="17"/>
  <c r="U3" i="17" s="1"/>
  <c r="P3" i="17"/>
  <c r="O3" i="17"/>
  <c r="C4" i="17"/>
  <c r="R3" i="17"/>
  <c r="F3" i="17"/>
  <c r="L3" i="17"/>
  <c r="K4" i="17"/>
  <c r="T2" i="17"/>
  <c r="U2" i="17" s="1"/>
  <c r="S2" i="17"/>
  <c r="R2" i="17"/>
  <c r="P2" i="17"/>
  <c r="O2" i="17"/>
  <c r="K184" i="18"/>
  <c r="K154" i="18"/>
  <c r="K123" i="18"/>
  <c r="L122" i="18"/>
  <c r="E125" i="18"/>
  <c r="L121" i="18"/>
  <c r="E115" i="18"/>
  <c r="E108" i="18"/>
  <c r="K93" i="18"/>
  <c r="L92" i="18"/>
  <c r="L91" i="18"/>
  <c r="E57" i="18"/>
  <c r="L15" i="18"/>
  <c r="K16" i="18"/>
  <c r="N4" i="18"/>
  <c r="T3" i="18"/>
  <c r="U3" i="18" s="1"/>
  <c r="P3" i="18"/>
  <c r="O3" i="18"/>
  <c r="K9" i="18"/>
  <c r="L3" i="18"/>
  <c r="AT64" i="4"/>
  <c r="F91" i="3"/>
  <c r="AR64" i="4"/>
  <c r="N91" i="3"/>
  <c r="C30" i="18"/>
  <c r="C11" i="18"/>
  <c r="C13" i="18"/>
  <c r="F3" i="18"/>
  <c r="R3" i="18"/>
  <c r="C4" i="18"/>
  <c r="AT63" i="4"/>
  <c r="F90" i="3"/>
  <c r="AR63" i="4"/>
  <c r="T98" i="3"/>
  <c r="S98" i="3"/>
  <c r="T97" i="3"/>
  <c r="S97" i="3"/>
  <c r="T96" i="3"/>
  <c r="S96" i="3"/>
  <c r="S94" i="3"/>
  <c r="T93" i="3"/>
  <c r="S93" i="3"/>
  <c r="T92" i="3"/>
  <c r="S92" i="3"/>
  <c r="S91" i="3"/>
  <c r="F33" i="3"/>
  <c r="O33" i="3" s="1"/>
  <c r="N59" i="3"/>
  <c r="F87" i="3"/>
  <c r="O87" i="3" s="1"/>
  <c r="AT57" i="4"/>
  <c r="F84" i="3"/>
  <c r="O84" i="3" s="1"/>
  <c r="AR55" i="4"/>
  <c r="N82" i="3"/>
  <c r="G86" i="3"/>
  <c r="G87" i="3"/>
  <c r="F89" i="3"/>
  <c r="AT62" i="4"/>
  <c r="F81" i="3"/>
  <c r="O81" i="3" s="1"/>
  <c r="AV54" i="4"/>
  <c r="AT58" i="4"/>
  <c r="F85" i="3"/>
  <c r="O85" i="3" s="1"/>
  <c r="H87" i="3"/>
  <c r="F86" i="3"/>
  <c r="O86" i="3" s="1"/>
  <c r="AT59" i="4"/>
  <c r="D62" i="11"/>
  <c r="C62" i="11" s="1"/>
  <c r="D58" i="11"/>
  <c r="C58" i="11" s="1"/>
  <c r="D57" i="11"/>
  <c r="C57" i="11" s="1"/>
  <c r="N32" i="3"/>
  <c r="N79" i="3"/>
  <c r="AR52" i="4"/>
  <c r="H76" i="3"/>
  <c r="AT52" i="4"/>
  <c r="F79" i="3"/>
  <c r="O79" i="3" s="1"/>
  <c r="AT50" i="4"/>
  <c r="F77" i="3"/>
  <c r="O77" i="3" s="1"/>
  <c r="AT49" i="4"/>
  <c r="F76" i="3"/>
  <c r="O76" i="3" s="1"/>
  <c r="F75" i="3"/>
  <c r="O75" i="3" s="1"/>
  <c r="AT48" i="4"/>
  <c r="G76" i="3"/>
  <c r="N75" i="3"/>
  <c r="AR48" i="4"/>
  <c r="N77" i="3"/>
  <c r="AR50" i="4"/>
  <c r="AR49" i="4"/>
  <c r="N38" i="3"/>
  <c r="Y41" i="3"/>
  <c r="F59" i="3"/>
  <c r="O59" i="3" s="1"/>
  <c r="O57" i="3"/>
  <c r="O55" i="3"/>
  <c r="N55" i="3"/>
  <c r="O54" i="3"/>
  <c r="O52" i="3"/>
  <c r="N52" i="3"/>
  <c r="O51" i="3"/>
  <c r="N49" i="3"/>
  <c r="N41" i="3"/>
  <c r="O37" i="3"/>
  <c r="O31" i="3"/>
  <c r="O30" i="3"/>
  <c r="N22" i="3"/>
  <c r="N145" i="3"/>
  <c r="O144" i="3"/>
  <c r="N144" i="3"/>
  <c r="O143" i="3"/>
  <c r="N143" i="3"/>
  <c r="O142" i="3"/>
  <c r="N142" i="3"/>
  <c r="O141" i="3"/>
  <c r="N141" i="3"/>
  <c r="O140" i="3"/>
  <c r="N140" i="3"/>
  <c r="O139" i="3"/>
  <c r="N139" i="3"/>
  <c r="O138" i="3"/>
  <c r="N138" i="3"/>
  <c r="O137" i="3"/>
  <c r="N137" i="3"/>
  <c r="O136" i="3"/>
  <c r="N136" i="3"/>
  <c r="O135" i="3"/>
  <c r="N135" i="3"/>
  <c r="O134" i="3"/>
  <c r="N134" i="3"/>
  <c r="O133" i="3"/>
  <c r="N133" i="3"/>
  <c r="O132" i="3"/>
  <c r="N132" i="3"/>
  <c r="O131" i="3"/>
  <c r="N131" i="3"/>
  <c r="O130" i="3"/>
  <c r="N130" i="3"/>
  <c r="O129" i="3"/>
  <c r="N129" i="3"/>
  <c r="O128" i="3"/>
  <c r="N128" i="3"/>
  <c r="O127" i="3"/>
  <c r="N127" i="3"/>
  <c r="O126" i="3"/>
  <c r="N126" i="3"/>
  <c r="O125" i="3"/>
  <c r="N125" i="3"/>
  <c r="O124" i="3"/>
  <c r="N124" i="3"/>
  <c r="O123" i="3"/>
  <c r="N123" i="3"/>
  <c r="O122" i="3"/>
  <c r="N122" i="3"/>
  <c r="O121" i="3"/>
  <c r="N121" i="3"/>
  <c r="O120" i="3"/>
  <c r="N120" i="3"/>
  <c r="O119" i="3"/>
  <c r="N119" i="3"/>
  <c r="O118" i="3"/>
  <c r="N118" i="3"/>
  <c r="O117" i="3"/>
  <c r="N117" i="3"/>
  <c r="O116" i="3"/>
  <c r="N116" i="3"/>
  <c r="O115" i="3"/>
  <c r="N115" i="3"/>
  <c r="O114" i="3"/>
  <c r="N114" i="3"/>
  <c r="O113" i="3"/>
  <c r="N113" i="3"/>
  <c r="O112" i="3"/>
  <c r="N112" i="3"/>
  <c r="O111" i="3"/>
  <c r="N111" i="3"/>
  <c r="O110" i="3"/>
  <c r="N110" i="3"/>
  <c r="O109" i="3"/>
  <c r="N109" i="3"/>
  <c r="O108" i="3"/>
  <c r="N108" i="3"/>
  <c r="O107" i="3"/>
  <c r="N107" i="3"/>
  <c r="O103" i="3"/>
  <c r="N103" i="3"/>
  <c r="N99" i="3"/>
  <c r="O98" i="3"/>
  <c r="N98" i="3"/>
  <c r="O97" i="3"/>
  <c r="N97" i="3"/>
  <c r="O96" i="3"/>
  <c r="N96" i="3"/>
  <c r="N94" i="3"/>
  <c r="O93" i="3"/>
  <c r="N93" i="3"/>
  <c r="O92" i="3"/>
  <c r="N92" i="3"/>
  <c r="O88" i="3"/>
  <c r="N88" i="3"/>
  <c r="O83" i="3"/>
  <c r="N83" i="3"/>
  <c r="O82" i="3"/>
  <c r="O80" i="3"/>
  <c r="N80" i="3"/>
  <c r="O78" i="3"/>
  <c r="N78" i="3"/>
  <c r="O73" i="3"/>
  <c r="N73" i="3"/>
  <c r="O72" i="3"/>
  <c r="N72" i="3"/>
  <c r="O71" i="3"/>
  <c r="N71" i="3"/>
  <c r="O70" i="3"/>
  <c r="N70" i="3"/>
  <c r="O69" i="3"/>
  <c r="N69" i="3"/>
  <c r="O68" i="3"/>
  <c r="N68" i="3"/>
  <c r="O63" i="3"/>
  <c r="N63" i="3"/>
  <c r="O58" i="3"/>
  <c r="N58" i="3"/>
  <c r="O53" i="3"/>
  <c r="N53" i="3"/>
  <c r="O50" i="3"/>
  <c r="O49" i="3"/>
  <c r="O48" i="3"/>
  <c r="N48" i="3"/>
  <c r="O47" i="3"/>
  <c r="N47" i="3"/>
  <c r="O46" i="3"/>
  <c r="O45" i="3"/>
  <c r="N45" i="3"/>
  <c r="O44" i="3"/>
  <c r="N44" i="3"/>
  <c r="O43" i="3"/>
  <c r="N43" i="3"/>
  <c r="O41" i="3"/>
  <c r="O40" i="3"/>
  <c r="N40" i="3"/>
  <c r="O39" i="3"/>
  <c r="N39" i="3"/>
  <c r="O38" i="3"/>
  <c r="N37" i="3"/>
  <c r="O36" i="3"/>
  <c r="N36" i="3"/>
  <c r="O35" i="3"/>
  <c r="O34" i="3"/>
  <c r="N34" i="3"/>
  <c r="O29" i="3"/>
  <c r="O28" i="3"/>
  <c r="O27" i="3"/>
  <c r="O26" i="3"/>
  <c r="O25" i="3"/>
  <c r="O24" i="3"/>
  <c r="O23" i="3"/>
  <c r="O22" i="3"/>
  <c r="O21" i="3"/>
  <c r="O20" i="3"/>
  <c r="O19" i="3"/>
  <c r="O18" i="3"/>
  <c r="O17" i="3"/>
  <c r="O16" i="3"/>
  <c r="O15" i="3"/>
  <c r="O14" i="3"/>
  <c r="O13" i="3"/>
  <c r="O12" i="3"/>
  <c r="O11" i="3"/>
  <c r="O10" i="3"/>
  <c r="O9" i="3"/>
  <c r="O8" i="3"/>
  <c r="O7" i="3"/>
  <c r="O6" i="3"/>
  <c r="O5" i="3"/>
  <c r="O4" i="3"/>
  <c r="O3" i="3"/>
  <c r="O2" i="3"/>
  <c r="AU5" i="4"/>
  <c r="F32" i="3"/>
  <c r="O32" i="3" s="1"/>
  <c r="O187" i="3"/>
  <c r="N187" i="3"/>
  <c r="O186" i="3"/>
  <c r="N186" i="3"/>
  <c r="O185" i="3"/>
  <c r="N185" i="3"/>
  <c r="O184" i="3"/>
  <c r="N184" i="3"/>
  <c r="O183" i="3"/>
  <c r="N183" i="3"/>
  <c r="O182" i="3"/>
  <c r="N182" i="3"/>
  <c r="O181" i="3"/>
  <c r="N181" i="3"/>
  <c r="O180" i="3"/>
  <c r="N180" i="3"/>
  <c r="O179" i="3"/>
  <c r="N179" i="3"/>
  <c r="O178" i="3"/>
  <c r="N178" i="3"/>
  <c r="O177" i="3"/>
  <c r="N177" i="3"/>
  <c r="O176" i="3"/>
  <c r="N176" i="3"/>
  <c r="O175" i="3"/>
  <c r="N175" i="3"/>
  <c r="O174" i="3"/>
  <c r="N174" i="3"/>
  <c r="O173" i="3"/>
  <c r="N173" i="3"/>
  <c r="O172" i="3"/>
  <c r="N172" i="3"/>
  <c r="O171" i="3"/>
  <c r="N171" i="3"/>
  <c r="O170" i="3"/>
  <c r="N170" i="3"/>
  <c r="O169" i="3"/>
  <c r="N169" i="3"/>
  <c r="O168" i="3"/>
  <c r="N168" i="3"/>
  <c r="O167" i="3"/>
  <c r="N167" i="3"/>
  <c r="O166" i="3"/>
  <c r="N166" i="3"/>
  <c r="O165" i="3"/>
  <c r="N165" i="3"/>
  <c r="O164" i="3"/>
  <c r="N164" i="3"/>
  <c r="O163" i="3"/>
  <c r="N163" i="3"/>
  <c r="O162" i="3"/>
  <c r="N162" i="3"/>
  <c r="O161" i="3"/>
  <c r="N161" i="3"/>
  <c r="O160" i="3"/>
  <c r="N160" i="3"/>
  <c r="O159" i="3"/>
  <c r="N159" i="3"/>
  <c r="O158" i="3"/>
  <c r="N158" i="3"/>
  <c r="O157" i="3"/>
  <c r="N157" i="3"/>
  <c r="O156" i="3"/>
  <c r="N156" i="3"/>
  <c r="O155" i="3"/>
  <c r="N155" i="3"/>
  <c r="O154" i="3"/>
  <c r="N154" i="3"/>
  <c r="O153" i="3"/>
  <c r="N153" i="3"/>
  <c r="O152" i="3"/>
  <c r="N152" i="3"/>
  <c r="O151" i="3"/>
  <c r="N151" i="3"/>
  <c r="O150" i="3"/>
  <c r="N150" i="3"/>
  <c r="O149" i="3"/>
  <c r="N149" i="3"/>
  <c r="O148" i="3"/>
  <c r="N148" i="3"/>
  <c r="O147" i="3"/>
  <c r="N147" i="3"/>
  <c r="O146" i="3"/>
  <c r="N146" i="3"/>
  <c r="O145" i="3"/>
  <c r="AT29" i="4"/>
  <c r="F56" i="3"/>
  <c r="O56" i="3" s="1"/>
  <c r="AR24" i="4"/>
  <c r="AR19" i="4"/>
  <c r="N46" i="3"/>
  <c r="AU15" i="4"/>
  <c r="F42" i="3"/>
  <c r="O42" i="3" s="1"/>
  <c r="H66" i="3"/>
  <c r="H64" i="3"/>
  <c r="AR47" i="4"/>
  <c r="O74" i="3"/>
  <c r="S161" i="4"/>
  <c r="T161" i="4"/>
  <c r="G161" i="4" s="1"/>
  <c r="U161" i="4"/>
  <c r="H161" i="4" s="1"/>
  <c r="V82" i="13"/>
  <c r="U82" i="13"/>
  <c r="T82" i="13"/>
  <c r="S82" i="13"/>
  <c r="R82" i="13"/>
  <c r="Q82" i="13"/>
  <c r="O82" i="13"/>
  <c r="N82" i="13"/>
  <c r="P82" i="13"/>
  <c r="AT37" i="4"/>
  <c r="F64" i="3"/>
  <c r="O64" i="3" s="1"/>
  <c r="AR35" i="4"/>
  <c r="N62" i="3"/>
  <c r="AT35" i="4"/>
  <c r="F62" i="3"/>
  <c r="O62" i="3" s="1"/>
  <c r="AU34" i="4"/>
  <c r="F61" i="3"/>
  <c r="O61" i="3" s="1"/>
  <c r="AT33" i="4"/>
  <c r="F60" i="3"/>
  <c r="O60" i="3" s="1"/>
  <c r="N218" i="13"/>
  <c r="U40" i="4"/>
  <c r="H40" i="4" s="1"/>
  <c r="C245" i="13"/>
  <c r="C246" i="13" s="1"/>
  <c r="C247" i="13" s="1"/>
  <c r="P177" i="13" s="1"/>
  <c r="T157" i="4"/>
  <c r="G157" i="4" s="1"/>
  <c r="S157" i="4"/>
  <c r="Q157" i="4"/>
  <c r="D157" i="4" s="1"/>
  <c r="P157" i="4"/>
  <c r="C157" i="4" s="1"/>
  <c r="U156" i="4"/>
  <c r="H156" i="4" s="1"/>
  <c r="T156" i="4"/>
  <c r="G156" i="4" s="1"/>
  <c r="S156" i="4"/>
  <c r="Q156" i="4"/>
  <c r="D156" i="4" s="1"/>
  <c r="P156" i="4"/>
  <c r="C156" i="4" s="1"/>
  <c r="U155" i="4"/>
  <c r="H155" i="4" s="1"/>
  <c r="T155" i="4"/>
  <c r="G155" i="4" s="1"/>
  <c r="S155" i="4"/>
  <c r="Q155" i="4"/>
  <c r="D155" i="4" s="1"/>
  <c r="P155" i="4"/>
  <c r="C155" i="4" s="1"/>
  <c r="U154" i="4"/>
  <c r="H154" i="4" s="1"/>
  <c r="T154" i="4"/>
  <c r="G154" i="4" s="1"/>
  <c r="S154" i="4"/>
  <c r="Q154" i="4"/>
  <c r="D154" i="4" s="1"/>
  <c r="P154" i="4"/>
  <c r="C154" i="4" s="1"/>
  <c r="U153" i="4"/>
  <c r="H153" i="4" s="1"/>
  <c r="T153" i="4"/>
  <c r="G153" i="4" s="1"/>
  <c r="S153" i="4"/>
  <c r="Q153" i="4"/>
  <c r="D153" i="4" s="1"/>
  <c r="P153" i="4"/>
  <c r="C153" i="4" s="1"/>
  <c r="U152" i="4"/>
  <c r="H152" i="4" s="1"/>
  <c r="T152" i="4"/>
  <c r="G152" i="4" s="1"/>
  <c r="S152" i="4"/>
  <c r="Q152" i="4"/>
  <c r="D152" i="4" s="1"/>
  <c r="P152" i="4"/>
  <c r="C152" i="4" s="1"/>
  <c r="U151" i="4"/>
  <c r="H151" i="4" s="1"/>
  <c r="T151" i="4"/>
  <c r="G151" i="4" s="1"/>
  <c r="S151" i="4"/>
  <c r="Q151" i="4"/>
  <c r="D151" i="4" s="1"/>
  <c r="P151" i="4"/>
  <c r="C151" i="4" s="1"/>
  <c r="U150" i="4"/>
  <c r="H150" i="4" s="1"/>
  <c r="T150" i="4"/>
  <c r="G150" i="4" s="1"/>
  <c r="S150" i="4"/>
  <c r="Q150" i="4"/>
  <c r="D150" i="4" s="1"/>
  <c r="P150" i="4"/>
  <c r="C150" i="4" s="1"/>
  <c r="U149" i="4"/>
  <c r="H149" i="4" s="1"/>
  <c r="T149" i="4"/>
  <c r="G149" i="4" s="1"/>
  <c r="S149" i="4"/>
  <c r="Q149" i="4"/>
  <c r="D149" i="4" s="1"/>
  <c r="P149" i="4"/>
  <c r="C149" i="4" s="1"/>
  <c r="U148" i="4"/>
  <c r="H148" i="4" s="1"/>
  <c r="T148" i="4"/>
  <c r="G148" i="4" s="1"/>
  <c r="S148" i="4"/>
  <c r="Q148" i="4"/>
  <c r="D148" i="4" s="1"/>
  <c r="P148" i="4"/>
  <c r="C148" i="4" s="1"/>
  <c r="U147" i="4"/>
  <c r="H147" i="4" s="1"/>
  <c r="T147" i="4"/>
  <c r="G147" i="4" s="1"/>
  <c r="S147" i="4"/>
  <c r="Q147" i="4"/>
  <c r="D147" i="4" s="1"/>
  <c r="P147" i="4"/>
  <c r="C147" i="4" s="1"/>
  <c r="U146" i="4"/>
  <c r="H146" i="4" s="1"/>
  <c r="T146" i="4"/>
  <c r="G146" i="4" s="1"/>
  <c r="S146" i="4"/>
  <c r="Q146" i="4"/>
  <c r="D146" i="4" s="1"/>
  <c r="P146" i="4"/>
  <c r="C146" i="4" s="1"/>
  <c r="U145" i="4"/>
  <c r="H145" i="4" s="1"/>
  <c r="T145" i="4"/>
  <c r="G145" i="4" s="1"/>
  <c r="S145" i="4"/>
  <c r="Q145" i="4"/>
  <c r="D145" i="4" s="1"/>
  <c r="P145" i="4"/>
  <c r="C145" i="4" s="1"/>
  <c r="U144" i="4"/>
  <c r="H144" i="4" s="1"/>
  <c r="T144" i="4"/>
  <c r="G144" i="4" s="1"/>
  <c r="S144" i="4"/>
  <c r="Q144" i="4"/>
  <c r="D144" i="4" s="1"/>
  <c r="P144" i="4"/>
  <c r="C144" i="4" s="1"/>
  <c r="U143" i="4"/>
  <c r="H143" i="4" s="1"/>
  <c r="T143" i="4"/>
  <c r="G143" i="4" s="1"/>
  <c r="S143" i="4"/>
  <c r="Q143" i="4"/>
  <c r="D143" i="4" s="1"/>
  <c r="P143" i="4"/>
  <c r="C143" i="4" s="1"/>
  <c r="U142" i="4"/>
  <c r="H142" i="4" s="1"/>
  <c r="T142" i="4"/>
  <c r="G142" i="4" s="1"/>
  <c r="S142" i="4"/>
  <c r="Q142" i="4"/>
  <c r="D142" i="4" s="1"/>
  <c r="P142" i="4"/>
  <c r="C142" i="4" s="1"/>
  <c r="U141" i="4"/>
  <c r="H141" i="4" s="1"/>
  <c r="T141" i="4"/>
  <c r="G141" i="4" s="1"/>
  <c r="S141" i="4"/>
  <c r="Q141" i="4"/>
  <c r="D141" i="4" s="1"/>
  <c r="P141" i="4"/>
  <c r="C141" i="4" s="1"/>
  <c r="U140" i="4"/>
  <c r="H140" i="4" s="1"/>
  <c r="T140" i="4"/>
  <c r="G140" i="4" s="1"/>
  <c r="S140" i="4"/>
  <c r="Q140" i="4"/>
  <c r="D140" i="4" s="1"/>
  <c r="P140" i="4"/>
  <c r="C140" i="4" s="1"/>
  <c r="U139" i="4"/>
  <c r="H139" i="4" s="1"/>
  <c r="T139" i="4"/>
  <c r="G139" i="4" s="1"/>
  <c r="S139" i="4"/>
  <c r="Q139" i="4"/>
  <c r="D139" i="4" s="1"/>
  <c r="P139" i="4"/>
  <c r="C139" i="4" s="1"/>
  <c r="U138" i="4"/>
  <c r="H138" i="4" s="1"/>
  <c r="T138" i="4"/>
  <c r="G138" i="4" s="1"/>
  <c r="S138" i="4"/>
  <c r="Q138" i="4"/>
  <c r="D138" i="4" s="1"/>
  <c r="P138" i="4"/>
  <c r="C138" i="4" s="1"/>
  <c r="U137" i="4"/>
  <c r="H137" i="4" s="1"/>
  <c r="T137" i="4"/>
  <c r="G137" i="4" s="1"/>
  <c r="S137" i="4"/>
  <c r="Q137" i="4"/>
  <c r="D137" i="4" s="1"/>
  <c r="P137" i="4"/>
  <c r="C137" i="4" s="1"/>
  <c r="U136" i="4"/>
  <c r="H136" i="4" s="1"/>
  <c r="T136" i="4"/>
  <c r="G136" i="4" s="1"/>
  <c r="S136" i="4"/>
  <c r="Q136" i="4"/>
  <c r="D136" i="4" s="1"/>
  <c r="P136" i="4"/>
  <c r="C136" i="4" s="1"/>
  <c r="U135" i="4"/>
  <c r="H135" i="4" s="1"/>
  <c r="T135" i="4"/>
  <c r="G135" i="4" s="1"/>
  <c r="S135" i="4"/>
  <c r="Q135" i="4"/>
  <c r="D135" i="4" s="1"/>
  <c r="P135" i="4"/>
  <c r="C135" i="4" s="1"/>
  <c r="U134" i="4"/>
  <c r="H134" i="4" s="1"/>
  <c r="T134" i="4"/>
  <c r="G134" i="4" s="1"/>
  <c r="S134" i="4"/>
  <c r="Q134" i="4"/>
  <c r="D134" i="4" s="1"/>
  <c r="P134" i="4"/>
  <c r="C134" i="4" s="1"/>
  <c r="U133" i="4"/>
  <c r="H133" i="4" s="1"/>
  <c r="T133" i="4"/>
  <c r="G133" i="4" s="1"/>
  <c r="S133" i="4"/>
  <c r="Q133" i="4"/>
  <c r="D133" i="4" s="1"/>
  <c r="P133" i="4"/>
  <c r="C133" i="4" s="1"/>
  <c r="U132" i="4"/>
  <c r="H132" i="4" s="1"/>
  <c r="T132" i="4"/>
  <c r="G132" i="4" s="1"/>
  <c r="S132" i="4"/>
  <c r="Q132" i="4"/>
  <c r="D132" i="4" s="1"/>
  <c r="P132" i="4"/>
  <c r="C132" i="4" s="1"/>
  <c r="U131" i="4"/>
  <c r="H131" i="4" s="1"/>
  <c r="T131" i="4"/>
  <c r="G131" i="4" s="1"/>
  <c r="S131" i="4"/>
  <c r="Q131" i="4"/>
  <c r="D131" i="4" s="1"/>
  <c r="P131" i="4"/>
  <c r="C131" i="4" s="1"/>
  <c r="U130" i="4"/>
  <c r="H130" i="4" s="1"/>
  <c r="T130" i="4"/>
  <c r="G130" i="4" s="1"/>
  <c r="S130" i="4"/>
  <c r="Q130" i="4"/>
  <c r="D130" i="4" s="1"/>
  <c r="P130" i="4"/>
  <c r="C130" i="4" s="1"/>
  <c r="U129" i="4"/>
  <c r="H129" i="4" s="1"/>
  <c r="T129" i="4"/>
  <c r="G129" i="4" s="1"/>
  <c r="S129" i="4"/>
  <c r="Q129" i="4"/>
  <c r="D129" i="4" s="1"/>
  <c r="P129" i="4"/>
  <c r="C129" i="4" s="1"/>
  <c r="U128" i="4"/>
  <c r="H128" i="4" s="1"/>
  <c r="T128" i="4"/>
  <c r="G128" i="4" s="1"/>
  <c r="S128" i="4"/>
  <c r="Q128" i="4"/>
  <c r="D128" i="4" s="1"/>
  <c r="P128" i="4"/>
  <c r="C128" i="4" s="1"/>
  <c r="U127" i="4"/>
  <c r="H127" i="4" s="1"/>
  <c r="T127" i="4"/>
  <c r="G127" i="4" s="1"/>
  <c r="S127" i="4"/>
  <c r="Q127" i="4"/>
  <c r="D127" i="4" s="1"/>
  <c r="P127" i="4"/>
  <c r="C127" i="4" s="1"/>
  <c r="U126" i="4"/>
  <c r="H126" i="4" s="1"/>
  <c r="T126" i="4"/>
  <c r="G126" i="4" s="1"/>
  <c r="S126" i="4"/>
  <c r="Q126" i="4"/>
  <c r="D126" i="4" s="1"/>
  <c r="P126" i="4"/>
  <c r="C126" i="4" s="1"/>
  <c r="U125" i="4"/>
  <c r="H125" i="4" s="1"/>
  <c r="T125" i="4"/>
  <c r="G125" i="4" s="1"/>
  <c r="S125" i="4"/>
  <c r="Q125" i="4"/>
  <c r="D125" i="4" s="1"/>
  <c r="P125" i="4"/>
  <c r="C125" i="4" s="1"/>
  <c r="U124" i="4"/>
  <c r="H124" i="4" s="1"/>
  <c r="T124" i="4"/>
  <c r="G124" i="4" s="1"/>
  <c r="S124" i="4"/>
  <c r="Q124" i="4"/>
  <c r="D124" i="4" s="1"/>
  <c r="P124" i="4"/>
  <c r="C124" i="4" s="1"/>
  <c r="U123" i="4"/>
  <c r="H123" i="4" s="1"/>
  <c r="T123" i="4"/>
  <c r="G123" i="4" s="1"/>
  <c r="S123" i="4"/>
  <c r="Q123" i="4"/>
  <c r="D123" i="4" s="1"/>
  <c r="P123" i="4"/>
  <c r="C123" i="4" s="1"/>
  <c r="U122" i="4"/>
  <c r="H122" i="4" s="1"/>
  <c r="T122" i="4"/>
  <c r="G122" i="4" s="1"/>
  <c r="S122" i="4"/>
  <c r="Q122" i="4"/>
  <c r="D122" i="4" s="1"/>
  <c r="P122" i="4"/>
  <c r="C122" i="4" s="1"/>
  <c r="U121" i="4"/>
  <c r="H121" i="4" s="1"/>
  <c r="T121" i="4"/>
  <c r="G121" i="4" s="1"/>
  <c r="S121" i="4"/>
  <c r="Q121" i="4"/>
  <c r="D121" i="4" s="1"/>
  <c r="P121" i="4"/>
  <c r="C121" i="4" s="1"/>
  <c r="U120" i="4"/>
  <c r="H120" i="4" s="1"/>
  <c r="T120" i="4"/>
  <c r="G120" i="4" s="1"/>
  <c r="S120" i="4"/>
  <c r="Q120" i="4"/>
  <c r="D120" i="4" s="1"/>
  <c r="P120" i="4"/>
  <c r="C120" i="4" s="1"/>
  <c r="U119" i="4"/>
  <c r="H119" i="4" s="1"/>
  <c r="T119" i="4"/>
  <c r="G119" i="4" s="1"/>
  <c r="S119" i="4"/>
  <c r="Q119" i="4"/>
  <c r="D119" i="4" s="1"/>
  <c r="P119" i="4"/>
  <c r="C119" i="4" s="1"/>
  <c r="U118" i="4"/>
  <c r="H118" i="4" s="1"/>
  <c r="T118" i="4"/>
  <c r="G118" i="4" s="1"/>
  <c r="S118" i="4"/>
  <c r="Q118" i="4"/>
  <c r="D118" i="4" s="1"/>
  <c r="P118" i="4"/>
  <c r="C118" i="4" s="1"/>
  <c r="U117" i="4"/>
  <c r="H117" i="4" s="1"/>
  <c r="T117" i="4"/>
  <c r="G117" i="4" s="1"/>
  <c r="S117" i="4"/>
  <c r="Q117" i="4"/>
  <c r="D117" i="4" s="1"/>
  <c r="P117" i="4"/>
  <c r="C117" i="4" s="1"/>
  <c r="U116" i="4"/>
  <c r="H116" i="4" s="1"/>
  <c r="T116" i="4"/>
  <c r="G116" i="4" s="1"/>
  <c r="S116" i="4"/>
  <c r="Q116" i="4"/>
  <c r="D116" i="4" s="1"/>
  <c r="P116" i="4"/>
  <c r="C116" i="4" s="1"/>
  <c r="U115" i="4"/>
  <c r="H115" i="4" s="1"/>
  <c r="T115" i="4"/>
  <c r="G115" i="4" s="1"/>
  <c r="S115" i="4"/>
  <c r="Q115" i="4"/>
  <c r="D115" i="4" s="1"/>
  <c r="P115" i="4"/>
  <c r="C115" i="4" s="1"/>
  <c r="U114" i="4"/>
  <c r="H114" i="4" s="1"/>
  <c r="T114" i="4"/>
  <c r="G114" i="4" s="1"/>
  <c r="S114" i="4"/>
  <c r="Q114" i="4"/>
  <c r="D114" i="4" s="1"/>
  <c r="P114" i="4"/>
  <c r="C114" i="4" s="1"/>
  <c r="U113" i="4"/>
  <c r="H113" i="4" s="1"/>
  <c r="T113" i="4"/>
  <c r="G113" i="4" s="1"/>
  <c r="S113" i="4"/>
  <c r="Q113" i="4"/>
  <c r="D113" i="4" s="1"/>
  <c r="P113" i="4"/>
  <c r="C113" i="4" s="1"/>
  <c r="U112" i="4"/>
  <c r="H112" i="4" s="1"/>
  <c r="T112" i="4"/>
  <c r="G112" i="4" s="1"/>
  <c r="S112" i="4"/>
  <c r="Q112" i="4"/>
  <c r="D112" i="4" s="1"/>
  <c r="P112" i="4"/>
  <c r="C112" i="4" s="1"/>
  <c r="U111" i="4"/>
  <c r="H111" i="4" s="1"/>
  <c r="T111" i="4"/>
  <c r="G111" i="4" s="1"/>
  <c r="S111" i="4"/>
  <c r="Q111" i="4"/>
  <c r="D111" i="4" s="1"/>
  <c r="P111" i="4"/>
  <c r="C111" i="4" s="1"/>
  <c r="U110" i="4"/>
  <c r="H110" i="4" s="1"/>
  <c r="T110" i="4"/>
  <c r="G110" i="4" s="1"/>
  <c r="S110" i="4"/>
  <c r="Q110" i="4"/>
  <c r="D110" i="4" s="1"/>
  <c r="P110" i="4"/>
  <c r="C110" i="4" s="1"/>
  <c r="U109" i="4"/>
  <c r="H109" i="4" s="1"/>
  <c r="T109" i="4"/>
  <c r="G109" i="4" s="1"/>
  <c r="S109" i="4"/>
  <c r="Q109" i="4"/>
  <c r="D109" i="4" s="1"/>
  <c r="P109" i="4"/>
  <c r="C109" i="4" s="1"/>
  <c r="U108" i="4"/>
  <c r="H108" i="4" s="1"/>
  <c r="T108" i="4"/>
  <c r="G108" i="4" s="1"/>
  <c r="S108" i="4"/>
  <c r="Q108" i="4"/>
  <c r="D108" i="4" s="1"/>
  <c r="P108" i="4"/>
  <c r="C108" i="4" s="1"/>
  <c r="U107" i="4"/>
  <c r="H107" i="4" s="1"/>
  <c r="T107" i="4"/>
  <c r="G107" i="4" s="1"/>
  <c r="S107" i="4"/>
  <c r="Q107" i="4"/>
  <c r="D107" i="4" s="1"/>
  <c r="P107" i="4"/>
  <c r="C107" i="4" s="1"/>
  <c r="U106" i="4"/>
  <c r="H106" i="4" s="1"/>
  <c r="T106" i="4"/>
  <c r="G106" i="4" s="1"/>
  <c r="S106" i="4"/>
  <c r="Q106" i="4"/>
  <c r="D106" i="4" s="1"/>
  <c r="P106" i="4"/>
  <c r="C106" i="4" s="1"/>
  <c r="U105" i="4"/>
  <c r="H105" i="4" s="1"/>
  <c r="T105" i="4"/>
  <c r="G105" i="4" s="1"/>
  <c r="S105" i="4"/>
  <c r="Q105" i="4"/>
  <c r="D105" i="4" s="1"/>
  <c r="BA13" i="13"/>
  <c r="BA149" i="13" s="1"/>
  <c r="BA198" i="13" s="1"/>
  <c r="AZ149" i="13"/>
  <c r="C21" i="3"/>
  <c r="B21" i="3"/>
  <c r="P105" i="4"/>
  <c r="C105" i="4" s="1"/>
  <c r="U104" i="4"/>
  <c r="H104" i="4" s="1"/>
  <c r="T104" i="4"/>
  <c r="G104" i="4" s="1"/>
  <c r="S104" i="4"/>
  <c r="Q104" i="4"/>
  <c r="D104" i="4" s="1"/>
  <c r="P104" i="4"/>
  <c r="C104" i="4" s="1"/>
  <c r="U103" i="4"/>
  <c r="H103" i="4" s="1"/>
  <c r="T103" i="4"/>
  <c r="G103" i="4" s="1"/>
  <c r="S103" i="4"/>
  <c r="Q103" i="4"/>
  <c r="D103" i="4" s="1"/>
  <c r="P103" i="4"/>
  <c r="C103" i="4" s="1"/>
  <c r="U102" i="4"/>
  <c r="H102" i="4" s="1"/>
  <c r="T102" i="4"/>
  <c r="G102" i="4" s="1"/>
  <c r="S102" i="4"/>
  <c r="Q102" i="4"/>
  <c r="D102" i="4" s="1"/>
  <c r="P102" i="4"/>
  <c r="C102" i="4" s="1"/>
  <c r="U101" i="4"/>
  <c r="H101" i="4" s="1"/>
  <c r="T101" i="4"/>
  <c r="G101" i="4" s="1"/>
  <c r="S101" i="4"/>
  <c r="Q101" i="4"/>
  <c r="D101" i="4" s="1"/>
  <c r="P101" i="4"/>
  <c r="C101" i="4" s="1"/>
  <c r="U100" i="4"/>
  <c r="H100" i="4" s="1"/>
  <c r="T100" i="4"/>
  <c r="G100" i="4" s="1"/>
  <c r="S100" i="4"/>
  <c r="Q100" i="4"/>
  <c r="D100" i="4" s="1"/>
  <c r="P100" i="4"/>
  <c r="C100" i="4" s="1"/>
  <c r="U99" i="4"/>
  <c r="H99" i="4" s="1"/>
  <c r="T99" i="4"/>
  <c r="G99" i="4" s="1"/>
  <c r="S99" i="4"/>
  <c r="Q99" i="4"/>
  <c r="D99" i="4" s="1"/>
  <c r="P99" i="4"/>
  <c r="C99" i="4" s="1"/>
  <c r="U98" i="4"/>
  <c r="H98" i="4" s="1"/>
  <c r="T98" i="4"/>
  <c r="G98" i="4" s="1"/>
  <c r="S98" i="4"/>
  <c r="Q98" i="4"/>
  <c r="D98" i="4" s="1"/>
  <c r="P98" i="4"/>
  <c r="C98" i="4" s="1"/>
  <c r="U97" i="4"/>
  <c r="H97" i="4" s="1"/>
  <c r="T97" i="4"/>
  <c r="G97" i="4" s="1"/>
  <c r="S97" i="4"/>
  <c r="Q97" i="4"/>
  <c r="D97" i="4" s="1"/>
  <c r="P97" i="4"/>
  <c r="C97" i="4" s="1"/>
  <c r="U96" i="4"/>
  <c r="H96" i="4" s="1"/>
  <c r="T96" i="4"/>
  <c r="G96" i="4" s="1"/>
  <c r="S96" i="4"/>
  <c r="Q96" i="4"/>
  <c r="D96" i="4" s="1"/>
  <c r="P96" i="4"/>
  <c r="C96" i="4" s="1"/>
  <c r="U95" i="4"/>
  <c r="H95" i="4" s="1"/>
  <c r="T95" i="4"/>
  <c r="G95" i="4" s="1"/>
  <c r="S95" i="4"/>
  <c r="Q95" i="4"/>
  <c r="D95" i="4" s="1"/>
  <c r="P95" i="4"/>
  <c r="C95" i="4" s="1"/>
  <c r="U94" i="4"/>
  <c r="H94" i="4" s="1"/>
  <c r="T94" i="4"/>
  <c r="G94" i="4" s="1"/>
  <c r="S94" i="4"/>
  <c r="Q94" i="4"/>
  <c r="D94" i="4" s="1"/>
  <c r="P94" i="4"/>
  <c r="C94" i="4" s="1"/>
  <c r="U93" i="4"/>
  <c r="H93" i="4" s="1"/>
  <c r="T93" i="4"/>
  <c r="G93" i="4" s="1"/>
  <c r="S93" i="4"/>
  <c r="Q93" i="4"/>
  <c r="D93" i="4" s="1"/>
  <c r="P93" i="4"/>
  <c r="C93" i="4" s="1"/>
  <c r="U92" i="4"/>
  <c r="H92" i="4" s="1"/>
  <c r="T92" i="4"/>
  <c r="G92" i="4" s="1"/>
  <c r="S92" i="4"/>
  <c r="Q92" i="4"/>
  <c r="D92" i="4" s="1"/>
  <c r="P92" i="4"/>
  <c r="C92" i="4" s="1"/>
  <c r="U91" i="4"/>
  <c r="H91" i="4" s="1"/>
  <c r="T91" i="4"/>
  <c r="G91" i="4" s="1"/>
  <c r="S91" i="4"/>
  <c r="Q91" i="4"/>
  <c r="D91" i="4" s="1"/>
  <c r="P91" i="4"/>
  <c r="C91" i="4" s="1"/>
  <c r="U90" i="4"/>
  <c r="H90" i="4" s="1"/>
  <c r="T90" i="4"/>
  <c r="G90" i="4" s="1"/>
  <c r="S90" i="4"/>
  <c r="Q90" i="4"/>
  <c r="D90" i="4" s="1"/>
  <c r="P90" i="4"/>
  <c r="C90" i="4" s="1"/>
  <c r="U89" i="4"/>
  <c r="H89" i="4" s="1"/>
  <c r="T89" i="4"/>
  <c r="G89" i="4" s="1"/>
  <c r="S89" i="4"/>
  <c r="Q89" i="4"/>
  <c r="D89" i="4" s="1"/>
  <c r="P89" i="4"/>
  <c r="C89" i="4" s="1"/>
  <c r="U88" i="4"/>
  <c r="H88" i="4" s="1"/>
  <c r="T88" i="4"/>
  <c r="G88" i="4" s="1"/>
  <c r="S88" i="4"/>
  <c r="Q88" i="4"/>
  <c r="D88" i="4" s="1"/>
  <c r="P88" i="4"/>
  <c r="C88" i="4" s="1"/>
  <c r="U87" i="4"/>
  <c r="H87" i="4" s="1"/>
  <c r="T87" i="4"/>
  <c r="G87" i="4" s="1"/>
  <c r="S87" i="4"/>
  <c r="Q87" i="4"/>
  <c r="D87" i="4" s="1"/>
  <c r="P87" i="4"/>
  <c r="C87" i="4" s="1"/>
  <c r="U86" i="4"/>
  <c r="H86" i="4" s="1"/>
  <c r="T86" i="4"/>
  <c r="G86" i="4" s="1"/>
  <c r="S86" i="4"/>
  <c r="Q86" i="4"/>
  <c r="D86" i="4" s="1"/>
  <c r="P86" i="4"/>
  <c r="C86" i="4" s="1"/>
  <c r="U85" i="4"/>
  <c r="H85" i="4" s="1"/>
  <c r="T85" i="4"/>
  <c r="G85" i="4" s="1"/>
  <c r="S85" i="4"/>
  <c r="Q85" i="4"/>
  <c r="D85" i="4" s="1"/>
  <c r="P85" i="4"/>
  <c r="C85" i="4" s="1"/>
  <c r="U84" i="4"/>
  <c r="H84" i="4" s="1"/>
  <c r="T84" i="4"/>
  <c r="G84" i="4" s="1"/>
  <c r="S84" i="4"/>
  <c r="Q84" i="4"/>
  <c r="D84" i="4" s="1"/>
  <c r="P84" i="4"/>
  <c r="C84" i="4" s="1"/>
  <c r="U83" i="4"/>
  <c r="H83" i="4" s="1"/>
  <c r="T83" i="4"/>
  <c r="G83" i="4" s="1"/>
  <c r="S83" i="4"/>
  <c r="Q83" i="4"/>
  <c r="D83" i="4" s="1"/>
  <c r="P83" i="4"/>
  <c r="C83" i="4" s="1"/>
  <c r="T82" i="4"/>
  <c r="G82" i="4" s="1"/>
  <c r="S82" i="4"/>
  <c r="Q82" i="4"/>
  <c r="D82" i="4" s="1"/>
  <c r="P82" i="4"/>
  <c r="C82" i="4" s="1"/>
  <c r="U81" i="4"/>
  <c r="H81" i="4" s="1"/>
  <c r="T81" i="4"/>
  <c r="G81" i="4" s="1"/>
  <c r="S81" i="4"/>
  <c r="Q81" i="4"/>
  <c r="D81" i="4" s="1"/>
  <c r="P81" i="4"/>
  <c r="C81" i="4" s="1"/>
  <c r="U80" i="4"/>
  <c r="H80" i="4" s="1"/>
  <c r="T80" i="4"/>
  <c r="G80" i="4" s="1"/>
  <c r="S80" i="4"/>
  <c r="Q80" i="4"/>
  <c r="D80" i="4" s="1"/>
  <c r="P80" i="4"/>
  <c r="C80" i="4" s="1"/>
  <c r="U79" i="4"/>
  <c r="H79" i="4" s="1"/>
  <c r="T79" i="4"/>
  <c r="G79" i="4" s="1"/>
  <c r="S79" i="4"/>
  <c r="Q79" i="4"/>
  <c r="D79" i="4" s="1"/>
  <c r="P79" i="4"/>
  <c r="U78" i="4"/>
  <c r="H78" i="4" s="1"/>
  <c r="T78" i="4"/>
  <c r="G78" i="4" s="1"/>
  <c r="S78" i="4"/>
  <c r="Q78" i="4"/>
  <c r="D78" i="4" s="1"/>
  <c r="P78" i="4"/>
  <c r="U77" i="4"/>
  <c r="H77" i="4" s="1"/>
  <c r="T77" i="4"/>
  <c r="G77" i="4" s="1"/>
  <c r="S77" i="4"/>
  <c r="Q77" i="4"/>
  <c r="D77" i="4" s="1"/>
  <c r="P77" i="4"/>
  <c r="U76" i="4"/>
  <c r="H76" i="4" s="1"/>
  <c r="T76" i="4"/>
  <c r="G76" i="4" s="1"/>
  <c r="S76" i="4"/>
  <c r="Q76" i="4"/>
  <c r="D76" i="4" s="1"/>
  <c r="P76" i="4"/>
  <c r="C76" i="4" s="1"/>
  <c r="U75" i="4"/>
  <c r="H75" i="4" s="1"/>
  <c r="T75" i="4"/>
  <c r="G75" i="4" s="1"/>
  <c r="S75" i="4"/>
  <c r="Q75" i="4"/>
  <c r="D75" i="4" s="1"/>
  <c r="P75" i="4"/>
  <c r="U74" i="4"/>
  <c r="H74" i="4" s="1"/>
  <c r="T74" i="4"/>
  <c r="G74" i="4" s="1"/>
  <c r="S74" i="4"/>
  <c r="Q74" i="4"/>
  <c r="D74" i="4" s="1"/>
  <c r="P74" i="4"/>
  <c r="U73" i="4"/>
  <c r="H73" i="4" s="1"/>
  <c r="T73" i="4"/>
  <c r="G73" i="4" s="1"/>
  <c r="S73" i="4"/>
  <c r="Q73" i="4"/>
  <c r="D73" i="4" s="1"/>
  <c r="P73" i="4"/>
  <c r="C73" i="4" s="1"/>
  <c r="U72" i="4"/>
  <c r="H72" i="4" s="1"/>
  <c r="T72" i="4"/>
  <c r="G72" i="4" s="1"/>
  <c r="S72" i="4"/>
  <c r="Q72" i="4"/>
  <c r="D72" i="4" s="1"/>
  <c r="P72" i="4"/>
  <c r="C72" i="4" s="1"/>
  <c r="U71" i="4"/>
  <c r="H71" i="4" s="1"/>
  <c r="T71" i="4"/>
  <c r="G71" i="4" s="1"/>
  <c r="S71" i="4"/>
  <c r="Q71" i="4"/>
  <c r="D71" i="4" s="1"/>
  <c r="P71" i="4"/>
  <c r="C71" i="4" s="1"/>
  <c r="U70" i="4"/>
  <c r="H70" i="4" s="1"/>
  <c r="T70" i="4"/>
  <c r="G70" i="4" s="1"/>
  <c r="S70" i="4"/>
  <c r="Q70" i="4"/>
  <c r="D70" i="4" s="1"/>
  <c r="P70" i="4"/>
  <c r="C70" i="4" s="1"/>
  <c r="U69" i="4"/>
  <c r="H69" i="4" s="1"/>
  <c r="T69" i="4"/>
  <c r="G69" i="4" s="1"/>
  <c r="S69" i="4"/>
  <c r="Q69" i="4"/>
  <c r="D69" i="4" s="1"/>
  <c r="P69" i="4"/>
  <c r="C69" i="4" s="1"/>
  <c r="U68" i="4"/>
  <c r="H68" i="4" s="1"/>
  <c r="T68" i="4"/>
  <c r="G68" i="4" s="1"/>
  <c r="S68" i="4"/>
  <c r="Q68" i="4"/>
  <c r="D68" i="4" s="1"/>
  <c r="P68" i="4"/>
  <c r="U67" i="4"/>
  <c r="H67" i="4" s="1"/>
  <c r="T67" i="4"/>
  <c r="G67" i="4" s="1"/>
  <c r="S67" i="4"/>
  <c r="Q67" i="4"/>
  <c r="D67" i="4" s="1"/>
  <c r="P67" i="4"/>
  <c r="C67" i="4" s="1"/>
  <c r="U66" i="4"/>
  <c r="H66" i="4" s="1"/>
  <c r="T66" i="4"/>
  <c r="G66" i="4" s="1"/>
  <c r="S66" i="4"/>
  <c r="Q66" i="4"/>
  <c r="D66" i="4" s="1"/>
  <c r="P66" i="4"/>
  <c r="C66" i="4" s="1"/>
  <c r="U65" i="4"/>
  <c r="H65" i="4" s="1"/>
  <c r="T65" i="4"/>
  <c r="G65" i="4" s="1"/>
  <c r="S65" i="4"/>
  <c r="Q65" i="4"/>
  <c r="D65" i="4" s="1"/>
  <c r="P65" i="4"/>
  <c r="C65" i="4" s="1"/>
  <c r="U64" i="4"/>
  <c r="H64" i="4" s="1"/>
  <c r="T64" i="4"/>
  <c r="G64" i="4" s="1"/>
  <c r="S64" i="4"/>
  <c r="Q64" i="4"/>
  <c r="D64" i="4" s="1"/>
  <c r="P64" i="4"/>
  <c r="U63" i="4"/>
  <c r="H63" i="4" s="1"/>
  <c r="T63" i="4"/>
  <c r="G63" i="4" s="1"/>
  <c r="S63" i="4"/>
  <c r="Q63" i="4"/>
  <c r="D63" i="4" s="1"/>
  <c r="P63" i="4"/>
  <c r="U62" i="4"/>
  <c r="H62" i="4" s="1"/>
  <c r="T62" i="4"/>
  <c r="G62" i="4" s="1"/>
  <c r="S62" i="4"/>
  <c r="Q62" i="4"/>
  <c r="D62" i="4" s="1"/>
  <c r="P62" i="4"/>
  <c r="U61" i="4"/>
  <c r="H61" i="4" s="1"/>
  <c r="T61" i="4"/>
  <c r="G61" i="4" s="1"/>
  <c r="S61" i="4"/>
  <c r="Q61" i="4"/>
  <c r="D61" i="4" s="1"/>
  <c r="P61" i="4"/>
  <c r="C61" i="4" s="1"/>
  <c r="U60" i="4"/>
  <c r="H60" i="4" s="1"/>
  <c r="T60" i="4"/>
  <c r="G60" i="4" s="1"/>
  <c r="S60" i="4"/>
  <c r="Q60" i="4"/>
  <c r="D60" i="4" s="1"/>
  <c r="P60" i="4"/>
  <c r="U59" i="4"/>
  <c r="H59" i="4" s="1"/>
  <c r="T59" i="4"/>
  <c r="G59" i="4" s="1"/>
  <c r="S59" i="4"/>
  <c r="Q59" i="4"/>
  <c r="D59" i="4" s="1"/>
  <c r="P59" i="4"/>
  <c r="U58" i="4"/>
  <c r="H58" i="4" s="1"/>
  <c r="T58" i="4"/>
  <c r="G58" i="4" s="1"/>
  <c r="S58" i="4"/>
  <c r="Q58" i="4"/>
  <c r="D58" i="4" s="1"/>
  <c r="P58" i="4"/>
  <c r="U57" i="4"/>
  <c r="H57" i="4" s="1"/>
  <c r="T57" i="4"/>
  <c r="G57" i="4" s="1"/>
  <c r="S57" i="4"/>
  <c r="Q57" i="4"/>
  <c r="D57" i="4" s="1"/>
  <c r="P57" i="4"/>
  <c r="U56" i="4"/>
  <c r="H56" i="4" s="1"/>
  <c r="T56" i="4"/>
  <c r="G56" i="4" s="1"/>
  <c r="S56" i="4"/>
  <c r="Q56" i="4"/>
  <c r="D56" i="4" s="1"/>
  <c r="P56" i="4"/>
  <c r="C56" i="4" s="1"/>
  <c r="U55" i="4"/>
  <c r="H55" i="4" s="1"/>
  <c r="T55" i="4"/>
  <c r="G55" i="4" s="1"/>
  <c r="S55" i="4"/>
  <c r="Q55" i="4"/>
  <c r="D55" i="4" s="1"/>
  <c r="P55" i="4"/>
  <c r="U54" i="4"/>
  <c r="T54" i="4"/>
  <c r="G54" i="4" s="1"/>
  <c r="S54" i="4"/>
  <c r="Q54" i="4"/>
  <c r="D54" i="4" s="1"/>
  <c r="P54" i="4"/>
  <c r="U53" i="4"/>
  <c r="H53" i="4" s="1"/>
  <c r="T53" i="4"/>
  <c r="G53" i="4" s="1"/>
  <c r="S53" i="4"/>
  <c r="Q53" i="4"/>
  <c r="D53" i="4" s="1"/>
  <c r="P53" i="4"/>
  <c r="C53" i="4" s="1"/>
  <c r="U52" i="4"/>
  <c r="H52" i="4" s="1"/>
  <c r="T52" i="4"/>
  <c r="G52" i="4" s="1"/>
  <c r="S52" i="4"/>
  <c r="Q52" i="4"/>
  <c r="D52" i="4" s="1"/>
  <c r="P52" i="4"/>
  <c r="U51" i="4"/>
  <c r="H51" i="4" s="1"/>
  <c r="T51" i="4"/>
  <c r="G51" i="4" s="1"/>
  <c r="AG94" i="13"/>
  <c r="AF94" i="13"/>
  <c r="AE94" i="13"/>
  <c r="AD94" i="13"/>
  <c r="AC94" i="13"/>
  <c r="AB94" i="13"/>
  <c r="AA94" i="13"/>
  <c r="Z94" i="13"/>
  <c r="Y94" i="13"/>
  <c r="X94" i="13"/>
  <c r="W94" i="13"/>
  <c r="V94" i="13"/>
  <c r="U94" i="13"/>
  <c r="T94" i="13"/>
  <c r="S94" i="13"/>
  <c r="R94" i="13"/>
  <c r="Q94" i="13"/>
  <c r="P94" i="13"/>
  <c r="O94" i="13"/>
  <c r="N94" i="13"/>
  <c r="AZ175" i="13"/>
  <c r="AY198" i="13"/>
  <c r="AX198" i="13"/>
  <c r="AY175" i="13"/>
  <c r="AX175" i="13"/>
  <c r="AW198" i="13"/>
  <c r="AW175" i="13"/>
  <c r="AV198" i="13"/>
  <c r="AV175" i="13"/>
  <c r="AU198" i="13"/>
  <c r="AU175" i="13"/>
  <c r="AT198" i="13"/>
  <c r="AS198" i="13"/>
  <c r="AT175" i="13"/>
  <c r="AR198" i="13"/>
  <c r="AS175" i="13"/>
  <c r="AR175" i="13"/>
  <c r="AQ198" i="13"/>
  <c r="AP198" i="13"/>
  <c r="AQ175" i="13"/>
  <c r="AP175" i="13"/>
  <c r="AO198" i="13"/>
  <c r="AO175" i="13"/>
  <c r="AN198" i="13"/>
  <c r="AM198" i="13"/>
  <c r="AN175" i="13"/>
  <c r="AL198" i="13"/>
  <c r="AM175" i="13"/>
  <c r="AK198" i="13"/>
  <c r="AL175" i="13"/>
  <c r="AK175" i="13"/>
  <c r="AJ198" i="13"/>
  <c r="AI198" i="13"/>
  <c r="AJ175" i="13"/>
  <c r="AH198" i="13"/>
  <c r="AI175" i="13"/>
  <c r="AH175" i="13"/>
  <c r="AG198" i="13"/>
  <c r="AG175" i="13"/>
  <c r="AF198" i="13"/>
  <c r="AE198" i="13"/>
  <c r="AF175" i="13"/>
  <c r="AE175" i="13"/>
  <c r="AD198" i="13"/>
  <c r="AD175" i="13"/>
  <c r="AC198" i="13"/>
  <c r="AC175" i="13"/>
  <c r="AB198" i="13"/>
  <c r="AA198" i="13"/>
  <c r="AA292" i="13" s="1"/>
  <c r="AB175" i="13"/>
  <c r="Z198" i="13"/>
  <c r="Z292" i="13" s="1"/>
  <c r="AA175" i="13"/>
  <c r="Y198" i="13"/>
  <c r="Y292" i="13" s="1"/>
  <c r="Z175" i="13"/>
  <c r="X198" i="13"/>
  <c r="X292" i="13" s="1"/>
  <c r="Y175" i="13"/>
  <c r="X175" i="13"/>
  <c r="W198" i="13"/>
  <c r="W292" i="13" s="1"/>
  <c r="W175" i="13"/>
  <c r="V198" i="13"/>
  <c r="V292" i="13" s="1"/>
  <c r="V175" i="13"/>
  <c r="U198" i="13"/>
  <c r="U292" i="13" s="1"/>
  <c r="U175" i="13"/>
  <c r="T198" i="13"/>
  <c r="T292" i="13" s="1"/>
  <c r="T175" i="13"/>
  <c r="S198" i="13"/>
  <c r="S292" i="13" s="1"/>
  <c r="S175" i="13"/>
  <c r="R198" i="13"/>
  <c r="R292" i="13" s="1"/>
  <c r="Q198" i="13"/>
  <c r="Q292" i="13" s="1"/>
  <c r="R175" i="13"/>
  <c r="Q175" i="13"/>
  <c r="P198" i="13"/>
  <c r="S5" i="4"/>
  <c r="U5" i="4"/>
  <c r="H5" i="4" s="1"/>
  <c r="U6" i="4"/>
  <c r="H6" i="4" s="1"/>
  <c r="S7" i="4"/>
  <c r="T7" i="4"/>
  <c r="G7" i="4" s="1"/>
  <c r="U4" i="4"/>
  <c r="H4" i="4" s="1"/>
  <c r="S4" i="4"/>
  <c r="U3" i="4"/>
  <c r="H3" i="4" s="1"/>
  <c r="S3" i="4"/>
  <c r="U7" i="4"/>
  <c r="H7" i="4" s="1"/>
  <c r="T49" i="4"/>
  <c r="G49" i="4" s="1"/>
  <c r="S49" i="4"/>
  <c r="Q49" i="4"/>
  <c r="D49" i="4" s="1"/>
  <c r="P49" i="4"/>
  <c r="U48" i="4"/>
  <c r="H48" i="4" s="1"/>
  <c r="T48" i="4"/>
  <c r="G48" i="4" s="1"/>
  <c r="S48" i="4"/>
  <c r="Q48" i="4"/>
  <c r="D48" i="4" s="1"/>
  <c r="P48" i="4"/>
  <c r="U47" i="4"/>
  <c r="H47" i="4" s="1"/>
  <c r="T47" i="4"/>
  <c r="G47" i="4" s="1"/>
  <c r="S47" i="4"/>
  <c r="Q47" i="4"/>
  <c r="D47" i="4" s="1"/>
  <c r="P47" i="4"/>
  <c r="U46" i="4"/>
  <c r="H46" i="4" s="1"/>
  <c r="T46" i="4"/>
  <c r="G46" i="4" s="1"/>
  <c r="S46" i="4"/>
  <c r="Q46" i="4"/>
  <c r="D46" i="4" s="1"/>
  <c r="P46" i="4"/>
  <c r="C46" i="4" s="1"/>
  <c r="U45" i="4"/>
  <c r="H45" i="4" s="1"/>
  <c r="T45" i="4"/>
  <c r="G45" i="4" s="1"/>
  <c r="S45" i="4"/>
  <c r="Q45" i="4"/>
  <c r="D45" i="4" s="1"/>
  <c r="P45" i="4"/>
  <c r="C45" i="4" s="1"/>
  <c r="U44" i="4"/>
  <c r="H44" i="4" s="1"/>
  <c r="T44" i="4"/>
  <c r="G44" i="4" s="1"/>
  <c r="S44" i="4"/>
  <c r="Q44" i="4"/>
  <c r="D44" i="4" s="1"/>
  <c r="P44" i="4"/>
  <c r="C44" i="4" s="1"/>
  <c r="U43" i="4"/>
  <c r="H43" i="4" s="1"/>
  <c r="T43" i="4"/>
  <c r="G43" i="4" s="1"/>
  <c r="S43" i="4"/>
  <c r="Q43" i="4"/>
  <c r="D43" i="4" s="1"/>
  <c r="P43" i="4"/>
  <c r="C43" i="4" s="1"/>
  <c r="U42" i="4"/>
  <c r="H42" i="4" s="1"/>
  <c r="T42" i="4"/>
  <c r="G42" i="4" s="1"/>
  <c r="S42" i="4"/>
  <c r="Q42" i="4"/>
  <c r="D42" i="4" s="1"/>
  <c r="P42" i="4"/>
  <c r="C42" i="4" s="1"/>
  <c r="U41" i="4"/>
  <c r="H41" i="4" s="1"/>
  <c r="T41" i="4"/>
  <c r="G41" i="4" s="1"/>
  <c r="S41" i="4"/>
  <c r="Q41" i="4"/>
  <c r="D41" i="4" s="1"/>
  <c r="P41" i="4"/>
  <c r="C41" i="4" s="1"/>
  <c r="T40" i="4"/>
  <c r="G40" i="4" s="1"/>
  <c r="U39" i="4"/>
  <c r="H39" i="4" s="1"/>
  <c r="P39" i="4"/>
  <c r="U38" i="4"/>
  <c r="H38" i="4" s="1"/>
  <c r="T38" i="4"/>
  <c r="G38" i="4" s="1"/>
  <c r="Q38" i="4"/>
  <c r="D38" i="4" s="1"/>
  <c r="P38" i="4"/>
  <c r="C38" i="4" s="1"/>
  <c r="U37" i="4"/>
  <c r="H37" i="4" s="1"/>
  <c r="T37" i="4"/>
  <c r="G37" i="4" s="1"/>
  <c r="S37" i="4"/>
  <c r="Q37" i="4"/>
  <c r="D37" i="4" s="1"/>
  <c r="U36" i="4"/>
  <c r="H36" i="4" s="1"/>
  <c r="T36" i="4"/>
  <c r="G36" i="4" s="1"/>
  <c r="S36" i="4"/>
  <c r="Q36" i="4"/>
  <c r="D36" i="4" s="1"/>
  <c r="P36" i="4"/>
  <c r="C36" i="4" s="1"/>
  <c r="U35" i="4"/>
  <c r="H35" i="4" s="1"/>
  <c r="T35" i="4"/>
  <c r="G35" i="4" s="1"/>
  <c r="S35" i="4"/>
  <c r="Q35" i="4"/>
  <c r="D35" i="4" s="1"/>
  <c r="P35" i="4"/>
  <c r="U34" i="4"/>
  <c r="H34" i="4" s="1"/>
  <c r="T34" i="4"/>
  <c r="S34" i="4"/>
  <c r="P34" i="4"/>
  <c r="U33" i="4"/>
  <c r="H33" i="4" s="1"/>
  <c r="T33" i="4"/>
  <c r="G33" i="4" s="1"/>
  <c r="S33" i="4"/>
  <c r="Q33" i="4"/>
  <c r="D33" i="4" s="1"/>
  <c r="U32" i="4"/>
  <c r="H32" i="4" s="1"/>
  <c r="U31" i="4"/>
  <c r="H31" i="4" s="1"/>
  <c r="T31" i="4"/>
  <c r="G31" i="4" s="1"/>
  <c r="S31" i="4"/>
  <c r="Q31" i="4"/>
  <c r="D31" i="4" s="1"/>
  <c r="P31" i="4"/>
  <c r="C31" i="4" s="1"/>
  <c r="U30" i="4"/>
  <c r="H30" i="4" s="1"/>
  <c r="T30" i="4"/>
  <c r="G30" i="4" s="1"/>
  <c r="U29" i="4"/>
  <c r="H29" i="4" s="1"/>
  <c r="T29" i="4"/>
  <c r="G29" i="4" s="1"/>
  <c r="U28" i="4"/>
  <c r="H28" i="4" s="1"/>
  <c r="S28" i="4"/>
  <c r="Q28" i="4"/>
  <c r="D28" i="4" s="1"/>
  <c r="U27" i="4"/>
  <c r="H27" i="4" s="1"/>
  <c r="S27" i="4"/>
  <c r="U26" i="4"/>
  <c r="H26" i="4" s="1"/>
  <c r="T26" i="4"/>
  <c r="G26" i="4" s="1"/>
  <c r="S26" i="4"/>
  <c r="Q26" i="4"/>
  <c r="D26" i="4" s="1"/>
  <c r="P26" i="4"/>
  <c r="C26" i="4" s="1"/>
  <c r="U25" i="4"/>
  <c r="H25" i="4" s="1"/>
  <c r="S25" i="4"/>
  <c r="U24" i="4"/>
  <c r="H24" i="4" s="1"/>
  <c r="S24" i="4"/>
  <c r="U23" i="4"/>
  <c r="H23" i="4" s="1"/>
  <c r="T23" i="4"/>
  <c r="G23" i="4" s="1"/>
  <c r="S23" i="4"/>
  <c r="U22" i="4"/>
  <c r="H22" i="4" s="1"/>
  <c r="T22" i="4"/>
  <c r="G22" i="4" s="1"/>
  <c r="S22" i="4"/>
  <c r="Q22" i="4"/>
  <c r="D22" i="4" s="1"/>
  <c r="U21" i="4"/>
  <c r="H21" i="4" s="1"/>
  <c r="T21" i="4"/>
  <c r="G21" i="4" s="1"/>
  <c r="S21" i="4"/>
  <c r="Q21" i="4"/>
  <c r="D21" i="4" s="1"/>
  <c r="P21" i="4"/>
  <c r="C21" i="4" s="1"/>
  <c r="U20" i="4"/>
  <c r="H20" i="4" s="1"/>
  <c r="T20" i="4"/>
  <c r="G20" i="4" s="1"/>
  <c r="S20" i="4"/>
  <c r="Q20" i="4"/>
  <c r="D20" i="4" s="1"/>
  <c r="P20" i="4"/>
  <c r="C20" i="4" s="1"/>
  <c r="T19" i="4"/>
  <c r="G19" i="4" s="1"/>
  <c r="S19" i="4"/>
  <c r="Q19" i="4"/>
  <c r="D19" i="4" s="1"/>
  <c r="U18" i="4"/>
  <c r="H18" i="4" s="1"/>
  <c r="T18" i="4"/>
  <c r="G18" i="4" s="1"/>
  <c r="S18" i="4"/>
  <c r="Q18" i="4"/>
  <c r="D18" i="4" s="1"/>
  <c r="P18" i="4"/>
  <c r="C18" i="4" s="1"/>
  <c r="U17" i="4"/>
  <c r="H17" i="4" s="1"/>
  <c r="T17" i="4"/>
  <c r="G17" i="4" s="1"/>
  <c r="S17" i="4"/>
  <c r="Q17" i="4"/>
  <c r="D17" i="4" s="1"/>
  <c r="P17" i="4"/>
  <c r="C17" i="4" s="1"/>
  <c r="U16" i="4"/>
  <c r="H16" i="4" s="1"/>
  <c r="T16" i="4"/>
  <c r="G16" i="4" s="1"/>
  <c r="S16" i="4"/>
  <c r="Q16" i="4"/>
  <c r="D16" i="4" s="1"/>
  <c r="P16" i="4"/>
  <c r="C16" i="4" s="1"/>
  <c r="U15" i="4"/>
  <c r="H15" i="4" s="1"/>
  <c r="S15" i="4"/>
  <c r="U14" i="4"/>
  <c r="H14" i="4" s="1"/>
  <c r="T14" i="4"/>
  <c r="G14" i="4" s="1"/>
  <c r="S14" i="4"/>
  <c r="P14" i="4"/>
  <c r="C14" i="4" s="1"/>
  <c r="U13" i="4"/>
  <c r="H13" i="4" s="1"/>
  <c r="T13" i="4"/>
  <c r="G13" i="4" s="1"/>
  <c r="S13" i="4"/>
  <c r="Q13" i="4"/>
  <c r="D13" i="4" s="1"/>
  <c r="P13" i="4"/>
  <c r="C13" i="4" s="1"/>
  <c r="U12" i="4"/>
  <c r="H12" i="4" s="1"/>
  <c r="T12" i="4"/>
  <c r="G12" i="4" s="1"/>
  <c r="S12" i="4"/>
  <c r="Q12" i="4"/>
  <c r="D12" i="4" s="1"/>
  <c r="U19" i="4"/>
  <c r="H19" i="4" s="1"/>
  <c r="U11" i="4"/>
  <c r="H11" i="4" s="1"/>
  <c r="T11" i="4"/>
  <c r="G11" i="4" s="1"/>
  <c r="S11" i="4"/>
  <c r="U10" i="4"/>
  <c r="H10" i="4" s="1"/>
  <c r="S10" i="4"/>
  <c r="Q10" i="4"/>
  <c r="D10" i="4" s="1"/>
  <c r="P10" i="4"/>
  <c r="C10" i="4" s="1"/>
  <c r="U9" i="4"/>
  <c r="H9" i="4" s="1"/>
  <c r="T9" i="4"/>
  <c r="G9" i="4" s="1"/>
  <c r="S9" i="4"/>
  <c r="Q9" i="4"/>
  <c r="D9" i="4" s="1"/>
  <c r="P9" i="4"/>
  <c r="C9" i="4" s="1"/>
  <c r="U8" i="4"/>
  <c r="H8" i="4" s="1"/>
  <c r="T8" i="4"/>
  <c r="G8" i="4" s="1"/>
  <c r="S8" i="4"/>
  <c r="Q7" i="4"/>
  <c r="D7" i="4" s="1"/>
  <c r="P7" i="4"/>
  <c r="C7" i="4" s="1"/>
  <c r="S51" i="4"/>
  <c r="Q51" i="4"/>
  <c r="D51" i="4" s="1"/>
  <c r="P51" i="4"/>
  <c r="C51" i="4" s="1"/>
  <c r="U50" i="4"/>
  <c r="H50" i="4" s="1"/>
  <c r="T50" i="4"/>
  <c r="G50" i="4" s="1"/>
  <c r="S50" i="4"/>
  <c r="Q50" i="4"/>
  <c r="D50" i="4" s="1"/>
  <c r="P50" i="4"/>
  <c r="U49" i="4"/>
  <c r="H49" i="4" s="1"/>
  <c r="P12" i="4"/>
  <c r="C12" i="4" s="1"/>
  <c r="C19" i="3"/>
  <c r="B19" i="3"/>
  <c r="C17" i="3"/>
  <c r="B17" i="3"/>
  <c r="C15" i="3"/>
  <c r="B15" i="3"/>
  <c r="C11" i="3"/>
  <c r="B11" i="3"/>
  <c r="C9" i="3"/>
  <c r="B9" i="3"/>
  <c r="P263" i="13"/>
  <c r="BA179" i="13"/>
  <c r="AZ179" i="13"/>
  <c r="AY179" i="13"/>
  <c r="AX179" i="13"/>
  <c r="AW179" i="13"/>
  <c r="AV179" i="13"/>
  <c r="AU179" i="13"/>
  <c r="AT179" i="13"/>
  <c r="AS179" i="13"/>
  <c r="AR179" i="13"/>
  <c r="AQ179" i="13"/>
  <c r="AP179" i="13"/>
  <c r="AO179" i="13"/>
  <c r="AM179" i="13"/>
  <c r="AL179" i="13"/>
  <c r="AK179" i="13"/>
  <c r="AJ179" i="13"/>
  <c r="AI179" i="13"/>
  <c r="AH179" i="13"/>
  <c r="AG179" i="13"/>
  <c r="AF179" i="13"/>
  <c r="AE179" i="13"/>
  <c r="AD179" i="13"/>
  <c r="AC179" i="13"/>
  <c r="AB179" i="13"/>
  <c r="AA179" i="13"/>
  <c r="AA263" i="13" s="1"/>
  <c r="Z179" i="13"/>
  <c r="Z263" i="13" s="1"/>
  <c r="Y179" i="13"/>
  <c r="Y263" i="13" s="1"/>
  <c r="X179" i="13"/>
  <c r="X263" i="13" s="1"/>
  <c r="W179" i="13"/>
  <c r="W263" i="13" s="1"/>
  <c r="V179" i="13"/>
  <c r="V263" i="13" s="1"/>
  <c r="U179" i="13"/>
  <c r="U263" i="13" s="1"/>
  <c r="S179" i="13"/>
  <c r="S263" i="13" s="1"/>
  <c r="R179" i="13"/>
  <c r="R263" i="13" s="1"/>
  <c r="Q179" i="13"/>
  <c r="Q263" i="13" s="1"/>
  <c r="AN179" i="13"/>
  <c r="T179" i="13"/>
  <c r="T263" i="13" s="1"/>
  <c r="N133" i="13"/>
  <c r="O133" i="13"/>
  <c r="AL131" i="13"/>
  <c r="P128" i="13"/>
  <c r="AI111" i="13"/>
  <c r="AH111" i="13"/>
  <c r="AG111" i="13"/>
  <c r="AF111" i="13"/>
  <c r="AE111" i="13"/>
  <c r="AD111" i="13"/>
  <c r="AC111" i="13"/>
  <c r="AB111" i="13"/>
  <c r="AA111" i="13"/>
  <c r="Z111" i="13"/>
  <c r="N106" i="13"/>
  <c r="M106" i="13"/>
  <c r="M120" i="13" s="1"/>
  <c r="AH90" i="13"/>
  <c r="W78" i="13"/>
  <c r="W82" i="13" s="1"/>
  <c r="O103" i="13" a="1"/>
  <c r="O104" i="13" a="1"/>
  <c r="Q59" i="13"/>
  <c r="P103" i="13" a="1"/>
  <c r="P104" i="13" a="1"/>
  <c r="V47" i="13"/>
  <c r="V46" i="13"/>
  <c r="U47" i="13"/>
  <c r="U46" i="13"/>
  <c r="T47" i="13"/>
  <c r="T46" i="13"/>
  <c r="S47" i="13"/>
  <c r="S46" i="13"/>
  <c r="AM25" i="13"/>
  <c r="AA30" i="13"/>
  <c r="AL25" i="13"/>
  <c r="Z30" i="13"/>
  <c r="AK25" i="13"/>
  <c r="Y30" i="13"/>
  <c r="AJ25" i="13"/>
  <c r="X30" i="13"/>
  <c r="AI25" i="13"/>
  <c r="W30" i="13"/>
  <c r="AH25" i="13"/>
  <c r="V30" i="13"/>
  <c r="U30" i="13"/>
  <c r="AG25" i="13"/>
  <c r="T30" i="13"/>
  <c r="AF25" i="13"/>
  <c r="AE25" i="13"/>
  <c r="S30" i="13"/>
  <c r="AD25" i="13"/>
  <c r="R30" i="13"/>
  <c r="AC25" i="13"/>
  <c r="Q30" i="13"/>
  <c r="P30" i="13"/>
  <c r="AB25" i="13"/>
  <c r="O29" i="13"/>
  <c r="AM23" i="13"/>
  <c r="AA24" i="13"/>
  <c r="AA28" i="13"/>
  <c r="AL23" i="13"/>
  <c r="Z24" i="13"/>
  <c r="Z28" i="13"/>
  <c r="AK23" i="13"/>
  <c r="Y24" i="13"/>
  <c r="Y28" i="13"/>
  <c r="X28" i="13"/>
  <c r="X24" i="13"/>
  <c r="AJ23" i="13"/>
  <c r="W24" i="13"/>
  <c r="AI23" i="13"/>
  <c r="W28" i="13"/>
  <c r="V24" i="13"/>
  <c r="AH23" i="13"/>
  <c r="V28" i="13"/>
  <c r="AG23" i="13"/>
  <c r="U24" i="13"/>
  <c r="U28" i="13"/>
  <c r="AF23" i="13"/>
  <c r="T24" i="13"/>
  <c r="T28" i="13"/>
  <c r="AE23" i="13"/>
  <c r="S24" i="13"/>
  <c r="S28" i="13"/>
  <c r="R24" i="13"/>
  <c r="AD23" i="13"/>
  <c r="R28" i="13"/>
  <c r="AC23" i="13"/>
  <c r="Q24" i="13"/>
  <c r="Q28" i="13"/>
  <c r="P28" i="13"/>
  <c r="P24" i="13"/>
  <c r="AB23" i="13"/>
  <c r="BA1" i="13"/>
  <c r="AZ1" i="13"/>
  <c r="C36" i="6"/>
  <c r="B36" i="6"/>
  <c r="A37" i="6"/>
  <c r="AU32" i="4"/>
  <c r="T32" i="4"/>
  <c r="S32" i="4"/>
  <c r="AT32" i="4"/>
  <c r="Q32" i="4"/>
  <c r="AS32" i="4"/>
  <c r="P32" i="4"/>
  <c r="AR32" i="4"/>
  <c r="AT30" i="4"/>
  <c r="S30" i="4"/>
  <c r="AS30" i="4"/>
  <c r="Q30" i="4"/>
  <c r="AR30" i="4"/>
  <c r="P30" i="4"/>
  <c r="H56" i="3"/>
  <c r="S29" i="4"/>
  <c r="AS29" i="4"/>
  <c r="Q29" i="4"/>
  <c r="AR29" i="4"/>
  <c r="P29" i="4"/>
  <c r="T28" i="4"/>
  <c r="AU28" i="4"/>
  <c r="P28" i="4"/>
  <c r="AR28" i="4"/>
  <c r="T27" i="4"/>
  <c r="AU27" i="4"/>
  <c r="Q27" i="4"/>
  <c r="AS27" i="4"/>
  <c r="P27" i="4"/>
  <c r="AR27" i="4"/>
  <c r="T25" i="4"/>
  <c r="AU25" i="4"/>
  <c r="Q25" i="4"/>
  <c r="AS25" i="4"/>
  <c r="P25" i="4"/>
  <c r="AR25" i="4"/>
  <c r="G51" i="3"/>
  <c r="P24" i="4"/>
  <c r="AU24" i="4"/>
  <c r="T24" i="4"/>
  <c r="AS24" i="4"/>
  <c r="Q24" i="4"/>
  <c r="AS23" i="4"/>
  <c r="Q23" i="4"/>
  <c r="AR23" i="4"/>
  <c r="P23" i="4"/>
  <c r="AR22" i="4"/>
  <c r="P22" i="4"/>
  <c r="G46" i="3"/>
  <c r="P19" i="4"/>
  <c r="H42" i="3"/>
  <c r="T15" i="4"/>
  <c r="AS15" i="4"/>
  <c r="Q15" i="4"/>
  <c r="P15" i="4"/>
  <c r="AR15" i="4"/>
  <c r="Q14" i="4"/>
  <c r="AS14" i="4"/>
  <c r="Q11" i="4"/>
  <c r="AS11" i="4"/>
  <c r="P11" i="4"/>
  <c r="AR11" i="4"/>
  <c r="T10" i="4"/>
  <c r="AU10" i="4"/>
  <c r="AS8" i="4"/>
  <c r="Q8" i="4"/>
  <c r="AR8" i="4"/>
  <c r="P8" i="4"/>
  <c r="AU6" i="4"/>
  <c r="T6" i="4"/>
  <c r="S6" i="4"/>
  <c r="AT6" i="4"/>
  <c r="Q6" i="4"/>
  <c r="AS6" i="4"/>
  <c r="P6" i="4"/>
  <c r="AR6" i="4"/>
  <c r="H32" i="3"/>
  <c r="T5" i="4"/>
  <c r="Q5" i="4"/>
  <c r="AS5" i="4"/>
  <c r="AR5" i="4"/>
  <c r="P5" i="4"/>
  <c r="AU4" i="4"/>
  <c r="T4" i="4"/>
  <c r="AS4" i="4"/>
  <c r="Q4" i="4"/>
  <c r="P4" i="4"/>
  <c r="AR4" i="4"/>
  <c r="A37" i="1"/>
  <c r="B36" i="1"/>
  <c r="C36" i="1"/>
  <c r="T3" i="4"/>
  <c r="AU3" i="4"/>
  <c r="AS3" i="4"/>
  <c r="Q3" i="4"/>
  <c r="P3" i="4"/>
  <c r="AR3" i="4"/>
  <c r="L25" i="1"/>
  <c r="N161" i="4"/>
  <c r="C188" i="3"/>
  <c r="B188" i="3"/>
  <c r="B30" i="3"/>
  <c r="N3" i="4"/>
  <c r="C30" i="3"/>
  <c r="C29" i="3"/>
  <c r="B29" i="3"/>
  <c r="C28" i="3"/>
  <c r="B28" i="3"/>
  <c r="B27" i="3"/>
  <c r="C27" i="3"/>
  <c r="C26" i="3"/>
  <c r="B26" i="3"/>
  <c r="B25" i="3"/>
  <c r="C25" i="3"/>
  <c r="B24" i="3"/>
  <c r="C24" i="3"/>
  <c r="B23" i="3"/>
  <c r="C23" i="3"/>
  <c r="C22" i="3"/>
  <c r="B22" i="3"/>
  <c r="C20" i="3"/>
  <c r="B20" i="3"/>
  <c r="B18" i="3"/>
  <c r="C18" i="3"/>
  <c r="C16" i="3"/>
  <c r="B16" i="3"/>
  <c r="B14" i="3"/>
  <c r="C14" i="3"/>
  <c r="C13" i="3"/>
  <c r="B13" i="3"/>
  <c r="B12" i="3"/>
  <c r="C12" i="3"/>
  <c r="C10" i="3"/>
  <c r="B10" i="3"/>
  <c r="B8" i="3"/>
  <c r="C8" i="3"/>
  <c r="B7" i="3"/>
  <c r="C7" i="3"/>
  <c r="C6" i="3"/>
  <c r="B6" i="3"/>
  <c r="C5" i="3"/>
  <c r="B5" i="3"/>
  <c r="B4" i="3"/>
  <c r="C4" i="3"/>
  <c r="C3" i="3"/>
  <c r="B3" i="3"/>
  <c r="C2" i="3"/>
  <c r="B2" i="3"/>
  <c r="S40" i="4"/>
  <c r="F67" i="3"/>
  <c r="AT40" i="4"/>
  <c r="Q40" i="4"/>
  <c r="D40" i="4" s="1"/>
  <c r="AR40" i="4"/>
  <c r="N67" i="3"/>
  <c r="P40" i="4"/>
  <c r="T39" i="4"/>
  <c r="G39" i="4" s="1"/>
  <c r="Q39" i="4"/>
  <c r="D39" i="4" s="1"/>
  <c r="F66" i="3"/>
  <c r="O66" i="3" s="1"/>
  <c r="S39" i="4"/>
  <c r="N65" i="3"/>
  <c r="F65" i="3"/>
  <c r="O65" i="3" s="1"/>
  <c r="S38" i="4"/>
  <c r="E3" i="11"/>
  <c r="P37" i="4"/>
  <c r="C68" i="6"/>
  <c r="A69" i="6"/>
  <c r="B68" i="6"/>
  <c r="C63" i="3"/>
  <c r="N35" i="4"/>
  <c r="C62" i="3"/>
  <c r="N36" i="4"/>
  <c r="A69" i="1"/>
  <c r="C68" i="1"/>
  <c r="B68" i="1"/>
  <c r="Q34" i="4"/>
  <c r="D34" i="4" s="1"/>
  <c r="P33" i="4"/>
  <c r="C182" i="17"/>
  <c r="C153" i="17"/>
  <c r="C121" i="17"/>
  <c r="C91" i="17"/>
  <c r="C62" i="17"/>
  <c r="C29" i="17"/>
  <c r="C62" i="18"/>
  <c r="S112" i="1" l="1"/>
  <c r="C74" i="4"/>
  <c r="C75" i="4"/>
  <c r="E74" i="4"/>
  <c r="C78" i="4"/>
  <c r="C77" i="4"/>
  <c r="E79" i="4"/>
  <c r="C79" i="4"/>
  <c r="E72" i="4"/>
  <c r="E73" i="4"/>
  <c r="S5" i="1"/>
  <c r="S7" i="1"/>
  <c r="S8" i="1"/>
  <c r="S9" i="1"/>
  <c r="S10" i="1"/>
  <c r="S11" i="1"/>
  <c r="S12" i="1"/>
  <c r="S13" i="1"/>
  <c r="S14" i="1"/>
  <c r="S15" i="1"/>
  <c r="S16" i="1"/>
  <c r="S17" i="1"/>
  <c r="S18" i="1"/>
  <c r="S19" i="1"/>
  <c r="S20" i="1"/>
  <c r="S21" i="1"/>
  <c r="S22" i="1"/>
  <c r="S23" i="1"/>
  <c r="S24" i="1"/>
  <c r="S26" i="1"/>
  <c r="S28" i="1"/>
  <c r="S29" i="1"/>
  <c r="S30" i="1"/>
  <c r="S31" i="1"/>
  <c r="S32" i="1"/>
  <c r="S33" i="1"/>
  <c r="S34" i="1"/>
  <c r="E75" i="4"/>
  <c r="E68" i="4"/>
  <c r="E67" i="4"/>
  <c r="E64" i="4"/>
  <c r="E63" i="4"/>
  <c r="E57" i="4"/>
  <c r="E62" i="4"/>
  <c r="E58" i="4"/>
  <c r="E59" i="4"/>
  <c r="E29" i="4"/>
  <c r="E37" i="4"/>
  <c r="E35" i="4"/>
  <c r="E33" i="4"/>
  <c r="E32" i="4"/>
  <c r="E30" i="4"/>
  <c r="E6" i="4"/>
  <c r="E40" i="4"/>
  <c r="E52" i="4"/>
  <c r="E50" i="4"/>
  <c r="E49" i="4"/>
  <c r="E48" i="4"/>
  <c r="F161"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1" i="4"/>
  <c r="F70" i="4"/>
  <c r="F69" i="4"/>
  <c r="F66" i="4"/>
  <c r="F65" i="4"/>
  <c r="F61" i="4"/>
  <c r="F60" i="4"/>
  <c r="F56" i="4"/>
  <c r="F55" i="4"/>
  <c r="F54" i="4"/>
  <c r="F53" i="4"/>
  <c r="F5" i="4"/>
  <c r="F7" i="4"/>
  <c r="F4" i="4"/>
  <c r="F3" i="4"/>
  <c r="F47" i="4"/>
  <c r="F46" i="4"/>
  <c r="F45" i="4"/>
  <c r="F44" i="4"/>
  <c r="F43" i="4"/>
  <c r="F42" i="4"/>
  <c r="F41" i="4"/>
  <c r="F36" i="4"/>
  <c r="F34" i="4"/>
  <c r="F31" i="4"/>
  <c r="F28" i="4"/>
  <c r="F27" i="4"/>
  <c r="F26" i="4"/>
  <c r="F25" i="4"/>
  <c r="F24" i="4"/>
  <c r="F23" i="4"/>
  <c r="F22" i="4"/>
  <c r="F21" i="4"/>
  <c r="F20" i="4"/>
  <c r="F19" i="4"/>
  <c r="F18" i="4"/>
  <c r="F17" i="4"/>
  <c r="F16" i="4"/>
  <c r="F15" i="4"/>
  <c r="F14" i="4"/>
  <c r="F13" i="4"/>
  <c r="F12" i="4"/>
  <c r="F11" i="4"/>
  <c r="F10" i="4"/>
  <c r="F9" i="4"/>
  <c r="F8" i="4"/>
  <c r="F51" i="4"/>
  <c r="F39" i="4"/>
  <c r="F38" i="4"/>
  <c r="F72" i="4"/>
  <c r="C62" i="4"/>
  <c r="C60" i="4"/>
  <c r="C59" i="4"/>
  <c r="C58" i="4"/>
  <c r="C57" i="4"/>
  <c r="C37" i="4"/>
  <c r="C33" i="4"/>
  <c r="C54" i="4"/>
  <c r="C34" i="4"/>
  <c r="C39" i="4"/>
  <c r="H3" i="17"/>
  <c r="F73" i="4"/>
  <c r="D3" i="4"/>
  <c r="O91" i="3"/>
  <c r="T91" i="3"/>
  <c r="H3" i="18"/>
  <c r="O95" i="3"/>
  <c r="T95" i="3"/>
  <c r="O94" i="3"/>
  <c r="T94" i="3"/>
  <c r="N95" i="3"/>
  <c r="S95" i="3"/>
  <c r="G20" i="3"/>
  <c r="Q25" i="1"/>
  <c r="S25" i="1" s="1"/>
  <c r="F68" i="4"/>
  <c r="F67" i="4"/>
  <c r="C68" i="4"/>
  <c r="D23" i="4"/>
  <c r="A126" i="17"/>
  <c r="S89" i="3"/>
  <c r="N89" i="3"/>
  <c r="A16" i="18"/>
  <c r="T90" i="3"/>
  <c r="O90" i="3"/>
  <c r="S90" i="3"/>
  <c r="N90" i="3"/>
  <c r="T89" i="3"/>
  <c r="O89" i="3"/>
  <c r="F64" i="4"/>
  <c r="C64" i="4"/>
  <c r="F63" i="4"/>
  <c r="C63" i="4"/>
  <c r="H3" i="19"/>
  <c r="I4" i="19"/>
  <c r="B31" i="3"/>
  <c r="C31" i="3"/>
  <c r="N4" i="4"/>
  <c r="H1" i="19"/>
  <c r="AZ3" i="13"/>
  <c r="E197" i="17"/>
  <c r="E190" i="17"/>
  <c r="K185" i="17"/>
  <c r="E169" i="17"/>
  <c r="E162" i="17"/>
  <c r="L154" i="17"/>
  <c r="K155" i="17"/>
  <c r="E155" i="17"/>
  <c r="E127" i="17"/>
  <c r="L123" i="17"/>
  <c r="K124" i="17"/>
  <c r="L93" i="17"/>
  <c r="K94" i="17"/>
  <c r="E98" i="17"/>
  <c r="E86" i="17"/>
  <c r="G72" i="17"/>
  <c r="G73" i="17" s="1"/>
  <c r="G74" i="17" s="1"/>
  <c r="G75" i="17" s="1"/>
  <c r="G76" i="17" s="1"/>
  <c r="G77" i="17" s="1"/>
  <c r="G78" i="17" s="1"/>
  <c r="G79" i="17" s="1"/>
  <c r="G80" i="17" s="1"/>
  <c r="G81" i="17" s="1"/>
  <c r="G82" i="17" s="1"/>
  <c r="G83" i="17" s="1"/>
  <c r="G84" i="17" s="1"/>
  <c r="G85" i="17" s="1"/>
  <c r="E65" i="17"/>
  <c r="L31" i="17"/>
  <c r="K32" i="17"/>
  <c r="S4" i="17"/>
  <c r="O4" i="17"/>
  <c r="P4" i="17"/>
  <c r="T4" i="17"/>
  <c r="U4" i="17" s="1"/>
  <c r="N5" i="17"/>
  <c r="F4" i="17"/>
  <c r="H4" i="17" s="1"/>
  <c r="R4" i="17"/>
  <c r="C5" i="17"/>
  <c r="L4" i="17"/>
  <c r="K5" i="17"/>
  <c r="C183" i="17"/>
  <c r="C154" i="17"/>
  <c r="C125" i="17"/>
  <c r="C92" i="17"/>
  <c r="C63" i="17"/>
  <c r="C30" i="17"/>
  <c r="C13" i="17"/>
  <c r="C11" i="17"/>
  <c r="K185" i="18"/>
  <c r="K155" i="18"/>
  <c r="L123" i="18"/>
  <c r="K124" i="18"/>
  <c r="E126" i="18"/>
  <c r="L93" i="18"/>
  <c r="K94" i="18"/>
  <c r="G57" i="18"/>
  <c r="E58" i="18"/>
  <c r="L16" i="18"/>
  <c r="K17" i="18"/>
  <c r="P4" i="18"/>
  <c r="T4" i="18"/>
  <c r="U4" i="18" s="1"/>
  <c r="O4" i="18"/>
  <c r="S4" i="18"/>
  <c r="N5" i="18"/>
  <c r="L9" i="18"/>
  <c r="K10" i="18"/>
  <c r="C34" i="18"/>
  <c r="C14" i="18"/>
  <c r="F4" i="18"/>
  <c r="H4" i="18" s="1"/>
  <c r="R4" i="18"/>
  <c r="C5" i="18"/>
  <c r="C63" i="18"/>
  <c r="F62" i="4"/>
  <c r="F59" i="4"/>
  <c r="F58" i="4"/>
  <c r="F57" i="4"/>
  <c r="C55" i="4"/>
  <c r="H54" i="4"/>
  <c r="D8" i="4"/>
  <c r="D4" i="4"/>
  <c r="D30" i="4"/>
  <c r="C23" i="4"/>
  <c r="C22" i="4"/>
  <c r="G6" i="4"/>
  <c r="C8" i="4"/>
  <c r="G4" i="4"/>
  <c r="D15" i="4"/>
  <c r="G24" i="4"/>
  <c r="C29" i="4"/>
  <c r="D24" i="4"/>
  <c r="C30" i="4"/>
  <c r="C5" i="4"/>
  <c r="C49" i="4"/>
  <c r="G5" i="4"/>
  <c r="G32" i="4"/>
  <c r="C40" i="4"/>
  <c r="F30" i="4"/>
  <c r="D29" i="4"/>
  <c r="C15" i="4"/>
  <c r="D14" i="4"/>
  <c r="G10" i="4"/>
  <c r="D6" i="4"/>
  <c r="C6" i="4"/>
  <c r="C11" i="4"/>
  <c r="F52" i="4"/>
  <c r="C52" i="4"/>
  <c r="F49" i="4"/>
  <c r="F48" i="4"/>
  <c r="C48" i="4"/>
  <c r="C47" i="4"/>
  <c r="F37" i="4"/>
  <c r="F35" i="4"/>
  <c r="C35" i="4"/>
  <c r="G34" i="4"/>
  <c r="F33" i="4"/>
  <c r="C28" i="4"/>
  <c r="G25" i="4"/>
  <c r="C25" i="4"/>
  <c r="C19" i="4"/>
  <c r="G15" i="4"/>
  <c r="D11" i="4"/>
  <c r="F29" i="4"/>
  <c r="C24" i="4"/>
  <c r="F6" i="4"/>
  <c r="C27" i="4"/>
  <c r="D5" i="4"/>
  <c r="C32" i="4"/>
  <c r="F32" i="4"/>
  <c r="D32" i="4"/>
  <c r="G27" i="4"/>
  <c r="G28" i="4"/>
  <c r="D27" i="4"/>
  <c r="D25" i="4"/>
  <c r="F50" i="4"/>
  <c r="C50" i="4"/>
  <c r="C4" i="4"/>
  <c r="F40" i="4"/>
  <c r="G3" i="4"/>
  <c r="C3" i="4"/>
  <c r="V83" i="13"/>
  <c r="V99" i="13"/>
  <c r="V148" i="13"/>
  <c r="U83" i="13"/>
  <c r="U99" i="13"/>
  <c r="U148" i="13"/>
  <c r="T83" i="13"/>
  <c r="T99" i="13"/>
  <c r="T148" i="13"/>
  <c r="S83" i="13"/>
  <c r="S99" i="13"/>
  <c r="S148" i="13"/>
  <c r="R83" i="13"/>
  <c r="R84" i="13" s="1"/>
  <c r="R99" i="13"/>
  <c r="R148" i="13"/>
  <c r="Q83" i="13"/>
  <c r="Q99" i="13"/>
  <c r="Q148" i="13"/>
  <c r="O83" i="13"/>
  <c r="O99" i="13"/>
  <c r="O148" i="13"/>
  <c r="N83" i="13"/>
  <c r="N99" i="13"/>
  <c r="P83" i="13"/>
  <c r="P148" i="13"/>
  <c r="P99" i="13"/>
  <c r="N102" i="13"/>
  <c r="N120" i="13"/>
  <c r="AO177" i="13"/>
  <c r="S177" i="13"/>
  <c r="S261" i="13" s="1"/>
  <c r="T177" i="13"/>
  <c r="T261" i="13" s="1"/>
  <c r="U177" i="13"/>
  <c r="U261" i="13" s="1"/>
  <c r="V177" i="13"/>
  <c r="V261" i="13" s="1"/>
  <c r="W177" i="13"/>
  <c r="W261" i="13" s="1"/>
  <c r="X177" i="13"/>
  <c r="X261" i="13" s="1"/>
  <c r="Q177" i="13"/>
  <c r="Q261" i="13" s="1"/>
  <c r="P261" i="13"/>
  <c r="BA177" i="13"/>
  <c r="AZ177" i="13"/>
  <c r="AY177" i="13"/>
  <c r="AK177" i="13"/>
  <c r="AX177" i="13"/>
  <c r="AW177" i="13"/>
  <c r="AV177" i="13"/>
  <c r="AU177" i="13"/>
  <c r="AT177" i="13"/>
  <c r="R177" i="13"/>
  <c r="R261" i="13" s="1"/>
  <c r="AS177" i="13"/>
  <c r="AR177" i="13"/>
  <c r="AQ177" i="13"/>
  <c r="AP177" i="13"/>
  <c r="AN177" i="13"/>
  <c r="AM177" i="13"/>
  <c r="AL177" i="13"/>
  <c r="AJ177" i="13"/>
  <c r="AI177" i="13"/>
  <c r="AH177" i="13"/>
  <c r="AG177" i="13"/>
  <c r="AF177" i="13"/>
  <c r="AE177" i="13"/>
  <c r="AD177" i="13"/>
  <c r="AC177" i="13"/>
  <c r="AB177" i="13"/>
  <c r="Y177" i="13"/>
  <c r="Y261" i="13" s="1"/>
  <c r="AA177" i="13"/>
  <c r="AA261" i="13" s="1"/>
  <c r="Z177" i="13"/>
  <c r="Z261" i="13" s="1"/>
  <c r="AZ198" i="13"/>
  <c r="BA175" i="13"/>
  <c r="AG95" i="13"/>
  <c r="AG146" i="13"/>
  <c r="AG100" i="13"/>
  <c r="AF146" i="13"/>
  <c r="AF100" i="13"/>
  <c r="AF95" i="13"/>
  <c r="AE100" i="13"/>
  <c r="AE95" i="13"/>
  <c r="AE146" i="13"/>
  <c r="AD146" i="13"/>
  <c r="AD100" i="13"/>
  <c r="AD95" i="13"/>
  <c r="AC146" i="13"/>
  <c r="AC100" i="13"/>
  <c r="AC95" i="13"/>
  <c r="AC96" i="13" s="1"/>
  <c r="AB100" i="13"/>
  <c r="AB95" i="13"/>
  <c r="AB96" i="13" s="1"/>
  <c r="AB146" i="13"/>
  <c r="AA100" i="13"/>
  <c r="AA146" i="13"/>
  <c r="AA95" i="13"/>
  <c r="AA96" i="13" s="1"/>
  <c r="Z95" i="13"/>
  <c r="Z96" i="13" s="1"/>
  <c r="Z100" i="13"/>
  <c r="Z146" i="13"/>
  <c r="Y95" i="13"/>
  <c r="Y96" i="13" s="1"/>
  <c r="Y146" i="13"/>
  <c r="Y100" i="13"/>
  <c r="X146" i="13"/>
  <c r="X100" i="13"/>
  <c r="X95" i="13"/>
  <c r="X96" i="13" s="1"/>
  <c r="W146" i="13"/>
  <c r="W100" i="13"/>
  <c r="W95" i="13"/>
  <c r="V146" i="13"/>
  <c r="V100" i="13"/>
  <c r="V95" i="13"/>
  <c r="U146" i="13"/>
  <c r="U100" i="13"/>
  <c r="U95" i="13"/>
  <c r="T146" i="13"/>
  <c r="T100" i="13"/>
  <c r="T95" i="13"/>
  <c r="S146" i="13"/>
  <c r="S100" i="13"/>
  <c r="S95" i="13"/>
  <c r="R146" i="13"/>
  <c r="R100" i="13"/>
  <c r="R95" i="13"/>
  <c r="R96" i="13" s="1"/>
  <c r="Q146" i="13"/>
  <c r="Q100" i="13"/>
  <c r="Q95" i="13"/>
  <c r="P146" i="13"/>
  <c r="P100" i="13"/>
  <c r="P95" i="13"/>
  <c r="O100" i="13"/>
  <c r="O95" i="13"/>
  <c r="O146" i="13"/>
  <c r="P172" i="13" s="1"/>
  <c r="N95" i="13"/>
  <c r="N100" i="13"/>
  <c r="P292" i="13"/>
  <c r="P214" i="13"/>
  <c r="AM131" i="13"/>
  <c r="AS111" i="13"/>
  <c r="AR111" i="13"/>
  <c r="AQ111" i="13"/>
  <c r="AP111" i="13"/>
  <c r="AO111" i="13"/>
  <c r="AN111" i="13"/>
  <c r="AM111" i="13"/>
  <c r="AL111" i="13"/>
  <c r="AK111" i="13"/>
  <c r="AJ111" i="13"/>
  <c r="W45" i="13"/>
  <c r="X76" i="13"/>
  <c r="W83" i="13"/>
  <c r="W99" i="13"/>
  <c r="W148" i="13"/>
  <c r="W147" i="13" s="1"/>
  <c r="O106" i="13"/>
  <c r="R59" i="13"/>
  <c r="Q103" i="13" a="1"/>
  <c r="Q104" i="13" a="1"/>
  <c r="P106" i="13"/>
  <c r="P102" i="13" s="1"/>
  <c r="AY25" i="13"/>
  <c r="AM30" i="13"/>
  <c r="AX25" i="13"/>
  <c r="AL30" i="13"/>
  <c r="AW25" i="13"/>
  <c r="AK30" i="13"/>
  <c r="AV25" i="13"/>
  <c r="AJ30" i="13"/>
  <c r="AU25" i="13"/>
  <c r="AI30" i="13"/>
  <c r="AT25" i="13"/>
  <c r="AH30" i="13"/>
  <c r="AS25" i="13"/>
  <c r="AG30" i="13"/>
  <c r="AR25" i="13"/>
  <c r="AF30" i="13"/>
  <c r="AQ25" i="13"/>
  <c r="AE30" i="13"/>
  <c r="AP25" i="13"/>
  <c r="AD30" i="13"/>
  <c r="AO25" i="13"/>
  <c r="AC30" i="13"/>
  <c r="AN25" i="13"/>
  <c r="AB30" i="13"/>
  <c r="N217" i="13"/>
  <c r="AY23" i="13"/>
  <c r="AM24" i="13"/>
  <c r="AM28" i="13"/>
  <c r="AA29" i="13"/>
  <c r="AX23" i="13"/>
  <c r="AL24" i="13"/>
  <c r="AL28" i="13"/>
  <c r="Z29" i="13"/>
  <c r="AW23" i="13"/>
  <c r="AK24" i="13"/>
  <c r="AK28" i="13"/>
  <c r="Y29" i="13"/>
  <c r="X29" i="13"/>
  <c r="AV23" i="13"/>
  <c r="AJ24" i="13"/>
  <c r="AJ28" i="13"/>
  <c r="W29" i="13"/>
  <c r="AU23" i="13"/>
  <c r="AI24" i="13"/>
  <c r="AI28" i="13"/>
  <c r="V29" i="13"/>
  <c r="AT23" i="13"/>
  <c r="AH24" i="13"/>
  <c r="AH28" i="13"/>
  <c r="AS23" i="13"/>
  <c r="AG24" i="13"/>
  <c r="AG28" i="13"/>
  <c r="U29" i="13"/>
  <c r="AR23" i="13"/>
  <c r="AF24" i="13"/>
  <c r="AF28" i="13"/>
  <c r="T29" i="13"/>
  <c r="AQ23" i="13"/>
  <c r="AE24" i="13"/>
  <c r="AE28" i="13"/>
  <c r="S29" i="13"/>
  <c r="R29" i="13"/>
  <c r="AP23" i="13"/>
  <c r="AD24" i="13"/>
  <c r="AD28" i="13"/>
  <c r="AO23" i="13"/>
  <c r="AC24" i="13"/>
  <c r="AC28" i="13"/>
  <c r="Q29" i="13"/>
  <c r="P29" i="13"/>
  <c r="AN23" i="13"/>
  <c r="AB24" i="13"/>
  <c r="AB28" i="13"/>
  <c r="B37" i="6"/>
  <c r="C37" i="6"/>
  <c r="A38" i="6"/>
  <c r="B37" i="1"/>
  <c r="C37" i="1"/>
  <c r="A38" i="1"/>
  <c r="A32" i="3"/>
  <c r="O161" i="4"/>
  <c r="AA161" i="4"/>
  <c r="A161" i="4"/>
  <c r="B161" i="4" s="1"/>
  <c r="AA3" i="4"/>
  <c r="A3" i="4"/>
  <c r="B3" i="4" s="1"/>
  <c r="O3" i="4"/>
  <c r="Q128" i="13"/>
  <c r="P133" i="13"/>
  <c r="AI90" i="13"/>
  <c r="AH94" i="13"/>
  <c r="O67" i="3"/>
  <c r="F3" i="11"/>
  <c r="E4" i="11"/>
  <c r="C69" i="6"/>
  <c r="B69" i="6"/>
  <c r="A70" i="6"/>
  <c r="AA35" i="4"/>
  <c r="O35" i="4"/>
  <c r="A35" i="4"/>
  <c r="B35" i="4" s="1"/>
  <c r="O36" i="4"/>
  <c r="AA36" i="4"/>
  <c r="A36" i="4"/>
  <c r="B36" i="4" s="1"/>
  <c r="B69" i="1"/>
  <c r="C69" i="1"/>
  <c r="A70" i="1"/>
  <c r="A64" i="3"/>
  <c r="U82" i="4" l="1"/>
  <c r="H82" i="4" s="1"/>
  <c r="H109" i="3"/>
  <c r="G86" i="17"/>
  <c r="G87" i="17" s="1"/>
  <c r="G88" i="17" s="1"/>
  <c r="G89" i="17" s="1"/>
  <c r="G90" i="17" s="1"/>
  <c r="G91" i="17" s="1"/>
  <c r="G92" i="17" s="1"/>
  <c r="G93" i="17" s="1"/>
  <c r="G94" i="17" s="1"/>
  <c r="G95" i="17" s="1"/>
  <c r="G96" i="17" s="1"/>
  <c r="G97" i="17" s="1"/>
  <c r="G98" i="17" s="1"/>
  <c r="FU6" i="19"/>
  <c r="FT6" i="19"/>
  <c r="FV6" i="19"/>
  <c r="FW6" i="19"/>
  <c r="FX6" i="19"/>
  <c r="FY6" i="19"/>
  <c r="FZ6" i="19"/>
  <c r="GA6" i="19"/>
  <c r="GB6" i="19"/>
  <c r="GE6" i="19"/>
  <c r="GC6" i="19"/>
  <c r="GD6" i="19"/>
  <c r="GF6" i="19"/>
  <c r="GG6" i="19"/>
  <c r="GH6" i="19"/>
  <c r="GI6" i="19"/>
  <c r="GJ6" i="19"/>
  <c r="GK6" i="19"/>
  <c r="FS6" i="19"/>
  <c r="FR6" i="19"/>
  <c r="FQ6" i="19"/>
  <c r="FP6" i="19"/>
  <c r="FO6" i="19"/>
  <c r="FN6" i="19"/>
  <c r="FM6" i="19"/>
  <c r="FL6" i="19"/>
  <c r="FK6" i="19"/>
  <c r="FJ6" i="19"/>
  <c r="FH6" i="19"/>
  <c r="FG6" i="19"/>
  <c r="FF6" i="19"/>
  <c r="FE6" i="19"/>
  <c r="FI6" i="19"/>
  <c r="FC6" i="19"/>
  <c r="FB6" i="19"/>
  <c r="FD6" i="19"/>
  <c r="ET6" i="19"/>
  <c r="EU6" i="19"/>
  <c r="EV6" i="19"/>
  <c r="EW6" i="19"/>
  <c r="EX6" i="19"/>
  <c r="EC6" i="19"/>
  <c r="EZ6" i="19"/>
  <c r="FA6" i="19"/>
  <c r="EY6" i="19"/>
  <c r="ED6" i="19"/>
  <c r="EE6" i="19"/>
  <c r="EF6" i="19"/>
  <c r="EG6" i="19"/>
  <c r="EH6" i="19"/>
  <c r="EI6" i="19"/>
  <c r="EJ6" i="19"/>
  <c r="EK6" i="19"/>
  <c r="EL6" i="19"/>
  <c r="EO6" i="19"/>
  <c r="EM6" i="19"/>
  <c r="EN6" i="19"/>
  <c r="EP6" i="19"/>
  <c r="EQ6" i="19"/>
  <c r="ER6" i="19"/>
  <c r="ES6" i="19"/>
  <c r="DL6" i="19"/>
  <c r="DK6" i="19"/>
  <c r="DJ6" i="19"/>
  <c r="EB6" i="19"/>
  <c r="EA6" i="19"/>
  <c r="DZ6" i="19"/>
  <c r="DY6" i="19"/>
  <c r="DX6" i="19"/>
  <c r="DW6" i="19"/>
  <c r="DS6" i="19"/>
  <c r="DV6" i="19"/>
  <c r="DU6" i="19"/>
  <c r="DT6" i="19"/>
  <c r="DR6" i="19"/>
  <c r="DQ6" i="19"/>
  <c r="DP6" i="19"/>
  <c r="DO6" i="19"/>
  <c r="DN6" i="19"/>
  <c r="DM6" i="19"/>
  <c r="E6" i="19"/>
  <c r="E7" i="19" s="1"/>
  <c r="C6" i="19"/>
  <c r="C7" i="19" s="1"/>
  <c r="B6" i="19"/>
  <c r="D6" i="19"/>
  <c r="D7" i="19" s="1"/>
  <c r="A127" i="17"/>
  <c r="A128" i="17" s="1"/>
  <c r="A129" i="17" s="1"/>
  <c r="A130" i="17" s="1"/>
  <c r="A131" i="17" s="1"/>
  <c r="A132" i="17" s="1"/>
  <c r="A133" i="17" s="1"/>
  <c r="A134" i="17" s="1"/>
  <c r="A135" i="17" s="1"/>
  <c r="A136" i="17" s="1"/>
  <c r="A137" i="17" s="1"/>
  <c r="A138" i="17" s="1"/>
  <c r="A139" i="17" s="1"/>
  <c r="A140" i="17" s="1"/>
  <c r="A141" i="17" s="1"/>
  <c r="A142" i="17" s="1"/>
  <c r="A143" i="17" s="1"/>
  <c r="A144" i="17" s="1"/>
  <c r="A145" i="17" s="1"/>
  <c r="A146" i="17" s="1"/>
  <c r="A147" i="17" s="1"/>
  <c r="A148" i="17" s="1"/>
  <c r="A149" i="17" s="1"/>
  <c r="A150" i="17" s="1"/>
  <c r="A151" i="17" s="1"/>
  <c r="A152" i="17" s="1"/>
  <c r="A153" i="17" s="1"/>
  <c r="A154" i="17" s="1"/>
  <c r="A155" i="17" s="1"/>
  <c r="A156" i="17" s="1"/>
  <c r="A17" i="18"/>
  <c r="A18" i="18" s="1"/>
  <c r="A19" i="18" s="1"/>
  <c r="A20" i="18" s="1"/>
  <c r="A21" i="18" s="1"/>
  <c r="A22" i="18" s="1"/>
  <c r="A23" i="18" s="1"/>
  <c r="I1" i="19"/>
  <c r="J4" i="19"/>
  <c r="I3" i="19"/>
  <c r="O4" i="4"/>
  <c r="AA4" i="4"/>
  <c r="A4" i="4"/>
  <c r="B4" i="4" s="1"/>
  <c r="W96" i="13"/>
  <c r="V96" i="13"/>
  <c r="U96" i="13"/>
  <c r="T96" i="13"/>
  <c r="S96" i="13"/>
  <c r="V84" i="13"/>
  <c r="U84" i="13"/>
  <c r="T84" i="13"/>
  <c r="W84" i="13"/>
  <c r="S84" i="13"/>
  <c r="E198" i="17"/>
  <c r="E191" i="17"/>
  <c r="L185" i="17"/>
  <c r="K186" i="17"/>
  <c r="E170" i="17"/>
  <c r="E163" i="17"/>
  <c r="L155" i="17"/>
  <c r="K156" i="17"/>
  <c r="E156" i="17"/>
  <c r="E128" i="17"/>
  <c r="L124" i="17"/>
  <c r="K125" i="17"/>
  <c r="L94" i="17"/>
  <c r="K95" i="17"/>
  <c r="E99" i="17"/>
  <c r="L32" i="17"/>
  <c r="K33" i="17"/>
  <c r="S5" i="17"/>
  <c r="O5" i="17"/>
  <c r="P5" i="17"/>
  <c r="T5" i="17"/>
  <c r="U5" i="17" s="1"/>
  <c r="N6" i="17"/>
  <c r="F5" i="17"/>
  <c r="H5" i="17" s="1"/>
  <c r="R5" i="17"/>
  <c r="C6" i="17"/>
  <c r="L5" i="17"/>
  <c r="K6" i="17"/>
  <c r="C184" i="17"/>
  <c r="C155" i="17"/>
  <c r="C126" i="17"/>
  <c r="C93" i="17"/>
  <c r="C64" i="17"/>
  <c r="C34" i="17"/>
  <c r="C14" i="17"/>
  <c r="C12" i="17"/>
  <c r="L185" i="18"/>
  <c r="K186" i="18"/>
  <c r="K156" i="18"/>
  <c r="L124" i="18"/>
  <c r="K125" i="18"/>
  <c r="E127" i="18"/>
  <c r="L94" i="18"/>
  <c r="K95" i="18"/>
  <c r="L17" i="18"/>
  <c r="K18" i="18"/>
  <c r="P5" i="18"/>
  <c r="T5" i="18"/>
  <c r="U5" i="18" s="1"/>
  <c r="N6" i="18"/>
  <c r="O5" i="18"/>
  <c r="S5" i="18"/>
  <c r="K11" i="18"/>
  <c r="L10" i="18"/>
  <c r="C35" i="18"/>
  <c r="C15" i="18"/>
  <c r="F5" i="18"/>
  <c r="H5" i="18" s="1"/>
  <c r="R5" i="18"/>
  <c r="C6" i="18"/>
  <c r="C64" i="18"/>
  <c r="G58" i="18"/>
  <c r="G59" i="18" s="1"/>
  <c r="G60" i="18" s="1"/>
  <c r="G61" i="18" s="1"/>
  <c r="G62" i="18" s="1"/>
  <c r="G63" i="18" s="1"/>
  <c r="G64" i="18" s="1"/>
  <c r="G65" i="18" s="1"/>
  <c r="G66" i="18" s="1"/>
  <c r="G67" i="18" s="1"/>
  <c r="G68" i="18" s="1"/>
  <c r="G69" i="18" s="1"/>
  <c r="G70" i="18" s="1"/>
  <c r="G71" i="18" s="1"/>
  <c r="G72" i="18" s="1"/>
  <c r="G73" i="18" s="1"/>
  <c r="G74" i="18" s="1"/>
  <c r="G75" i="18" s="1"/>
  <c r="G76" i="18" s="1"/>
  <c r="G77" i="18" s="1"/>
  <c r="G78" i="18" s="1"/>
  <c r="G79" i="18" s="1"/>
  <c r="G80" i="18" s="1"/>
  <c r="G81" i="18" s="1"/>
  <c r="G82" i="18" s="1"/>
  <c r="G83" i="18" s="1"/>
  <c r="G84" i="18" s="1"/>
  <c r="G85" i="18" s="1"/>
  <c r="G86" i="18" s="1"/>
  <c r="G87" i="18" s="1"/>
  <c r="G88" i="18" s="1"/>
  <c r="G89" i="18" s="1"/>
  <c r="G90" i="18" s="1"/>
  <c r="G91" i="18" s="1"/>
  <c r="G92" i="18" s="1"/>
  <c r="G93" i="18" s="1"/>
  <c r="G94" i="18" s="1"/>
  <c r="G95" i="18" s="1"/>
  <c r="G96" i="18" s="1"/>
  <c r="G97" i="18" s="1"/>
  <c r="G98" i="18" s="1"/>
  <c r="G99" i="18" s="1"/>
  <c r="G100" i="18" s="1"/>
  <c r="G101" i="18" s="1"/>
  <c r="G102" i="18" s="1"/>
  <c r="G103" i="18" s="1"/>
  <c r="G104" i="18" s="1"/>
  <c r="G105" i="18" s="1"/>
  <c r="G106" i="18" s="1"/>
  <c r="G107" i="18" s="1"/>
  <c r="G108" i="18" s="1"/>
  <c r="G109" i="18" s="1"/>
  <c r="G110" i="18" s="1"/>
  <c r="G111" i="18" s="1"/>
  <c r="G112" i="18" s="1"/>
  <c r="G113" i="18" s="1"/>
  <c r="G114" i="18" s="1"/>
  <c r="G115" i="18" s="1"/>
  <c r="G116" i="18" s="1"/>
  <c r="G117" i="18" s="1"/>
  <c r="G118" i="18" s="1"/>
  <c r="G119" i="18" s="1"/>
  <c r="G120" i="18" s="1"/>
  <c r="G121" i="18" s="1"/>
  <c r="G122" i="18" s="1"/>
  <c r="G123" i="18" s="1"/>
  <c r="G124" i="18" s="1"/>
  <c r="G125" i="18" s="1"/>
  <c r="G126" i="18" s="1"/>
  <c r="V147" i="13"/>
  <c r="W174" i="13"/>
  <c r="V197" i="13"/>
  <c r="V291" i="13" s="1"/>
  <c r="U147" i="13"/>
  <c r="U197" i="13"/>
  <c r="U291" i="13" s="1"/>
  <c r="V174" i="13"/>
  <c r="T147" i="13"/>
  <c r="T197" i="13"/>
  <c r="T291" i="13" s="1"/>
  <c r="U174" i="13"/>
  <c r="S147" i="13"/>
  <c r="T174" i="13"/>
  <c r="S197" i="13"/>
  <c r="S291" i="13" s="1"/>
  <c r="R147" i="13"/>
  <c r="S174" i="13"/>
  <c r="R197" i="13"/>
  <c r="R291" i="13" s="1"/>
  <c r="Q147" i="13"/>
  <c r="R174" i="13"/>
  <c r="Q197" i="13"/>
  <c r="Q291" i="13" s="1"/>
  <c r="P174" i="13"/>
  <c r="O147" i="13"/>
  <c r="P147" i="13"/>
  <c r="P197" i="13"/>
  <c r="Q174" i="13"/>
  <c r="O158" i="13"/>
  <c r="O102" i="13"/>
  <c r="O120" i="13"/>
  <c r="AH172" i="13"/>
  <c r="AG195" i="13"/>
  <c r="AG172" i="13"/>
  <c r="AF195" i="13"/>
  <c r="AF172" i="13"/>
  <c r="AE195" i="13"/>
  <c r="AE172" i="13"/>
  <c r="AD195" i="13"/>
  <c r="AD172" i="13"/>
  <c r="AC195" i="13"/>
  <c r="AC172" i="13"/>
  <c r="AB195" i="13"/>
  <c r="AB172" i="13"/>
  <c r="AA195" i="13"/>
  <c r="AA289" i="13" s="1"/>
  <c r="AA172" i="13"/>
  <c r="Z195" i="13"/>
  <c r="Z289" i="13" s="1"/>
  <c r="Z172" i="13"/>
  <c r="Y195" i="13"/>
  <c r="Y289" i="13" s="1"/>
  <c r="Y172" i="13"/>
  <c r="X195" i="13"/>
  <c r="X289" i="13" s="1"/>
  <c r="X172" i="13"/>
  <c r="W195" i="13"/>
  <c r="W289" i="13" s="1"/>
  <c r="W172" i="13"/>
  <c r="V195" i="13"/>
  <c r="V289" i="13" s="1"/>
  <c r="V172" i="13"/>
  <c r="U195" i="13"/>
  <c r="U289" i="13" s="1"/>
  <c r="U172" i="13"/>
  <c r="T195" i="13"/>
  <c r="T289" i="13" s="1"/>
  <c r="T172" i="13"/>
  <c r="S195" i="13"/>
  <c r="S289" i="13" s="1"/>
  <c r="S172" i="13"/>
  <c r="R195" i="13"/>
  <c r="R289" i="13" s="1"/>
  <c r="R172" i="13"/>
  <c r="Q195" i="13"/>
  <c r="Q289" i="13" s="1"/>
  <c r="Q172" i="13"/>
  <c r="P195" i="13"/>
  <c r="Q206" i="13"/>
  <c r="Q214" i="13" s="1"/>
  <c r="P311" i="13"/>
  <c r="P158" i="13"/>
  <c r="P120" i="13"/>
  <c r="BA111" i="13"/>
  <c r="AZ111" i="13"/>
  <c r="AY111" i="13"/>
  <c r="AX111" i="13"/>
  <c r="AW111" i="13"/>
  <c r="AV111" i="13"/>
  <c r="AU111" i="13"/>
  <c r="AT111" i="13"/>
  <c r="W46" i="13"/>
  <c r="W47" i="13"/>
  <c r="X78" i="13"/>
  <c r="X126" i="13"/>
  <c r="X173" i="13"/>
  <c r="W196" i="13"/>
  <c r="X174" i="13"/>
  <c r="W197" i="13"/>
  <c r="S59" i="13"/>
  <c r="R103" i="13" a="1"/>
  <c r="R104" i="13" a="1"/>
  <c r="Q106" i="13"/>
  <c r="Q102" i="13" s="1"/>
  <c r="AY30" i="13"/>
  <c r="AX30" i="13"/>
  <c r="AW30" i="13"/>
  <c r="AV30" i="13"/>
  <c r="AU30" i="13"/>
  <c r="AT30" i="13"/>
  <c r="AS30" i="13"/>
  <c r="AR30" i="13"/>
  <c r="AQ30" i="13"/>
  <c r="AP30" i="13"/>
  <c r="BA25" i="13"/>
  <c r="AO30" i="13"/>
  <c r="AZ25" i="13"/>
  <c r="AN30" i="13"/>
  <c r="AY24" i="13"/>
  <c r="AY28" i="13"/>
  <c r="AM29" i="13"/>
  <c r="AX24" i="13"/>
  <c r="AX28" i="13"/>
  <c r="AL29" i="13"/>
  <c r="AW24" i="13"/>
  <c r="AW28" i="13"/>
  <c r="AK29" i="13"/>
  <c r="AV24" i="13"/>
  <c r="AV28" i="13"/>
  <c r="AJ29" i="13"/>
  <c r="AU24" i="13"/>
  <c r="AU28" i="13"/>
  <c r="AI29" i="13"/>
  <c r="AT24" i="13"/>
  <c r="AT28" i="13"/>
  <c r="AH29" i="13"/>
  <c r="AS24" i="13"/>
  <c r="AS28" i="13"/>
  <c r="AG29" i="13"/>
  <c r="AR24" i="13"/>
  <c r="AR28" i="13"/>
  <c r="AF29" i="13"/>
  <c r="AQ24" i="13"/>
  <c r="AQ28" i="13"/>
  <c r="AE29" i="13"/>
  <c r="AP24" i="13"/>
  <c r="AP28" i="13"/>
  <c r="AD29" i="13"/>
  <c r="BA23" i="13"/>
  <c r="AO24" i="13"/>
  <c r="AO28" i="13"/>
  <c r="AC29" i="13"/>
  <c r="AZ23" i="13"/>
  <c r="AN24" i="13"/>
  <c r="AN28" i="13"/>
  <c r="AB29" i="13"/>
  <c r="B38" i="6"/>
  <c r="C38" i="6"/>
  <c r="A39" i="6"/>
  <c r="B38" i="1"/>
  <c r="C38" i="1"/>
  <c r="A39" i="1"/>
  <c r="A33" i="3"/>
  <c r="C32" i="3"/>
  <c r="N5" i="4"/>
  <c r="B32" i="3"/>
  <c r="AD161" i="4"/>
  <c r="AP161" i="4"/>
  <c r="AQ161" i="4" s="1"/>
  <c r="AD3" i="4"/>
  <c r="AP3" i="4"/>
  <c r="AQ3" i="4" s="1"/>
  <c r="Q133" i="13"/>
  <c r="N134" i="13"/>
  <c r="N136" i="13" s="1"/>
  <c r="AJ90" i="13"/>
  <c r="AI94" i="13"/>
  <c r="AH146" i="13"/>
  <c r="AH100" i="13"/>
  <c r="AH95" i="13"/>
  <c r="W145" i="13"/>
  <c r="W144" i="13"/>
  <c r="R128" i="13"/>
  <c r="G3" i="11"/>
  <c r="F4" i="11"/>
  <c r="B70" i="6"/>
  <c r="A71" i="6"/>
  <c r="C70" i="6"/>
  <c r="AD35" i="4"/>
  <c r="AP35" i="4"/>
  <c r="AQ35" i="4" s="1"/>
  <c r="AP36" i="4"/>
  <c r="AQ36" i="4" s="1"/>
  <c r="AD36" i="4"/>
  <c r="B70" i="1"/>
  <c r="C70" i="1"/>
  <c r="A71" i="1"/>
  <c r="A65" i="3"/>
  <c r="B64" i="3"/>
  <c r="C64" i="3"/>
  <c r="N37" i="4"/>
  <c r="I6" i="19" l="1"/>
  <c r="DI6" i="19"/>
  <c r="DH6" i="19"/>
  <c r="DG6" i="19"/>
  <c r="DF6" i="19"/>
  <c r="DD6" i="19"/>
  <c r="DE6" i="19"/>
  <c r="DC6" i="19"/>
  <c r="DB6" i="19"/>
  <c r="DA6" i="19"/>
  <c r="CZ6" i="19"/>
  <c r="CY6" i="19"/>
  <c r="CX6" i="19"/>
  <c r="CW6" i="19"/>
  <c r="CV6" i="19"/>
  <c r="CU6" i="19"/>
  <c r="CT6" i="19"/>
  <c r="CS6" i="19"/>
  <c r="CR6" i="19"/>
  <c r="CQ6" i="19"/>
  <c r="CP6" i="19"/>
  <c r="BR6" i="19"/>
  <c r="BS6" i="19"/>
  <c r="BT6" i="19"/>
  <c r="BU6" i="19"/>
  <c r="BV6" i="19"/>
  <c r="BW6" i="19"/>
  <c r="BX6" i="19"/>
  <c r="BY6" i="19"/>
  <c r="BZ6" i="19"/>
  <c r="CA6" i="19"/>
  <c r="CB6" i="19"/>
  <c r="CC6" i="19"/>
  <c r="CD6" i="19"/>
  <c r="CE6" i="19"/>
  <c r="CF6" i="19"/>
  <c r="CG6" i="19"/>
  <c r="CH6" i="19"/>
  <c r="CI6" i="19"/>
  <c r="CJ6" i="19"/>
  <c r="CK6" i="19"/>
  <c r="CL6" i="19"/>
  <c r="CM6" i="19"/>
  <c r="CN6" i="19"/>
  <c r="CO6" i="19"/>
  <c r="BQ6" i="19"/>
  <c r="BP6" i="19"/>
  <c r="BO6" i="19"/>
  <c r="BN6" i="19"/>
  <c r="BM6" i="19"/>
  <c r="BL6" i="19"/>
  <c r="BK6" i="19"/>
  <c r="BJ6" i="19"/>
  <c r="BI6" i="19"/>
  <c r="BH6" i="19"/>
  <c r="BG6" i="19"/>
  <c r="BF6" i="19"/>
  <c r="BE6" i="19"/>
  <c r="BD6" i="19"/>
  <c r="BB6" i="19"/>
  <c r="BC6" i="19"/>
  <c r="BA6" i="19"/>
  <c r="AZ6" i="19"/>
  <c r="AY6" i="19"/>
  <c r="AX6" i="19"/>
  <c r="F6" i="19"/>
  <c r="G6" i="19"/>
  <c r="H6" i="19"/>
  <c r="B7" i="19"/>
  <c r="A157" i="17"/>
  <c r="A158" i="17" s="1"/>
  <c r="A159" i="17" s="1"/>
  <c r="A160" i="17" s="1"/>
  <c r="A161" i="17" s="1"/>
  <c r="A162" i="17" s="1"/>
  <c r="A163" i="17" s="1"/>
  <c r="A164" i="17" s="1"/>
  <c r="A165" i="17" s="1"/>
  <c r="A166" i="17" s="1"/>
  <c r="A167" i="17" s="1"/>
  <c r="A168" i="17" s="1"/>
  <c r="A169" i="17" s="1"/>
  <c r="A170" i="17" s="1"/>
  <c r="A171" i="17" s="1"/>
  <c r="A24" i="18"/>
  <c r="A25" i="18" s="1"/>
  <c r="A26" i="18" s="1"/>
  <c r="A27" i="18" s="1"/>
  <c r="J1" i="19"/>
  <c r="J6" i="19" s="1"/>
  <c r="J3" i="19"/>
  <c r="K4" i="19"/>
  <c r="AD4" i="4"/>
  <c r="AP4" i="4"/>
  <c r="AQ4" i="4" s="1"/>
  <c r="G127" i="18"/>
  <c r="E202" i="17"/>
  <c r="L186" i="17"/>
  <c r="K187" i="17"/>
  <c r="E174" i="17"/>
  <c r="L156" i="17"/>
  <c r="K157" i="17"/>
  <c r="E129" i="17"/>
  <c r="E132" i="17"/>
  <c r="L125" i="17"/>
  <c r="K126" i="17"/>
  <c r="L95" i="17"/>
  <c r="K96" i="17"/>
  <c r="G99" i="17"/>
  <c r="E100" i="17"/>
  <c r="L33" i="17"/>
  <c r="K34" i="17"/>
  <c r="O6" i="17"/>
  <c r="P6" i="17"/>
  <c r="S6" i="17"/>
  <c r="T6" i="17"/>
  <c r="U6" i="17" s="1"/>
  <c r="N7" i="17"/>
  <c r="F6" i="17"/>
  <c r="R6" i="17"/>
  <c r="L6" i="17"/>
  <c r="K7" i="17"/>
  <c r="C188" i="17"/>
  <c r="C156" i="17"/>
  <c r="C127" i="17"/>
  <c r="C98" i="17"/>
  <c r="C65" i="17"/>
  <c r="C35" i="17"/>
  <c r="C15" i="17"/>
  <c r="L186" i="18"/>
  <c r="K187" i="18"/>
  <c r="K157" i="18"/>
  <c r="L125" i="18"/>
  <c r="K126" i="18"/>
  <c r="E128" i="18"/>
  <c r="L95" i="18"/>
  <c r="K96" i="18"/>
  <c r="K19" i="18"/>
  <c r="L18" i="18"/>
  <c r="P6" i="18"/>
  <c r="S6" i="18"/>
  <c r="N7" i="18"/>
  <c r="O6" i="18"/>
  <c r="T6" i="18"/>
  <c r="U6" i="18" s="1"/>
  <c r="K12" i="18"/>
  <c r="L11" i="18"/>
  <c r="C36" i="18"/>
  <c r="C16" i="18"/>
  <c r="F6" i="18"/>
  <c r="R6" i="18"/>
  <c r="C65" i="18"/>
  <c r="V145" i="13"/>
  <c r="V196" i="13"/>
  <c r="V290" i="13" s="1"/>
  <c r="V144" i="13"/>
  <c r="W173" i="13"/>
  <c r="U145" i="13"/>
  <c r="U144" i="13"/>
  <c r="U196" i="13"/>
  <c r="U290" i="13" s="1"/>
  <c r="V173" i="13"/>
  <c r="T145" i="13"/>
  <c r="T196" i="13"/>
  <c r="T290" i="13" s="1"/>
  <c r="T144" i="13"/>
  <c r="U173" i="13"/>
  <c r="S145" i="13"/>
  <c r="S196" i="13"/>
  <c r="S290" i="13" s="1"/>
  <c r="T173" i="13"/>
  <c r="S144" i="13"/>
  <c r="R196" i="13"/>
  <c r="R290" i="13" s="1"/>
  <c r="S173" i="13"/>
  <c r="R144" i="13"/>
  <c r="R145" i="13"/>
  <c r="Q145" i="13"/>
  <c r="Q196" i="13"/>
  <c r="Q290" i="13" s="1"/>
  <c r="R173" i="13"/>
  <c r="Q144" i="13"/>
  <c r="O145" i="13"/>
  <c r="O144" i="13"/>
  <c r="P173" i="13"/>
  <c r="P145" i="13"/>
  <c r="P144" i="13"/>
  <c r="P213" i="13"/>
  <c r="P291" i="13"/>
  <c r="Q173" i="13"/>
  <c r="P196" i="13"/>
  <c r="P289" i="13"/>
  <c r="P211" i="13"/>
  <c r="Y76" i="13"/>
  <c r="X82" i="13"/>
  <c r="X148" i="13" s="1"/>
  <c r="X45" i="13"/>
  <c r="Q158" i="13"/>
  <c r="Q120" i="13"/>
  <c r="R206" i="13"/>
  <c r="R214" i="13" s="1"/>
  <c r="Q311" i="13"/>
  <c r="AC289" i="13"/>
  <c r="W290" i="13"/>
  <c r="W291" i="13"/>
  <c r="T59" i="13"/>
  <c r="S103" i="13" a="1"/>
  <c r="S104" i="13" a="1"/>
  <c r="R106" i="13"/>
  <c r="BA30" i="13"/>
  <c r="AZ30" i="13"/>
  <c r="AY29" i="13"/>
  <c r="AX29" i="13"/>
  <c r="AW29" i="13"/>
  <c r="AV29" i="13"/>
  <c r="AU29" i="13"/>
  <c r="AT29" i="13"/>
  <c r="AS29" i="13"/>
  <c r="AR29" i="13"/>
  <c r="AQ29" i="13"/>
  <c r="AP29" i="13"/>
  <c r="BA24" i="13"/>
  <c r="BA28" i="13"/>
  <c r="AO29" i="13"/>
  <c r="AZ24" i="13"/>
  <c r="AZ28" i="13"/>
  <c r="AN29" i="13"/>
  <c r="B39" i="6"/>
  <c r="C39" i="6"/>
  <c r="A40" i="6"/>
  <c r="B39" i="1"/>
  <c r="C39" i="1"/>
  <c r="A40" i="1"/>
  <c r="A34" i="3"/>
  <c r="C33" i="3"/>
  <c r="N6" i="4"/>
  <c r="B33" i="3"/>
  <c r="O5" i="4"/>
  <c r="AA5" i="4"/>
  <c r="A5" i="4"/>
  <c r="B5" i="4" s="1"/>
  <c r="AJ94" i="13"/>
  <c r="AK90" i="13"/>
  <c r="AI146" i="13"/>
  <c r="AI100" i="13"/>
  <c r="AI95" i="13"/>
  <c r="AI172" i="13"/>
  <c r="AH195" i="13"/>
  <c r="W194" i="13"/>
  <c r="X171" i="13"/>
  <c r="W193" i="13"/>
  <c r="X170" i="13"/>
  <c r="O134" i="13"/>
  <c r="O136" i="13" s="1"/>
  <c r="R133" i="13"/>
  <c r="S128" i="13"/>
  <c r="T128" i="13" s="1"/>
  <c r="U128" i="13" s="1"/>
  <c r="H3" i="11"/>
  <c r="G4" i="11"/>
  <c r="B71" i="6"/>
  <c r="A72" i="6"/>
  <c r="C71" i="6"/>
  <c r="B71" i="1"/>
  <c r="C71" i="1"/>
  <c r="A72" i="1"/>
  <c r="A66" i="3"/>
  <c r="B65" i="3"/>
  <c r="C65" i="3"/>
  <c r="N38" i="4"/>
  <c r="A37" i="4"/>
  <c r="B37" i="4" s="1"/>
  <c r="O37" i="4"/>
  <c r="AA37" i="4"/>
  <c r="C91" i="18"/>
  <c r="K1" i="19" l="1"/>
  <c r="K6" i="19" s="1"/>
  <c r="A172" i="17"/>
  <c r="A173" i="17" s="1"/>
  <c r="A174" i="17" s="1"/>
  <c r="A175" i="17" s="1"/>
  <c r="A176" i="17" s="1"/>
  <c r="A28" i="18"/>
  <c r="A29" i="18" s="1"/>
  <c r="A30" i="18" s="1"/>
  <c r="A31" i="18" s="1"/>
  <c r="A32" i="18" s="1"/>
  <c r="A33" i="18" s="1"/>
  <c r="A34" i="18" s="1"/>
  <c r="A35" i="18" s="1"/>
  <c r="A36" i="18" s="1"/>
  <c r="A37" i="18" s="1"/>
  <c r="A38" i="18" s="1"/>
  <c r="A39" i="18" s="1"/>
  <c r="A40" i="18" s="1"/>
  <c r="A41" i="18" s="1"/>
  <c r="A42" i="18" s="1"/>
  <c r="A43" i="18" s="1"/>
  <c r="A44" i="18" s="1"/>
  <c r="A45" i="18" s="1"/>
  <c r="A46" i="18" s="1"/>
  <c r="A47" i="18" s="1"/>
  <c r="A48" i="18" s="1"/>
  <c r="A49" i="18" s="1"/>
  <c r="A50" i="18" s="1"/>
  <c r="A51" i="18" s="1"/>
  <c r="K3" i="19"/>
  <c r="L4" i="19"/>
  <c r="E203" i="17"/>
  <c r="L187" i="17"/>
  <c r="K188" i="17"/>
  <c r="E175" i="17"/>
  <c r="L157" i="17"/>
  <c r="K158" i="17"/>
  <c r="E136" i="17"/>
  <c r="E133" i="17"/>
  <c r="L126" i="17"/>
  <c r="K127" i="17"/>
  <c r="L96" i="17"/>
  <c r="K97" i="17"/>
  <c r="E104" i="17"/>
  <c r="L34" i="17"/>
  <c r="K35" i="17"/>
  <c r="R7" i="17"/>
  <c r="S7" i="17"/>
  <c r="O7" i="17"/>
  <c r="P7" i="17"/>
  <c r="T7" i="17"/>
  <c r="U7" i="17" s="1"/>
  <c r="N8" i="17"/>
  <c r="F7" i="17"/>
  <c r="H6" i="17"/>
  <c r="L7" i="17"/>
  <c r="K8" i="17"/>
  <c r="C189" i="17"/>
  <c r="C160" i="17"/>
  <c r="C128" i="17"/>
  <c r="C99" i="17"/>
  <c r="C69" i="17"/>
  <c r="C36" i="17"/>
  <c r="C16" i="17"/>
  <c r="G100" i="17"/>
  <c r="G101" i="17" s="1"/>
  <c r="G102" i="17" s="1"/>
  <c r="G103" i="17" s="1"/>
  <c r="L187" i="18"/>
  <c r="K188" i="18"/>
  <c r="L157" i="18"/>
  <c r="K158" i="18"/>
  <c r="L126" i="18"/>
  <c r="K127" i="18"/>
  <c r="G128" i="18"/>
  <c r="G129" i="18" s="1"/>
  <c r="G130" i="18" s="1"/>
  <c r="G131" i="18" s="1"/>
  <c r="E132" i="18"/>
  <c r="L96" i="18"/>
  <c r="K97" i="18"/>
  <c r="K20" i="18"/>
  <c r="L19" i="18"/>
  <c r="R7" i="18"/>
  <c r="P7" i="18"/>
  <c r="T7" i="18"/>
  <c r="U7" i="18" s="1"/>
  <c r="N8" i="18"/>
  <c r="O7" i="18"/>
  <c r="S7" i="18"/>
  <c r="L12" i="18"/>
  <c r="K13" i="18"/>
  <c r="L13" i="18" s="1"/>
  <c r="C37" i="18"/>
  <c r="C20" i="18"/>
  <c r="F7" i="18"/>
  <c r="H6" i="18"/>
  <c r="C69" i="18"/>
  <c r="C92" i="18"/>
  <c r="O152" i="13"/>
  <c r="O164" i="13" s="1"/>
  <c r="O185" i="13" s="1"/>
  <c r="P171" i="13"/>
  <c r="W171" i="13"/>
  <c r="V194" i="13"/>
  <c r="V288" i="13" s="1"/>
  <c r="W170" i="13"/>
  <c r="V193" i="13"/>
  <c r="V171" i="13"/>
  <c r="U194" i="13"/>
  <c r="U288" i="13" s="1"/>
  <c r="V170" i="13"/>
  <c r="U193" i="13"/>
  <c r="U150" i="13"/>
  <c r="U171" i="13"/>
  <c r="T194" i="13"/>
  <c r="T288" i="13" s="1"/>
  <c r="U170" i="13"/>
  <c r="T193" i="13"/>
  <c r="T171" i="13"/>
  <c r="S194" i="13"/>
  <c r="S288" i="13" s="1"/>
  <c r="T170" i="13"/>
  <c r="S193" i="13"/>
  <c r="S170" i="13"/>
  <c r="R193" i="13"/>
  <c r="S171" i="13"/>
  <c r="R194" i="13"/>
  <c r="R288" i="13" s="1"/>
  <c r="R171" i="13"/>
  <c r="Q194" i="13"/>
  <c r="Q288" i="13" s="1"/>
  <c r="R170" i="13"/>
  <c r="Q193" i="13"/>
  <c r="P170" i="13"/>
  <c r="O156" i="13"/>
  <c r="O168" i="13" s="1"/>
  <c r="O189" i="13" s="1"/>
  <c r="O155" i="13"/>
  <c r="O167" i="13" s="1"/>
  <c r="O188" i="13" s="1"/>
  <c r="O154" i="13"/>
  <c r="O166" i="13" s="1"/>
  <c r="O187" i="13" s="1"/>
  <c r="O153" i="13"/>
  <c r="O165" i="13" s="1"/>
  <c r="O186" i="13" s="1"/>
  <c r="O151" i="13"/>
  <c r="O163" i="13" s="1"/>
  <c r="P156" i="13"/>
  <c r="P168" i="13" s="1"/>
  <c r="P155" i="13"/>
  <c r="P167" i="13" s="1"/>
  <c r="P154" i="13"/>
  <c r="P166" i="13" s="1"/>
  <c r="P152" i="13"/>
  <c r="P164" i="13" s="1"/>
  <c r="Q171" i="13"/>
  <c r="P194" i="13"/>
  <c r="Q170" i="13"/>
  <c r="P193" i="13"/>
  <c r="P153" i="13"/>
  <c r="P165" i="13" s="1"/>
  <c r="P151" i="13"/>
  <c r="P163" i="13" s="1"/>
  <c r="P310" i="13"/>
  <c r="Q205" i="13"/>
  <c r="Q213" i="13" s="1"/>
  <c r="P290" i="13"/>
  <c r="P212" i="13"/>
  <c r="P308" i="13"/>
  <c r="Q203" i="13"/>
  <c r="Q211" i="13" s="1"/>
  <c r="Y126" i="13"/>
  <c r="Y45" i="13"/>
  <c r="Z76" i="13"/>
  <c r="Y82" i="13"/>
  <c r="Q156" i="13"/>
  <c r="Q168" i="13" s="1"/>
  <c r="Q155" i="13"/>
  <c r="Q167" i="13" s="1"/>
  <c r="Q154" i="13"/>
  <c r="Q166" i="13" s="1"/>
  <c r="Q153" i="13"/>
  <c r="Q165" i="13" s="1"/>
  <c r="Q152" i="13"/>
  <c r="Q164" i="13" s="1"/>
  <c r="Q151" i="13"/>
  <c r="Q163" i="13" s="1"/>
  <c r="X147" i="13"/>
  <c r="X144" i="13" s="1"/>
  <c r="X99" i="13"/>
  <c r="X83" i="13"/>
  <c r="X84" i="13" s="1"/>
  <c r="DN22" i="19" s="1"/>
  <c r="X46" i="13"/>
  <c r="X47" i="13"/>
  <c r="S206" i="13"/>
  <c r="S214" i="13" s="1"/>
  <c r="R311" i="13"/>
  <c r="Y174" i="13"/>
  <c r="X197" i="13"/>
  <c r="U59" i="13"/>
  <c r="T103" i="13" a="1"/>
  <c r="T104" i="13" a="1"/>
  <c r="S106" i="13"/>
  <c r="S142" i="13"/>
  <c r="S150" i="13"/>
  <c r="BA29" i="13"/>
  <c r="AZ29" i="13"/>
  <c r="B40" i="6"/>
  <c r="C40" i="6"/>
  <c r="A41" i="6"/>
  <c r="B40" i="1"/>
  <c r="C40" i="1"/>
  <c r="A41" i="1"/>
  <c r="A35" i="3"/>
  <c r="C34" i="3"/>
  <c r="N7" i="4"/>
  <c r="B34" i="3"/>
  <c r="O6" i="4"/>
  <c r="AA6" i="4"/>
  <c r="A6" i="4"/>
  <c r="B6" i="4" s="1"/>
  <c r="AD5" i="4"/>
  <c r="AP5" i="4"/>
  <c r="AQ5" i="4" s="1"/>
  <c r="AJ146" i="13"/>
  <c r="AJ100" i="13"/>
  <c r="AJ95" i="13"/>
  <c r="AL90" i="13"/>
  <c r="AK94" i="13"/>
  <c r="AJ172" i="13"/>
  <c r="AI195" i="13"/>
  <c r="W288" i="13"/>
  <c r="V217" i="13"/>
  <c r="V218" i="13"/>
  <c r="W287" i="13"/>
  <c r="R134" i="13"/>
  <c r="U133" i="13"/>
  <c r="Q134" i="13"/>
  <c r="T133" i="13"/>
  <c r="P134" i="13"/>
  <c r="S133" i="13"/>
  <c r="R158" i="13"/>
  <c r="R120" i="13"/>
  <c r="R102" i="13"/>
  <c r="V128" i="13"/>
  <c r="I3" i="11"/>
  <c r="H4" i="11"/>
  <c r="C72" i="6"/>
  <c r="B72" i="6"/>
  <c r="A73" i="6"/>
  <c r="B72" i="1"/>
  <c r="C72" i="1"/>
  <c r="A73" i="1"/>
  <c r="A67" i="3"/>
  <c r="C66" i="3"/>
  <c r="B66" i="3"/>
  <c r="N39" i="4"/>
  <c r="AA38" i="4"/>
  <c r="O38" i="4"/>
  <c r="A38" i="4"/>
  <c r="B38" i="4" s="1"/>
  <c r="AD37" i="4"/>
  <c r="AP37" i="4"/>
  <c r="AQ37" i="4" s="1"/>
  <c r="G214" i="18"/>
  <c r="DK22" i="19" l="1"/>
  <c r="DL22" i="19"/>
  <c r="DM22" i="19"/>
  <c r="G104" i="17"/>
  <c r="A177" i="17"/>
  <c r="A178" i="17" s="1"/>
  <c r="A179" i="17" s="1"/>
  <c r="A180" i="17" s="1"/>
  <c r="A181" i="17" s="1"/>
  <c r="A182" i="17" s="1"/>
  <c r="A183" i="17" s="1"/>
  <c r="A184" i="17" s="1"/>
  <c r="A185" i="17" s="1"/>
  <c r="A186" i="17" s="1"/>
  <c r="A52" i="18"/>
  <c r="A53" i="18" s="1"/>
  <c r="A54" i="18" s="1"/>
  <c r="A55" i="18" s="1"/>
  <c r="A56" i="18" s="1"/>
  <c r="A57" i="18" s="1"/>
  <c r="A58" i="18" s="1"/>
  <c r="A59" i="18" s="1"/>
  <c r="A60" i="18" s="1"/>
  <c r="A61" i="18" s="1"/>
  <c r="A62" i="18" s="1"/>
  <c r="A63" i="18" s="1"/>
  <c r="A64" i="18" s="1"/>
  <c r="A65" i="18" s="1"/>
  <c r="A66" i="18" s="1"/>
  <c r="A67" i="18" s="1"/>
  <c r="L1" i="19"/>
  <c r="L6" i="19" s="1"/>
  <c r="M4" i="19"/>
  <c r="L3" i="19"/>
  <c r="E204" i="17"/>
  <c r="L188" i="17"/>
  <c r="K189" i="17"/>
  <c r="E176" i="17"/>
  <c r="L158" i="17"/>
  <c r="K159" i="17"/>
  <c r="E143" i="17"/>
  <c r="E134" i="17"/>
  <c r="L127" i="17"/>
  <c r="K128" i="17"/>
  <c r="L97" i="17"/>
  <c r="K98" i="17"/>
  <c r="E105" i="17"/>
  <c r="L35" i="17"/>
  <c r="K36" i="17"/>
  <c r="R8" i="17"/>
  <c r="S8" i="17"/>
  <c r="O8" i="17"/>
  <c r="P8" i="17"/>
  <c r="T8" i="17"/>
  <c r="U8" i="17" s="1"/>
  <c r="N9" i="17"/>
  <c r="F8" i="17"/>
  <c r="H7" i="17"/>
  <c r="L8" i="17"/>
  <c r="K9" i="17"/>
  <c r="C190" i="17"/>
  <c r="C161" i="17"/>
  <c r="C132" i="17"/>
  <c r="C100" i="17"/>
  <c r="C70" i="17"/>
  <c r="C37" i="17"/>
  <c r="C20" i="17"/>
  <c r="K189" i="18"/>
  <c r="L158" i="18"/>
  <c r="K159" i="18"/>
  <c r="L127" i="18"/>
  <c r="K128" i="18"/>
  <c r="E133" i="18"/>
  <c r="L97" i="18"/>
  <c r="K98" i="18"/>
  <c r="L20" i="18"/>
  <c r="K21" i="18"/>
  <c r="P8" i="18"/>
  <c r="R8" i="18"/>
  <c r="S8" i="18"/>
  <c r="T8" i="18"/>
  <c r="U8" i="18" s="1"/>
  <c r="O8" i="18"/>
  <c r="N9" i="18"/>
  <c r="C41" i="18"/>
  <c r="C21" i="18"/>
  <c r="F8" i="18"/>
  <c r="H7" i="18"/>
  <c r="C70" i="18"/>
  <c r="C93" i="18"/>
  <c r="G132" i="18"/>
  <c r="C121" i="18"/>
  <c r="C153" i="18"/>
  <c r="V287" i="13"/>
  <c r="U218" i="13"/>
  <c r="U217" i="13"/>
  <c r="U287" i="13"/>
  <c r="T217" i="13"/>
  <c r="T218" i="13"/>
  <c r="S217" i="13"/>
  <c r="T287" i="13"/>
  <c r="S218" i="13"/>
  <c r="R217" i="13"/>
  <c r="R218" i="13"/>
  <c r="S287" i="13"/>
  <c r="R287" i="13"/>
  <c r="Q218" i="13"/>
  <c r="Q217" i="13"/>
  <c r="Q287" i="13"/>
  <c r="P217" i="13"/>
  <c r="P218" i="13"/>
  <c r="O216" i="13"/>
  <c r="O184" i="13"/>
  <c r="P316" i="13"/>
  <c r="P320" i="13"/>
  <c r="P329" i="13" s="1"/>
  <c r="P258" i="13"/>
  <c r="P300" i="13" s="1"/>
  <c r="P189" i="13"/>
  <c r="P257" i="13"/>
  <c r="P299" i="13" s="1"/>
  <c r="P319" i="13"/>
  <c r="P328" i="13" s="1"/>
  <c r="P188" i="13"/>
  <c r="P318" i="13"/>
  <c r="P256" i="13"/>
  <c r="P298" i="13" s="1"/>
  <c r="P187" i="13"/>
  <c r="P315" i="13"/>
  <c r="P185" i="13"/>
  <c r="P254" i="13"/>
  <c r="P317" i="13"/>
  <c r="P186" i="13"/>
  <c r="P255" i="13"/>
  <c r="P297" i="13" s="1"/>
  <c r="P184" i="13"/>
  <c r="P253" i="13"/>
  <c r="P295" i="13" s="1"/>
  <c r="P288" i="13"/>
  <c r="P210" i="13"/>
  <c r="O218" i="13"/>
  <c r="O217" i="13"/>
  <c r="P209" i="13"/>
  <c r="Q310" i="13"/>
  <c r="R205" i="13"/>
  <c r="R213" i="13" s="1"/>
  <c r="S158" i="13"/>
  <c r="S102" i="13"/>
  <c r="Q204" i="13"/>
  <c r="Q212" i="13" s="1"/>
  <c r="P309" i="13"/>
  <c r="Q308" i="13"/>
  <c r="R203" i="13"/>
  <c r="R211" i="13" s="1"/>
  <c r="Y46" i="13"/>
  <c r="Y47" i="13"/>
  <c r="Z78" i="13"/>
  <c r="Z126" i="13"/>
  <c r="Y148" i="13"/>
  <c r="Y147" i="13" s="1"/>
  <c r="Y99" i="13"/>
  <c r="Y83" i="13"/>
  <c r="Y84" i="13" s="1"/>
  <c r="Q320" i="13"/>
  <c r="Q329" i="13" s="1"/>
  <c r="Q258" i="13"/>
  <c r="Q300" i="13" s="1"/>
  <c r="Q189" i="13"/>
  <c r="Q319" i="13"/>
  <c r="Q257" i="13"/>
  <c r="Q299" i="13" s="1"/>
  <c r="Q188" i="13"/>
  <c r="Q318" i="13"/>
  <c r="Q256" i="13"/>
  <c r="Q298" i="13" s="1"/>
  <c r="Q187" i="13"/>
  <c r="Q317" i="13"/>
  <c r="Q186" i="13"/>
  <c r="Q255" i="13"/>
  <c r="Q297" i="13" s="1"/>
  <c r="Q316" i="13"/>
  <c r="Q254" i="13"/>
  <c r="Q296" i="13" s="1"/>
  <c r="Q185" i="13"/>
  <c r="Q315" i="13"/>
  <c r="Q253" i="13"/>
  <c r="Q184" i="13"/>
  <c r="Y173" i="13"/>
  <c r="X196" i="13"/>
  <c r="X290" i="13" s="1"/>
  <c r="X145" i="13"/>
  <c r="Y170" i="13"/>
  <c r="X193" i="13"/>
  <c r="X287" i="13" s="1"/>
  <c r="T206" i="13"/>
  <c r="T214" i="13" s="1"/>
  <c r="S311" i="13"/>
  <c r="X291" i="13"/>
  <c r="V59" i="13"/>
  <c r="U103" i="13" a="1"/>
  <c r="U104" i="13" a="1"/>
  <c r="T106" i="13"/>
  <c r="T142" i="13"/>
  <c r="T150" i="13"/>
  <c r="B41" i="6"/>
  <c r="C41" i="6"/>
  <c r="A42" i="6"/>
  <c r="B41" i="1"/>
  <c r="C41" i="1"/>
  <c r="A42" i="1"/>
  <c r="A36" i="3"/>
  <c r="B35" i="3"/>
  <c r="C35" i="3"/>
  <c r="N8" i="4"/>
  <c r="O7" i="4"/>
  <c r="AA7" i="4"/>
  <c r="A7" i="4"/>
  <c r="B7" i="4" s="1"/>
  <c r="AD6" i="4"/>
  <c r="AP6" i="4"/>
  <c r="AQ6" i="4" s="1"/>
  <c r="AK172" i="13"/>
  <c r="AJ195" i="13"/>
  <c r="AM90" i="13"/>
  <c r="AL94" i="13"/>
  <c r="AK146" i="13"/>
  <c r="AK100" i="13"/>
  <c r="AK95" i="13"/>
  <c r="Q136" i="13"/>
  <c r="P139" i="13"/>
  <c r="Q139" i="13" s="1"/>
  <c r="R139" i="13" s="1"/>
  <c r="R140" i="13" s="1"/>
  <c r="P136" i="13"/>
  <c r="R151" i="13"/>
  <c r="R163" i="13" s="1"/>
  <c r="R152" i="13"/>
  <c r="R164" i="13" s="1"/>
  <c r="R153" i="13"/>
  <c r="R165" i="13" s="1"/>
  <c r="R154" i="13"/>
  <c r="R166" i="13" s="1"/>
  <c r="R155" i="13"/>
  <c r="R167" i="13" s="1"/>
  <c r="R156" i="13"/>
  <c r="R168" i="13" s="1"/>
  <c r="S134" i="13"/>
  <c r="V133" i="13"/>
  <c r="R136" i="13"/>
  <c r="W128" i="13"/>
  <c r="X128" i="13" s="1"/>
  <c r="J3" i="11"/>
  <c r="I4" i="11"/>
  <c r="A74" i="6"/>
  <c r="C73" i="6"/>
  <c r="B73" i="6"/>
  <c r="B73" i="1"/>
  <c r="C73" i="1"/>
  <c r="A74" i="1"/>
  <c r="A68" i="3"/>
  <c r="B67" i="3"/>
  <c r="C67" i="3"/>
  <c r="N40" i="4"/>
  <c r="O39" i="4"/>
  <c r="AA39" i="4"/>
  <c r="A39" i="4"/>
  <c r="B39" i="4" s="1"/>
  <c r="AD38" i="4"/>
  <c r="AP38" i="4"/>
  <c r="AQ38" i="4" s="1"/>
  <c r="A187" i="17" l="1"/>
  <c r="A68" i="18"/>
  <c r="A69" i="18" s="1"/>
  <c r="A70" i="18" s="1"/>
  <c r="A71" i="18" s="1"/>
  <c r="A72" i="18" s="1"/>
  <c r="A73" i="18" s="1"/>
  <c r="A74" i="18" s="1"/>
  <c r="A75" i="18" s="1"/>
  <c r="A76" i="18" s="1"/>
  <c r="A77" i="18" s="1"/>
  <c r="A78" i="18" s="1"/>
  <c r="A79" i="18" s="1"/>
  <c r="A80" i="18" s="1"/>
  <c r="A81" i="18" s="1"/>
  <c r="A82" i="18" s="1"/>
  <c r="A83" i="18" s="1"/>
  <c r="A84" i="18" s="1"/>
  <c r="M1" i="19"/>
  <c r="M6" i="19" s="1"/>
  <c r="M3" i="19"/>
  <c r="N4" i="19"/>
  <c r="G133" i="18"/>
  <c r="L189" i="17"/>
  <c r="K190" i="17"/>
  <c r="E181" i="17"/>
  <c r="L159" i="17"/>
  <c r="K160" i="17"/>
  <c r="E150" i="17"/>
  <c r="E135" i="17"/>
  <c r="L128" i="17"/>
  <c r="K129" i="17"/>
  <c r="L98" i="17"/>
  <c r="K99" i="17"/>
  <c r="G105" i="17"/>
  <c r="E106" i="17"/>
  <c r="L36" i="17"/>
  <c r="K37" i="17"/>
  <c r="S9" i="17"/>
  <c r="O9" i="17"/>
  <c r="P9" i="17"/>
  <c r="R9" i="17"/>
  <c r="T9" i="17"/>
  <c r="U9" i="17" s="1"/>
  <c r="N10" i="17"/>
  <c r="F9" i="17"/>
  <c r="H8" i="17"/>
  <c r="L9" i="17"/>
  <c r="K10" i="17"/>
  <c r="C191" i="17"/>
  <c r="C162" i="17"/>
  <c r="C133" i="17"/>
  <c r="C104" i="17"/>
  <c r="C71" i="17"/>
  <c r="C41" i="17"/>
  <c r="C21" i="17"/>
  <c r="K190" i="18"/>
  <c r="L159" i="18"/>
  <c r="K160" i="18"/>
  <c r="L128" i="18"/>
  <c r="K129" i="18"/>
  <c r="E134" i="18"/>
  <c r="L98" i="18"/>
  <c r="K99" i="18"/>
  <c r="L21" i="18"/>
  <c r="K22" i="18"/>
  <c r="S9" i="18"/>
  <c r="O9" i="18"/>
  <c r="P9" i="18"/>
  <c r="R9" i="18"/>
  <c r="T9" i="18"/>
  <c r="U9" i="18" s="1"/>
  <c r="N10" i="18"/>
  <c r="C42" i="18"/>
  <c r="C22" i="18"/>
  <c r="H8" i="18"/>
  <c r="F9" i="18"/>
  <c r="C71" i="18"/>
  <c r="C98" i="18"/>
  <c r="C125" i="18"/>
  <c r="Q295" i="13"/>
  <c r="P296" i="13"/>
  <c r="P327" i="13"/>
  <c r="Q328" i="13"/>
  <c r="R310" i="13"/>
  <c r="S205" i="13"/>
  <c r="S213" i="13" s="1"/>
  <c r="S155" i="13"/>
  <c r="S167" i="13" s="1"/>
  <c r="S154" i="13"/>
  <c r="S166" i="13" s="1"/>
  <c r="S153" i="13"/>
  <c r="S165" i="13" s="1"/>
  <c r="S152" i="13"/>
  <c r="S164" i="13" s="1"/>
  <c r="S156" i="13"/>
  <c r="S168" i="13" s="1"/>
  <c r="S151" i="13"/>
  <c r="S163" i="13" s="1"/>
  <c r="P326" i="13"/>
  <c r="P321" i="13"/>
  <c r="P307" i="13"/>
  <c r="P325" i="13" s="1"/>
  <c r="Q202" i="13"/>
  <c r="Q210" i="13" s="1"/>
  <c r="P306" i="13"/>
  <c r="Q201" i="13"/>
  <c r="Q209" i="13" s="1"/>
  <c r="P216" i="13"/>
  <c r="P222" i="13" s="1"/>
  <c r="Q309" i="13"/>
  <c r="R204" i="13"/>
  <c r="R212" i="13" s="1"/>
  <c r="Q326" i="13"/>
  <c r="Y144" i="13"/>
  <c r="Y145" i="13"/>
  <c r="R308" i="13"/>
  <c r="S203" i="13"/>
  <c r="S211" i="13" s="1"/>
  <c r="Z45" i="13"/>
  <c r="AA76" i="13"/>
  <c r="Z82" i="13"/>
  <c r="Z174" i="13"/>
  <c r="Y197" i="13"/>
  <c r="Y291" i="13" s="1"/>
  <c r="Z173" i="13"/>
  <c r="Y196" i="13"/>
  <c r="Y290" i="13" s="1"/>
  <c r="Q321" i="13"/>
  <c r="T158" i="13"/>
  <c r="T102" i="13"/>
  <c r="X194" i="13"/>
  <c r="Y171" i="13"/>
  <c r="U206" i="13"/>
  <c r="U214" i="13" s="1"/>
  <c r="T311" i="13"/>
  <c r="W59" i="13"/>
  <c r="V103" i="13" a="1"/>
  <c r="V104" i="13" a="1"/>
  <c r="U106" i="13"/>
  <c r="U142" i="13"/>
  <c r="U335" i="13"/>
  <c r="U336" i="13" s="1"/>
  <c r="B42" i="6"/>
  <c r="C42" i="6"/>
  <c r="A43" i="6"/>
  <c r="B42" i="1"/>
  <c r="C42" i="1"/>
  <c r="A43" i="1"/>
  <c r="A37" i="3"/>
  <c r="B36" i="3"/>
  <c r="C36" i="3"/>
  <c r="N9" i="4"/>
  <c r="O8" i="4"/>
  <c r="AA8" i="4"/>
  <c r="A8" i="4"/>
  <c r="B8" i="4" s="1"/>
  <c r="AD7" i="4"/>
  <c r="AP7" i="4"/>
  <c r="AQ7" i="4" s="1"/>
  <c r="AM94" i="13"/>
  <c r="AN90" i="13"/>
  <c r="AL146" i="13"/>
  <c r="AL100" i="13"/>
  <c r="AL95" i="13"/>
  <c r="AL172" i="13"/>
  <c r="AK195" i="13"/>
  <c r="R315" i="13"/>
  <c r="R253" i="13"/>
  <c r="R295" i="13" s="1"/>
  <c r="R184" i="13"/>
  <c r="R316" i="13"/>
  <c r="R254" i="13"/>
  <c r="R296" i="13" s="1"/>
  <c r="R185" i="13"/>
  <c r="R317" i="13"/>
  <c r="R186" i="13"/>
  <c r="R255" i="13"/>
  <c r="R297" i="13" s="1"/>
  <c r="R318" i="13"/>
  <c r="R256" i="13"/>
  <c r="R298" i="13" s="1"/>
  <c r="R187" i="13"/>
  <c r="R319" i="13"/>
  <c r="R257" i="13"/>
  <c r="R299" i="13" s="1"/>
  <c r="R188" i="13"/>
  <c r="R320" i="13"/>
  <c r="R329" i="13" s="1"/>
  <c r="R258" i="13"/>
  <c r="R300" i="13" s="1"/>
  <c r="R189" i="13"/>
  <c r="X133" i="13"/>
  <c r="U134" i="13"/>
  <c r="T134" i="13"/>
  <c r="W133" i="13"/>
  <c r="Y128" i="13"/>
  <c r="S139" i="13"/>
  <c r="S140" i="13" s="1"/>
  <c r="S136" i="13"/>
  <c r="K3" i="11"/>
  <c r="J4" i="11"/>
  <c r="B74" i="6"/>
  <c r="A75" i="6"/>
  <c r="C74" i="6"/>
  <c r="B74" i="1"/>
  <c r="C74" i="1"/>
  <c r="A75" i="1"/>
  <c r="A69" i="3"/>
  <c r="B68" i="3"/>
  <c r="C68" i="3"/>
  <c r="N41" i="4"/>
  <c r="AA40" i="4"/>
  <c r="O40" i="4"/>
  <c r="A40" i="4"/>
  <c r="B40" i="4" s="1"/>
  <c r="AD39" i="4"/>
  <c r="AP39" i="4"/>
  <c r="AQ39" i="4" s="1"/>
  <c r="A188" i="17" l="1"/>
  <c r="A85" i="18"/>
  <c r="A86" i="18" s="1"/>
  <c r="O4" i="19"/>
  <c r="N1" i="19"/>
  <c r="N6" i="19" s="1"/>
  <c r="N3" i="19"/>
  <c r="L190" i="17"/>
  <c r="K191" i="17"/>
  <c r="E182" i="17"/>
  <c r="L160" i="17"/>
  <c r="K161" i="17"/>
  <c r="E139" i="17"/>
  <c r="L129" i="17"/>
  <c r="K130" i="17"/>
  <c r="L99" i="17"/>
  <c r="K100" i="17"/>
  <c r="E107" i="17"/>
  <c r="L37" i="17"/>
  <c r="K38" i="17"/>
  <c r="S10" i="17"/>
  <c r="O10" i="17"/>
  <c r="P10" i="17"/>
  <c r="R10" i="17"/>
  <c r="T10" i="17"/>
  <c r="U10" i="17" s="1"/>
  <c r="N11" i="17"/>
  <c r="H9" i="17"/>
  <c r="F10" i="17"/>
  <c r="L10" i="17"/>
  <c r="K11" i="17"/>
  <c r="C195" i="17"/>
  <c r="C163" i="17"/>
  <c r="C134" i="17"/>
  <c r="C105" i="17"/>
  <c r="C72" i="17"/>
  <c r="C42" i="17"/>
  <c r="C22" i="17"/>
  <c r="G106" i="17"/>
  <c r="K191" i="18"/>
  <c r="K161" i="18"/>
  <c r="L129" i="18"/>
  <c r="K130" i="18"/>
  <c r="G134" i="18"/>
  <c r="E135" i="18"/>
  <c r="L99" i="18"/>
  <c r="K100" i="18"/>
  <c r="L22" i="18"/>
  <c r="K23" i="18"/>
  <c r="S10" i="18"/>
  <c r="P10" i="18"/>
  <c r="R10" i="18"/>
  <c r="T10" i="18"/>
  <c r="U10" i="18" s="1"/>
  <c r="O10" i="18"/>
  <c r="N11" i="18"/>
  <c r="C43" i="18"/>
  <c r="C23" i="18"/>
  <c r="H9" i="18"/>
  <c r="F10" i="18"/>
  <c r="C72" i="18"/>
  <c r="C99" i="18"/>
  <c r="C126" i="18"/>
  <c r="R328" i="13"/>
  <c r="S310" i="13"/>
  <c r="T205" i="13"/>
  <c r="T213" i="13" s="1"/>
  <c r="S319" i="13"/>
  <c r="S257" i="13"/>
  <c r="S299" i="13" s="1"/>
  <c r="S188" i="13"/>
  <c r="S318" i="13"/>
  <c r="S256" i="13"/>
  <c r="S298" i="13" s="1"/>
  <c r="S187" i="13"/>
  <c r="S255" i="13"/>
  <c r="S297" i="13" s="1"/>
  <c r="S317" i="13"/>
  <c r="S186" i="13"/>
  <c r="S316" i="13"/>
  <c r="S254" i="13"/>
  <c r="S296" i="13" s="1"/>
  <c r="S185" i="13"/>
  <c r="S320" i="13"/>
  <c r="S329" i="13" s="1"/>
  <c r="S258" i="13"/>
  <c r="S300" i="13" s="1"/>
  <c r="S189" i="13"/>
  <c r="S315" i="13"/>
  <c r="S253" i="13"/>
  <c r="S295" i="13" s="1"/>
  <c r="S184" i="13"/>
  <c r="S222" i="13"/>
  <c r="R202" i="13"/>
  <c r="R210" i="13" s="1"/>
  <c r="Q307" i="13"/>
  <c r="Q325" i="13" s="1"/>
  <c r="P312" i="13"/>
  <c r="P324" i="13"/>
  <c r="P330" i="13" s="1"/>
  <c r="Q216" i="13"/>
  <c r="Q222" i="13" s="1"/>
  <c r="R201" i="13"/>
  <c r="R209" i="13" s="1"/>
  <c r="Q306" i="13"/>
  <c r="S204" i="13"/>
  <c r="S212" i="13" s="1"/>
  <c r="R309" i="13"/>
  <c r="Q327" i="13"/>
  <c r="Z171" i="13"/>
  <c r="Y194" i="13"/>
  <c r="Y288" i="13" s="1"/>
  <c r="Y193" i="13"/>
  <c r="Z170" i="13"/>
  <c r="S308" i="13"/>
  <c r="T203" i="13"/>
  <c r="T211" i="13" s="1"/>
  <c r="R326" i="13"/>
  <c r="Z46" i="13"/>
  <c r="Z47" i="13"/>
  <c r="AA78" i="13"/>
  <c r="AA126" i="13"/>
  <c r="Z83" i="13"/>
  <c r="Z84" i="13" s="1"/>
  <c r="Z99" i="13"/>
  <c r="Z148" i="13"/>
  <c r="U158" i="13"/>
  <c r="U102" i="13"/>
  <c r="T151" i="13"/>
  <c r="T163" i="13" s="1"/>
  <c r="T184" i="13" s="1"/>
  <c r="T156" i="13"/>
  <c r="T168" i="13" s="1"/>
  <c r="T155" i="13"/>
  <c r="T167" i="13" s="1"/>
  <c r="T154" i="13"/>
  <c r="T166" i="13" s="1"/>
  <c r="T318" i="13" s="1"/>
  <c r="T153" i="13"/>
  <c r="T165" i="13" s="1"/>
  <c r="T152" i="13"/>
  <c r="T164" i="13" s="1"/>
  <c r="W218" i="13"/>
  <c r="W217" i="13"/>
  <c r="X288" i="13"/>
  <c r="V206" i="13"/>
  <c r="V214" i="13" s="1"/>
  <c r="U311" i="13"/>
  <c r="X59" i="13"/>
  <c r="W103" i="13" a="1"/>
  <c r="W104" i="13" a="1"/>
  <c r="V106" i="13"/>
  <c r="V142" i="13"/>
  <c r="V150" i="13"/>
  <c r="V335" i="13"/>
  <c r="V336" i="13" s="1"/>
  <c r="B43" i="6"/>
  <c r="C43" i="6"/>
  <c r="A44" i="6"/>
  <c r="B43" i="1"/>
  <c r="C43" i="1"/>
  <c r="A44" i="1"/>
  <c r="A38" i="3"/>
  <c r="N10" i="4"/>
  <c r="B37" i="3"/>
  <c r="C37" i="3"/>
  <c r="O9" i="4"/>
  <c r="AA9" i="4"/>
  <c r="A9" i="4"/>
  <c r="B9" i="4" s="1"/>
  <c r="AD8" i="4"/>
  <c r="AP8" i="4"/>
  <c r="AQ8" i="4" s="1"/>
  <c r="AM146" i="13"/>
  <c r="AM100" i="13"/>
  <c r="AM95" i="13"/>
  <c r="AO90" i="13"/>
  <c r="AN94" i="13"/>
  <c r="AM172" i="13"/>
  <c r="AL195" i="13"/>
  <c r="U136" i="13"/>
  <c r="T139" i="13"/>
  <c r="T136" i="13"/>
  <c r="Z128" i="13"/>
  <c r="V134" i="13"/>
  <c r="Y133" i="13"/>
  <c r="R321" i="13"/>
  <c r="L3" i="11"/>
  <c r="K4" i="11"/>
  <c r="B75" i="6"/>
  <c r="C75" i="6"/>
  <c r="A76" i="6"/>
  <c r="B75" i="1"/>
  <c r="C75" i="1"/>
  <c r="A76" i="1"/>
  <c r="A70" i="3"/>
  <c r="B69" i="3"/>
  <c r="C69" i="3"/>
  <c r="N42" i="4"/>
  <c r="A41" i="4"/>
  <c r="B41" i="4" s="1"/>
  <c r="O41" i="4"/>
  <c r="AA41" i="4"/>
  <c r="AP40" i="4"/>
  <c r="AQ40" i="4" s="1"/>
  <c r="AD40" i="4"/>
  <c r="A189" i="17" l="1"/>
  <c r="A190" i="17" s="1"/>
  <c r="A191" i="17" s="1"/>
  <c r="A192" i="17" s="1"/>
  <c r="A87" i="18"/>
  <c r="A88" i="18" s="1"/>
  <c r="A89" i="18" s="1"/>
  <c r="O1" i="19"/>
  <c r="O6" i="19" s="1"/>
  <c r="O3" i="19"/>
  <c r="P4" i="19"/>
  <c r="G107" i="17"/>
  <c r="L191" i="17"/>
  <c r="K192" i="17"/>
  <c r="L182" i="17"/>
  <c r="E183" i="17"/>
  <c r="L161" i="17"/>
  <c r="K162" i="17"/>
  <c r="E140" i="17"/>
  <c r="L130" i="17"/>
  <c r="K131" i="17"/>
  <c r="L100" i="17"/>
  <c r="K101" i="17"/>
  <c r="E108" i="17"/>
  <c r="E111" i="17"/>
  <c r="L38" i="17"/>
  <c r="K39" i="17"/>
  <c r="R11" i="17"/>
  <c r="S11" i="17"/>
  <c r="O11" i="17"/>
  <c r="P11" i="17"/>
  <c r="T11" i="17"/>
  <c r="U11" i="17" s="1"/>
  <c r="N12" i="17"/>
  <c r="F11" i="17"/>
  <c r="H10" i="17"/>
  <c r="L11" i="17"/>
  <c r="K12" i="17"/>
  <c r="C196" i="17"/>
  <c r="C167" i="17"/>
  <c r="C135" i="17"/>
  <c r="C106" i="17"/>
  <c r="C76" i="17"/>
  <c r="C43" i="17"/>
  <c r="C23" i="17"/>
  <c r="G135" i="18"/>
  <c r="G136" i="18" s="1"/>
  <c r="G137" i="18" s="1"/>
  <c r="G138" i="18" s="1"/>
  <c r="K192" i="18"/>
  <c r="K162" i="18"/>
  <c r="L130" i="18"/>
  <c r="K131" i="18"/>
  <c r="E139" i="18"/>
  <c r="L100" i="18"/>
  <c r="K101" i="18"/>
  <c r="K24" i="18"/>
  <c r="L23" i="18"/>
  <c r="R11" i="18"/>
  <c r="S11" i="18"/>
  <c r="O11" i="18"/>
  <c r="P11" i="18"/>
  <c r="T11" i="18"/>
  <c r="U11" i="18" s="1"/>
  <c r="N12" i="18"/>
  <c r="C44" i="18"/>
  <c r="C27" i="18"/>
  <c r="F11" i="18"/>
  <c r="H10" i="18"/>
  <c r="C76" i="18"/>
  <c r="C100" i="18"/>
  <c r="C127" i="18"/>
  <c r="C182" i="18"/>
  <c r="S321" i="13"/>
  <c r="S301" i="13"/>
  <c r="S328" i="13"/>
  <c r="S326" i="13"/>
  <c r="T310" i="13"/>
  <c r="U205" i="13"/>
  <c r="U213" i="13" s="1"/>
  <c r="Q324" i="13"/>
  <c r="Q330" i="13" s="1"/>
  <c r="Q312" i="13"/>
  <c r="S202" i="13"/>
  <c r="S210" i="13" s="1"/>
  <c r="R307" i="13"/>
  <c r="R325" i="13" s="1"/>
  <c r="S201" i="13"/>
  <c r="S209" i="13" s="1"/>
  <c r="R306" i="13"/>
  <c r="R216" i="13"/>
  <c r="R222" i="13" s="1"/>
  <c r="T204" i="13"/>
  <c r="T212" i="13" s="1"/>
  <c r="S309" i="13"/>
  <c r="R327" i="13"/>
  <c r="X217" i="13"/>
  <c r="X218" i="13"/>
  <c r="Y287" i="13"/>
  <c r="T308" i="13"/>
  <c r="U203" i="13"/>
  <c r="U211" i="13" s="1"/>
  <c r="AA128" i="13"/>
  <c r="AA45" i="13"/>
  <c r="AB76" i="13"/>
  <c r="AA82" i="13"/>
  <c r="Z147" i="13"/>
  <c r="AA174" i="13"/>
  <c r="Z197" i="13"/>
  <c r="Z291" i="13" s="1"/>
  <c r="U155" i="13"/>
  <c r="U167" i="13" s="1"/>
  <c r="U154" i="13"/>
  <c r="U166" i="13" s="1"/>
  <c r="U152" i="13"/>
  <c r="U164" i="13" s="1"/>
  <c r="U156" i="13"/>
  <c r="U168" i="13" s="1"/>
  <c r="U153" i="13"/>
  <c r="U165" i="13" s="1"/>
  <c r="U151" i="13"/>
  <c r="U163" i="13" s="1"/>
  <c r="T315" i="13"/>
  <c r="T253" i="13"/>
  <c r="T295" i="13" s="1"/>
  <c r="T320" i="13"/>
  <c r="T329" i="13" s="1"/>
  <c r="T258" i="13"/>
  <c r="T300" i="13" s="1"/>
  <c r="T189" i="13"/>
  <c r="T257" i="13"/>
  <c r="T299" i="13" s="1"/>
  <c r="T188" i="13"/>
  <c r="T319" i="13"/>
  <c r="T256" i="13"/>
  <c r="T298" i="13" s="1"/>
  <c r="T187" i="13"/>
  <c r="T317" i="13"/>
  <c r="T186" i="13"/>
  <c r="T255" i="13"/>
  <c r="T297" i="13" s="1"/>
  <c r="T316" i="13"/>
  <c r="T254" i="13"/>
  <c r="T296" i="13" s="1"/>
  <c r="T185" i="13"/>
  <c r="T222" i="13"/>
  <c r="V158" i="13"/>
  <c r="V102" i="13"/>
  <c r="W206" i="13"/>
  <c r="W214" i="13" s="1"/>
  <c r="V311" i="13"/>
  <c r="Y59" i="13"/>
  <c r="X103" i="13" a="1"/>
  <c r="X104" i="13" a="1"/>
  <c r="W106" i="13"/>
  <c r="W142" i="13"/>
  <c r="W335" i="13"/>
  <c r="W336" i="13" s="1"/>
  <c r="B44" i="6"/>
  <c r="C44" i="6"/>
  <c r="A45" i="6"/>
  <c r="B44" i="1"/>
  <c r="C44" i="1"/>
  <c r="A45" i="1"/>
  <c r="A39" i="3"/>
  <c r="C38" i="3"/>
  <c r="B38" i="3"/>
  <c r="N11" i="4"/>
  <c r="O10" i="4"/>
  <c r="AA10" i="4"/>
  <c r="A10" i="4"/>
  <c r="B10" i="4" s="1"/>
  <c r="AD9" i="4"/>
  <c r="AP9" i="4"/>
  <c r="AQ9" i="4" s="1"/>
  <c r="AN172" i="13"/>
  <c r="AM195" i="13"/>
  <c r="AO94" i="13"/>
  <c r="AP90" i="13"/>
  <c r="AN146" i="13"/>
  <c r="AN100" i="13"/>
  <c r="AN95" i="13"/>
  <c r="Z133" i="13"/>
  <c r="W134" i="13"/>
  <c r="V136" i="13"/>
  <c r="T140" i="13"/>
  <c r="U139" i="13"/>
  <c r="M3" i="11"/>
  <c r="L4" i="11"/>
  <c r="A77" i="6"/>
  <c r="B76" i="6"/>
  <c r="C76" i="6"/>
  <c r="B76" i="1"/>
  <c r="C76" i="1"/>
  <c r="A77" i="1"/>
  <c r="A71" i="3"/>
  <c r="C70" i="3"/>
  <c r="B70" i="3"/>
  <c r="N43" i="4"/>
  <c r="AA42" i="4"/>
  <c r="A42" i="4"/>
  <c r="B42" i="4" s="1"/>
  <c r="O42" i="4"/>
  <c r="AD41" i="4"/>
  <c r="AP41" i="4"/>
  <c r="AQ41" i="4" s="1"/>
  <c r="I3" i="17"/>
  <c r="P1" i="19" l="1"/>
  <c r="P6" i="19" s="1"/>
  <c r="Q4" i="19"/>
  <c r="P3" i="19"/>
  <c r="A193" i="17"/>
  <c r="A194" i="17" s="1"/>
  <c r="A195" i="17" s="1"/>
  <c r="A196" i="17" s="1"/>
  <c r="A197" i="17" s="1"/>
  <c r="A198" i="17" s="1"/>
  <c r="A199" i="17" s="1"/>
  <c r="A200" i="17" s="1"/>
  <c r="A90" i="18"/>
  <c r="A91" i="18" s="1"/>
  <c r="A92" i="18" s="1"/>
  <c r="A93" i="18" s="1"/>
  <c r="A94" i="18" s="1"/>
  <c r="A95" i="18" s="1"/>
  <c r="A96" i="18" s="1"/>
  <c r="A97" i="18" s="1"/>
  <c r="A98" i="18" s="1"/>
  <c r="A99" i="18" s="1"/>
  <c r="A100" i="18" s="1"/>
  <c r="A101" i="18" s="1"/>
  <c r="A102" i="18" s="1"/>
  <c r="A103" i="18" s="1"/>
  <c r="A104" i="18" s="1"/>
  <c r="A105" i="18" s="1"/>
  <c r="A106" i="18" s="1"/>
  <c r="A107" i="18" s="1"/>
  <c r="A108" i="18" s="1"/>
  <c r="A109" i="18" s="1"/>
  <c r="A110" i="18" s="1"/>
  <c r="A111" i="18" s="1"/>
  <c r="A112" i="18" s="1"/>
  <c r="A113" i="18" s="1"/>
  <c r="A114" i="18" s="1"/>
  <c r="A115" i="18" s="1"/>
  <c r="A116" i="18" s="1"/>
  <c r="A117" i="18" s="1"/>
  <c r="A118" i="18" s="1"/>
  <c r="A119" i="18" s="1"/>
  <c r="A120" i="18" s="1"/>
  <c r="A121" i="18" s="1"/>
  <c r="A122" i="18" s="1"/>
  <c r="A123" i="18" s="1"/>
  <c r="A124" i="18" s="1"/>
  <c r="A125" i="18" s="1"/>
  <c r="A126" i="18" s="1"/>
  <c r="A127" i="18" s="1"/>
  <c r="A128" i="18" s="1"/>
  <c r="A129" i="18" s="1"/>
  <c r="A130" i="18" s="1"/>
  <c r="A131" i="18" s="1"/>
  <c r="A132" i="18" s="1"/>
  <c r="L192" i="17"/>
  <c r="K193" i="17"/>
  <c r="L183" i="17"/>
  <c r="E184" i="17"/>
  <c r="L162" i="17"/>
  <c r="K163" i="17"/>
  <c r="E141" i="17"/>
  <c r="L131" i="17"/>
  <c r="K132" i="17"/>
  <c r="L101" i="17"/>
  <c r="K102" i="17"/>
  <c r="G108" i="17"/>
  <c r="G109" i="17" s="1"/>
  <c r="G110" i="17" s="1"/>
  <c r="G111" i="17" s="1"/>
  <c r="E112" i="17"/>
  <c r="L39" i="17"/>
  <c r="K40" i="17"/>
  <c r="R12" i="17"/>
  <c r="S12" i="17"/>
  <c r="O12" i="17"/>
  <c r="P12" i="17"/>
  <c r="T12" i="17"/>
  <c r="U12" i="17" s="1"/>
  <c r="N13" i="17"/>
  <c r="F12" i="17"/>
  <c r="H11" i="17"/>
  <c r="L12" i="17"/>
  <c r="K13" i="17"/>
  <c r="C197" i="17"/>
  <c r="C168" i="17"/>
  <c r="C139" i="17"/>
  <c r="C107" i="17"/>
  <c r="C77" i="17"/>
  <c r="C44" i="17"/>
  <c r="C27" i="17"/>
  <c r="Q3" i="17"/>
  <c r="J3" i="17"/>
  <c r="M3" i="17" s="1"/>
  <c r="I4" i="17"/>
  <c r="I2" i="17"/>
  <c r="L192" i="18"/>
  <c r="K193" i="18"/>
  <c r="K163" i="18"/>
  <c r="L131" i="18"/>
  <c r="K132" i="18"/>
  <c r="G139" i="18"/>
  <c r="E140" i="18"/>
  <c r="L101" i="18"/>
  <c r="K102" i="18"/>
  <c r="L24" i="18"/>
  <c r="K25" i="18"/>
  <c r="S12" i="18"/>
  <c r="O12" i="18"/>
  <c r="P12" i="18"/>
  <c r="R12" i="18"/>
  <c r="T12" i="18"/>
  <c r="U12" i="18" s="1"/>
  <c r="N13" i="18"/>
  <c r="C48" i="18"/>
  <c r="C28" i="18"/>
  <c r="F12" i="18"/>
  <c r="H11" i="18"/>
  <c r="C77" i="18"/>
  <c r="C104" i="18"/>
  <c r="C128" i="18"/>
  <c r="C183" i="18"/>
  <c r="I3" i="18"/>
  <c r="U310" i="13"/>
  <c r="V205" i="13"/>
  <c r="V213" i="13" s="1"/>
  <c r="R324" i="13"/>
  <c r="R330" i="13" s="1"/>
  <c r="R312" i="13"/>
  <c r="T328" i="13"/>
  <c r="T202" i="13"/>
  <c r="T210" i="13" s="1"/>
  <c r="S307" i="13"/>
  <c r="S325" i="13" s="1"/>
  <c r="S306" i="13"/>
  <c r="T201" i="13"/>
  <c r="T209" i="13" s="1"/>
  <c r="S216" i="13"/>
  <c r="U204" i="13"/>
  <c r="U212" i="13" s="1"/>
  <c r="T309" i="13"/>
  <c r="S327" i="13"/>
  <c r="T301" i="13"/>
  <c r="T326" i="13"/>
  <c r="V156" i="13"/>
  <c r="V168" i="13" s="1"/>
  <c r="V155" i="13"/>
  <c r="V167" i="13" s="1"/>
  <c r="V154" i="13"/>
  <c r="V166" i="13" s="1"/>
  <c r="V153" i="13"/>
  <c r="V165" i="13" s="1"/>
  <c r="V152" i="13"/>
  <c r="V164" i="13" s="1"/>
  <c r="V151" i="13"/>
  <c r="V163" i="13" s="1"/>
  <c r="T321" i="13"/>
  <c r="U308" i="13"/>
  <c r="V203" i="13"/>
  <c r="V211" i="13" s="1"/>
  <c r="X134" i="13"/>
  <c r="X136" i="13" s="1"/>
  <c r="AA133" i="13"/>
  <c r="AB126" i="13"/>
  <c r="AB128" i="13" s="1"/>
  <c r="AB78" i="13"/>
  <c r="AA148" i="13"/>
  <c r="AA99" i="13"/>
  <c r="AA83" i="13"/>
  <c r="AA84" i="13" s="1"/>
  <c r="U319" i="13"/>
  <c r="U188" i="13"/>
  <c r="U257" i="13"/>
  <c r="U299" i="13" s="1"/>
  <c r="U187" i="13"/>
  <c r="U256" i="13"/>
  <c r="U298" i="13" s="1"/>
  <c r="U318" i="13"/>
  <c r="U185" i="13"/>
  <c r="U254" i="13"/>
  <c r="U296" i="13" s="1"/>
  <c r="U316" i="13"/>
  <c r="U320" i="13"/>
  <c r="U329" i="13" s="1"/>
  <c r="U189" i="13"/>
  <c r="U258" i="13"/>
  <c r="U300" i="13" s="1"/>
  <c r="U186" i="13"/>
  <c r="U255" i="13"/>
  <c r="U297" i="13" s="1"/>
  <c r="U317" i="13"/>
  <c r="U315" i="13"/>
  <c r="U222" i="13"/>
  <c r="U253" i="13"/>
  <c r="U295" i="13" s="1"/>
  <c r="U184" i="13"/>
  <c r="AA47" i="13"/>
  <c r="AA46" i="13"/>
  <c r="Z145" i="13"/>
  <c r="Z144" i="13"/>
  <c r="Z196" i="13"/>
  <c r="Z290" i="13" s="1"/>
  <c r="AA173" i="13"/>
  <c r="W158" i="13"/>
  <c r="W156" i="13" s="1"/>
  <c r="W168" i="13" s="1"/>
  <c r="W102" i="13"/>
  <c r="X206" i="13"/>
  <c r="X214" i="13" s="1"/>
  <c r="W311" i="13"/>
  <c r="Z59" i="13"/>
  <c r="Y103" i="13" a="1"/>
  <c r="Y104" i="13" a="1"/>
  <c r="X106" i="13"/>
  <c r="X142" i="13"/>
  <c r="X335" i="13"/>
  <c r="X336" i="13" s="1"/>
  <c r="B45" i="6"/>
  <c r="C45" i="6"/>
  <c r="A46" i="6"/>
  <c r="B45" i="1"/>
  <c r="C45" i="1"/>
  <c r="A46" i="1"/>
  <c r="A40" i="3"/>
  <c r="C39" i="3"/>
  <c r="N12" i="4"/>
  <c r="B39" i="3"/>
  <c r="O11" i="4"/>
  <c r="AA11" i="4"/>
  <c r="A11" i="4"/>
  <c r="B11" i="4" s="1"/>
  <c r="AD10" i="4"/>
  <c r="AP10" i="4"/>
  <c r="AQ10" i="4" s="1"/>
  <c r="AO146" i="13"/>
  <c r="AO100" i="13"/>
  <c r="AO95" i="13"/>
  <c r="AP94" i="13"/>
  <c r="AQ90" i="13"/>
  <c r="AO172" i="13"/>
  <c r="AN195" i="13"/>
  <c r="W136" i="13"/>
  <c r="U140" i="13"/>
  <c r="V139" i="13"/>
  <c r="N3" i="11"/>
  <c r="M4" i="11"/>
  <c r="A78" i="6"/>
  <c r="B77" i="6"/>
  <c r="C77" i="6"/>
  <c r="B77" i="1"/>
  <c r="C77" i="1"/>
  <c r="A78" i="1"/>
  <c r="A72" i="3"/>
  <c r="N44" i="4"/>
  <c r="B71" i="3"/>
  <c r="C71" i="3"/>
  <c r="A43" i="4"/>
  <c r="B43" i="4" s="1"/>
  <c r="O43" i="4"/>
  <c r="AA43" i="4"/>
  <c r="AD42" i="4"/>
  <c r="AP42" i="4"/>
  <c r="AQ42" i="4" s="1"/>
  <c r="I11" i="18"/>
  <c r="Q1" i="19" l="1"/>
  <c r="Q6" i="19" s="1"/>
  <c r="Q3" i="19"/>
  <c r="R4" i="19"/>
  <c r="A201" i="17"/>
  <c r="A133" i="18"/>
  <c r="A134" i="18" s="1"/>
  <c r="A135" i="18" s="1"/>
  <c r="A136" i="18" s="1"/>
  <c r="A137" i="18" s="1"/>
  <c r="A138" i="18" s="1"/>
  <c r="A139" i="18" s="1"/>
  <c r="A140" i="18" s="1"/>
  <c r="A141" i="18" s="1"/>
  <c r="A142" i="18" s="1"/>
  <c r="A143" i="18" s="1"/>
  <c r="A144" i="18" s="1"/>
  <c r="A145" i="18" s="1"/>
  <c r="A146" i="18" s="1"/>
  <c r="A147" i="18" s="1"/>
  <c r="A148" i="18" s="1"/>
  <c r="A149" i="18" s="1"/>
  <c r="A150" i="18" s="1"/>
  <c r="L193" i="17"/>
  <c r="K194" i="17"/>
  <c r="L184" i="17"/>
  <c r="L163" i="17"/>
  <c r="K164" i="17"/>
  <c r="E142" i="17"/>
  <c r="L132" i="17"/>
  <c r="K133" i="17"/>
  <c r="L102" i="17"/>
  <c r="K103" i="17"/>
  <c r="E113" i="17"/>
  <c r="L40" i="17"/>
  <c r="K41" i="17"/>
  <c r="R13" i="17"/>
  <c r="S13" i="17"/>
  <c r="O13" i="17"/>
  <c r="P13" i="17"/>
  <c r="T13" i="17"/>
  <c r="U13" i="17" s="1"/>
  <c r="N14" i="17"/>
  <c r="H12" i="17"/>
  <c r="F13" i="17"/>
  <c r="L13" i="17"/>
  <c r="K14" i="17"/>
  <c r="C198" i="17"/>
  <c r="C169" i="17"/>
  <c r="C140" i="17"/>
  <c r="C111" i="17"/>
  <c r="C83" i="17"/>
  <c r="C48" i="17"/>
  <c r="C28" i="17"/>
  <c r="Q4" i="17"/>
  <c r="J4" i="17"/>
  <c r="M4" i="17" s="1"/>
  <c r="I5" i="17"/>
  <c r="Q2" i="17"/>
  <c r="J2" i="17"/>
  <c r="M2" i="17" s="1"/>
  <c r="G112" i="17"/>
  <c r="I7" i="17"/>
  <c r="L193" i="18"/>
  <c r="K194" i="18"/>
  <c r="K164" i="18"/>
  <c r="L132" i="18"/>
  <c r="K133" i="18"/>
  <c r="E141" i="18"/>
  <c r="L102" i="18"/>
  <c r="K103" i="18"/>
  <c r="K26" i="18"/>
  <c r="L25" i="18"/>
  <c r="R13" i="18"/>
  <c r="O13" i="18"/>
  <c r="P13" i="18"/>
  <c r="S13" i="18"/>
  <c r="T13" i="18"/>
  <c r="U13" i="18" s="1"/>
  <c r="N14" i="18"/>
  <c r="C49" i="18"/>
  <c r="F13" i="18"/>
  <c r="H12" i="18"/>
  <c r="C78" i="18"/>
  <c r="C105" i="18"/>
  <c r="C132" i="18"/>
  <c r="C184" i="18"/>
  <c r="Q3" i="18"/>
  <c r="I4" i="18"/>
  <c r="J3" i="18"/>
  <c r="M3" i="18" s="1"/>
  <c r="G140" i="18"/>
  <c r="Q11" i="18"/>
  <c r="I12" i="18"/>
  <c r="J11" i="18"/>
  <c r="M11" i="18" s="1"/>
  <c r="U328" i="13"/>
  <c r="V310" i="13"/>
  <c r="W205" i="13"/>
  <c r="W213" i="13" s="1"/>
  <c r="S324" i="13"/>
  <c r="S330" i="13" s="1"/>
  <c r="S312" i="13"/>
  <c r="U202" i="13"/>
  <c r="U210" i="13" s="1"/>
  <c r="T307" i="13"/>
  <c r="T325" i="13" s="1"/>
  <c r="T216" i="13"/>
  <c r="U201" i="13"/>
  <c r="U209" i="13" s="1"/>
  <c r="T306" i="13"/>
  <c r="V204" i="13"/>
  <c r="V212" i="13" s="1"/>
  <c r="U309" i="13"/>
  <c r="U327" i="13" s="1"/>
  <c r="T327" i="13"/>
  <c r="W155" i="13"/>
  <c r="W167" i="13" s="1"/>
  <c r="W154" i="13"/>
  <c r="W166" i="13" s="1"/>
  <c r="W153" i="13"/>
  <c r="W165" i="13" s="1"/>
  <c r="W152" i="13"/>
  <c r="W164" i="13" s="1"/>
  <c r="W151" i="13"/>
  <c r="W163" i="13" s="1"/>
  <c r="W184" i="13" s="1"/>
  <c r="U321" i="13"/>
  <c r="U301" i="13"/>
  <c r="V320" i="13"/>
  <c r="V329" i="13" s="1"/>
  <c r="V189" i="13"/>
  <c r="V258" i="13"/>
  <c r="V300" i="13" s="1"/>
  <c r="V319" i="13"/>
  <c r="V257" i="13"/>
  <c r="V299" i="13" s="1"/>
  <c r="V188" i="13"/>
  <c r="V318" i="13"/>
  <c r="V256" i="13"/>
  <c r="V298" i="13" s="1"/>
  <c r="V187" i="13"/>
  <c r="V317" i="13"/>
  <c r="V186" i="13"/>
  <c r="V255" i="13"/>
  <c r="V297" i="13" s="1"/>
  <c r="V316" i="13"/>
  <c r="V254" i="13"/>
  <c r="V296" i="13" s="1"/>
  <c r="V185" i="13"/>
  <c r="U326" i="13"/>
  <c r="V222" i="13"/>
  <c r="V315" i="13"/>
  <c r="V253" i="13"/>
  <c r="V295" i="13" s="1"/>
  <c r="V184" i="13"/>
  <c r="V308" i="13"/>
  <c r="W203" i="13"/>
  <c r="W211" i="13" s="1"/>
  <c r="AB45" i="13"/>
  <c r="AC76" i="13"/>
  <c r="AB82" i="13"/>
  <c r="AA147" i="13"/>
  <c r="AB174" i="13"/>
  <c r="AA197" i="13"/>
  <c r="AA291" i="13" s="1"/>
  <c r="X158" i="13"/>
  <c r="X102" i="13"/>
  <c r="AA171" i="13"/>
  <c r="Z194" i="13"/>
  <c r="Z288" i="13" s="1"/>
  <c r="AA170" i="13"/>
  <c r="Z193" i="13"/>
  <c r="Y206" i="13"/>
  <c r="Y214" i="13" s="1"/>
  <c r="X311" i="13"/>
  <c r="AB133" i="13"/>
  <c r="Y134" i="13"/>
  <c r="V140" i="13"/>
  <c r="W139" i="13"/>
  <c r="AA59" i="13"/>
  <c r="Z103" i="13" a="1"/>
  <c r="Z104" i="13" a="1"/>
  <c r="Y106" i="13"/>
  <c r="Y142" i="13"/>
  <c r="Y335" i="13"/>
  <c r="Y336" i="13" s="1"/>
  <c r="W320" i="13"/>
  <c r="W329" i="13" s="1"/>
  <c r="W258" i="13"/>
  <c r="W300" i="13" s="1"/>
  <c r="W189" i="13"/>
  <c r="B46" i="6"/>
  <c r="C46" i="6"/>
  <c r="A47" i="6"/>
  <c r="B46" i="1"/>
  <c r="C46" i="1"/>
  <c r="A47" i="1"/>
  <c r="A41" i="3"/>
  <c r="N13" i="4"/>
  <c r="B40" i="3"/>
  <c r="C40" i="3"/>
  <c r="O12" i="4"/>
  <c r="AA12" i="4"/>
  <c r="A12" i="4"/>
  <c r="B12" i="4" s="1"/>
  <c r="AD11" i="4"/>
  <c r="AP11" i="4"/>
  <c r="AQ11" i="4" s="1"/>
  <c r="AP172" i="13"/>
  <c r="AO195" i="13"/>
  <c r="AP146" i="13"/>
  <c r="AP100" i="13"/>
  <c r="AP95" i="13"/>
  <c r="AR90" i="13"/>
  <c r="AQ94" i="13"/>
  <c r="O3" i="11"/>
  <c r="N4" i="11"/>
  <c r="A79" i="6"/>
  <c r="C78" i="6"/>
  <c r="B78" i="6"/>
  <c r="B78" i="1"/>
  <c r="C78" i="1"/>
  <c r="A79" i="1"/>
  <c r="A73" i="3"/>
  <c r="N45" i="4"/>
  <c r="B72" i="3"/>
  <c r="C72" i="3"/>
  <c r="A44" i="4"/>
  <c r="B44" i="4" s="1"/>
  <c r="O44" i="4"/>
  <c r="AA44" i="4"/>
  <c r="AD43" i="4"/>
  <c r="AP43" i="4"/>
  <c r="AQ43" i="4" s="1"/>
  <c r="I29" i="18"/>
  <c r="I11" i="17"/>
  <c r="R1" i="19" l="1"/>
  <c r="R6" i="19" s="1"/>
  <c r="R3" i="19"/>
  <c r="S4" i="19"/>
  <c r="A202" i="17"/>
  <c r="A151" i="18"/>
  <c r="G113" i="17"/>
  <c r="L194" i="17"/>
  <c r="K195" i="17"/>
  <c r="L164" i="17"/>
  <c r="K165" i="17"/>
  <c r="E146" i="17"/>
  <c r="L133" i="17"/>
  <c r="K134" i="17"/>
  <c r="L103" i="17"/>
  <c r="K104" i="17"/>
  <c r="E114" i="17"/>
  <c r="L41" i="17"/>
  <c r="K42" i="17"/>
  <c r="R14" i="17"/>
  <c r="S14" i="17"/>
  <c r="O14" i="17"/>
  <c r="P14" i="17"/>
  <c r="T14" i="17"/>
  <c r="U14" i="17" s="1"/>
  <c r="N15" i="17"/>
  <c r="F14" i="17"/>
  <c r="H13" i="17"/>
  <c r="L14" i="17"/>
  <c r="K15" i="17"/>
  <c r="C202" i="17"/>
  <c r="C170" i="17"/>
  <c r="C141" i="17"/>
  <c r="C112" i="17"/>
  <c r="C84" i="17"/>
  <c r="C49" i="17"/>
  <c r="Q5" i="17"/>
  <c r="J5" i="17"/>
  <c r="M5" i="17" s="1"/>
  <c r="I6" i="17"/>
  <c r="Q7" i="17"/>
  <c r="J7" i="17"/>
  <c r="M7" i="17" s="1"/>
  <c r="I8" i="17"/>
  <c r="Q11" i="17"/>
  <c r="J11" i="17"/>
  <c r="M11" i="17" s="1"/>
  <c r="I12" i="17"/>
  <c r="L194" i="18"/>
  <c r="K195" i="18"/>
  <c r="L164" i="18"/>
  <c r="K165" i="18"/>
  <c r="L133" i="18"/>
  <c r="K134" i="18"/>
  <c r="E142" i="18"/>
  <c r="L103" i="18"/>
  <c r="K104" i="18"/>
  <c r="K27" i="18"/>
  <c r="L26" i="18"/>
  <c r="R14" i="18"/>
  <c r="P14" i="18"/>
  <c r="T14" i="18"/>
  <c r="U14" i="18" s="1"/>
  <c r="N15" i="18"/>
  <c r="O14" i="18"/>
  <c r="S14" i="18"/>
  <c r="C50" i="18"/>
  <c r="F14" i="18"/>
  <c r="H13" i="18"/>
  <c r="C79" i="18"/>
  <c r="C106" i="18"/>
  <c r="C133" i="18"/>
  <c r="C188" i="18"/>
  <c r="Q4" i="18"/>
  <c r="J4" i="18"/>
  <c r="M4" i="18" s="1"/>
  <c r="I5" i="18"/>
  <c r="Q12" i="18"/>
  <c r="J12" i="18"/>
  <c r="M12" i="18" s="1"/>
  <c r="I13" i="18"/>
  <c r="G141" i="18"/>
  <c r="J29" i="18"/>
  <c r="I30" i="18"/>
  <c r="V328" i="13"/>
  <c r="W310" i="13"/>
  <c r="X205" i="13"/>
  <c r="X213" i="13" s="1"/>
  <c r="V202" i="13"/>
  <c r="V210" i="13" s="1"/>
  <c r="U307" i="13"/>
  <c r="U325" i="13" s="1"/>
  <c r="V201" i="13"/>
  <c r="V209" i="13" s="1"/>
  <c r="U306" i="13"/>
  <c r="U216" i="13"/>
  <c r="T324" i="13"/>
  <c r="T330" i="13" s="1"/>
  <c r="T312" i="13"/>
  <c r="W204" i="13"/>
  <c r="W212" i="13" s="1"/>
  <c r="V309" i="13"/>
  <c r="V321" i="13"/>
  <c r="V326" i="13"/>
  <c r="W319" i="13"/>
  <c r="W257" i="13"/>
  <c r="W299" i="13" s="1"/>
  <c r="W188" i="13"/>
  <c r="W318" i="13"/>
  <c r="W256" i="13"/>
  <c r="W298" i="13" s="1"/>
  <c r="W187" i="13"/>
  <c r="W317" i="13"/>
  <c r="W186" i="13"/>
  <c r="W255" i="13"/>
  <c r="W297" i="13" s="1"/>
  <c r="W316" i="13"/>
  <c r="W254" i="13"/>
  <c r="W296" i="13" s="1"/>
  <c r="W185" i="13"/>
  <c r="V301" i="13"/>
  <c r="R223" i="13"/>
  <c r="R221" i="13" s="1"/>
  <c r="Q223" i="13"/>
  <c r="Q221" i="13" s="1"/>
  <c r="P223" i="13"/>
  <c r="P221" i="13" s="1"/>
  <c r="W315" i="13"/>
  <c r="W223" i="13"/>
  <c r="W222" i="13"/>
  <c r="T223" i="13"/>
  <c r="T221" i="13" s="1"/>
  <c r="T123" i="13" s="1"/>
  <c r="U223" i="13"/>
  <c r="U221" i="13" s="1"/>
  <c r="U123" i="13" s="1"/>
  <c r="S223" i="13"/>
  <c r="S221" i="13" s="1"/>
  <c r="S123" i="13" s="1"/>
  <c r="V223" i="13"/>
  <c r="V221" i="13" s="1"/>
  <c r="V123" i="13" s="1"/>
  <c r="W253" i="13"/>
  <c r="W295" i="13" s="1"/>
  <c r="AB46" i="13"/>
  <c r="AB47" i="13"/>
  <c r="AA196" i="13"/>
  <c r="AA290" i="13" s="1"/>
  <c r="AB173" i="13"/>
  <c r="AA144" i="13"/>
  <c r="AA145" i="13"/>
  <c r="W308" i="13"/>
  <c r="X203" i="13"/>
  <c r="X211" i="13" s="1"/>
  <c r="AC78" i="13"/>
  <c r="AC126" i="13"/>
  <c r="AC128" i="13" s="1"/>
  <c r="AB83" i="13"/>
  <c r="AB84" i="13" s="1"/>
  <c r="AB99" i="13"/>
  <c r="AB148" i="13"/>
  <c r="X156" i="13"/>
  <c r="X168" i="13" s="1"/>
  <c r="X189" i="13" s="1"/>
  <c r="X155" i="13"/>
  <c r="X167" i="13" s="1"/>
  <c r="X154" i="13"/>
  <c r="X166" i="13" s="1"/>
  <c r="X153" i="13"/>
  <c r="X165" i="13" s="1"/>
  <c r="X152" i="13"/>
  <c r="X164" i="13" s="1"/>
  <c r="X151" i="13"/>
  <c r="X163" i="13" s="1"/>
  <c r="Y158" i="13"/>
  <c r="Y102" i="13"/>
  <c r="Z287" i="13"/>
  <c r="Z335" i="13" s="1"/>
  <c r="Y218" i="13"/>
  <c r="Y217" i="13"/>
  <c r="Z206" i="13"/>
  <c r="Z214" i="13" s="1"/>
  <c r="Y311" i="13"/>
  <c r="Y136" i="13"/>
  <c r="X139" i="13"/>
  <c r="Y139" i="13" s="1"/>
  <c r="W140" i="13"/>
  <c r="AB59" i="13"/>
  <c r="AA103" i="13" a="1"/>
  <c r="AA104" i="13" a="1"/>
  <c r="Z106" i="13"/>
  <c r="Z142" i="13"/>
  <c r="B47" i="6"/>
  <c r="C47" i="6"/>
  <c r="A48" i="6"/>
  <c r="B47" i="1"/>
  <c r="C47" i="1"/>
  <c r="A48" i="1"/>
  <c r="A42" i="3"/>
  <c r="C41" i="3"/>
  <c r="B41" i="3"/>
  <c r="N14" i="4"/>
  <c r="O13" i="4"/>
  <c r="AA13" i="4"/>
  <c r="A13" i="4"/>
  <c r="B13" i="4" s="1"/>
  <c r="AD12" i="4"/>
  <c r="AP12" i="4"/>
  <c r="AQ12" i="4" s="1"/>
  <c r="AQ172" i="13"/>
  <c r="AP195" i="13"/>
  <c r="AS90" i="13"/>
  <c r="AR94" i="13"/>
  <c r="AQ146" i="13"/>
  <c r="AQ100" i="13"/>
  <c r="AQ95" i="13"/>
  <c r="P3" i="11"/>
  <c r="O4" i="11"/>
  <c r="C79" i="6"/>
  <c r="A80" i="6"/>
  <c r="B79" i="6"/>
  <c r="B79" i="1"/>
  <c r="C79" i="1"/>
  <c r="A80" i="1"/>
  <c r="A74" i="3"/>
  <c r="C73" i="3"/>
  <c r="B73" i="3"/>
  <c r="N46" i="4"/>
  <c r="A45" i="4"/>
  <c r="B45" i="4" s="1"/>
  <c r="O45" i="4"/>
  <c r="AA45" i="4"/>
  <c r="AP44" i="4"/>
  <c r="AQ44" i="4" s="1"/>
  <c r="AD44" i="4"/>
  <c r="I29" i="17"/>
  <c r="I60" i="18"/>
  <c r="T4" i="19" l="1"/>
  <c r="S1" i="19"/>
  <c r="S6" i="19" s="1"/>
  <c r="S3" i="19"/>
  <c r="A203" i="17"/>
  <c r="A152" i="18"/>
  <c r="A153" i="18" s="1"/>
  <c r="A154" i="18" s="1"/>
  <c r="A155" i="18" s="1"/>
  <c r="A156" i="18" s="1"/>
  <c r="A157" i="18" s="1"/>
  <c r="A158" i="18" s="1"/>
  <c r="A159" i="18" s="1"/>
  <c r="A160" i="18" s="1"/>
  <c r="A161" i="18" s="1"/>
  <c r="A162" i="18" s="1"/>
  <c r="A163" i="18" s="1"/>
  <c r="A164" i="18" s="1"/>
  <c r="A165" i="18" s="1"/>
  <c r="A166" i="18" s="1"/>
  <c r="A167" i="18" s="1"/>
  <c r="A168" i="18" s="1"/>
  <c r="A169" i="18" s="1"/>
  <c r="A170" i="18" s="1"/>
  <c r="A171" i="18" s="1"/>
  <c r="L195" i="17"/>
  <c r="K196" i="17"/>
  <c r="L165" i="17"/>
  <c r="K166" i="17"/>
  <c r="E147" i="17"/>
  <c r="L134" i="17"/>
  <c r="K135" i="17"/>
  <c r="L104" i="17"/>
  <c r="K105" i="17"/>
  <c r="G114" i="17"/>
  <c r="E115" i="17"/>
  <c r="L42" i="17"/>
  <c r="K43" i="17"/>
  <c r="R15" i="17"/>
  <c r="O15" i="17"/>
  <c r="P15" i="17"/>
  <c r="S15" i="17"/>
  <c r="T15" i="17"/>
  <c r="U15" i="17" s="1"/>
  <c r="N16" i="17"/>
  <c r="F15" i="17"/>
  <c r="H14" i="17"/>
  <c r="L15" i="17"/>
  <c r="K16" i="17"/>
  <c r="C203" i="17"/>
  <c r="C174" i="17"/>
  <c r="C142" i="17"/>
  <c r="C113" i="17"/>
  <c r="C85" i="17"/>
  <c r="C50" i="17"/>
  <c r="Q6" i="17"/>
  <c r="J6" i="17"/>
  <c r="M6" i="17" s="1"/>
  <c r="Q8" i="17"/>
  <c r="J8" i="17"/>
  <c r="M8" i="17" s="1"/>
  <c r="I9" i="17"/>
  <c r="Q12" i="17"/>
  <c r="J12" i="17"/>
  <c r="M12" i="17" s="1"/>
  <c r="I13" i="17"/>
  <c r="J29" i="17"/>
  <c r="M29" i="17" s="1"/>
  <c r="I30" i="17"/>
  <c r="K196" i="18"/>
  <c r="L165" i="18"/>
  <c r="K166" i="18"/>
  <c r="L134" i="18"/>
  <c r="K135" i="18"/>
  <c r="E146" i="18"/>
  <c r="L104" i="18"/>
  <c r="K105" i="18"/>
  <c r="K28" i="18"/>
  <c r="L27" i="18"/>
  <c r="R15" i="18"/>
  <c r="S15" i="18"/>
  <c r="P15" i="18"/>
  <c r="N16" i="18"/>
  <c r="O15" i="18"/>
  <c r="T15" i="18"/>
  <c r="U15" i="18" s="1"/>
  <c r="C51" i="18"/>
  <c r="F15" i="18"/>
  <c r="H14" i="18"/>
  <c r="C83" i="18"/>
  <c r="C107" i="18"/>
  <c r="C134" i="18"/>
  <c r="C189" i="18"/>
  <c r="Q5" i="18"/>
  <c r="J5" i="18"/>
  <c r="M5" i="18" s="1"/>
  <c r="I6" i="18"/>
  <c r="Q13" i="18"/>
  <c r="J13" i="18"/>
  <c r="M13" i="18" s="1"/>
  <c r="I14" i="18"/>
  <c r="I31" i="18"/>
  <c r="J30" i="18"/>
  <c r="G142" i="18"/>
  <c r="G143" i="18" s="1"/>
  <c r="G144" i="18" s="1"/>
  <c r="G145" i="18" s="1"/>
  <c r="J60" i="18"/>
  <c r="I61" i="18"/>
  <c r="J61" i="18" s="1"/>
  <c r="I62" i="18"/>
  <c r="J62" i="18" s="1"/>
  <c r="I63" i="18"/>
  <c r="J63" i="18" s="1"/>
  <c r="I64" i="18"/>
  <c r="J64" i="18" s="1"/>
  <c r="I65" i="18"/>
  <c r="J65" i="18" s="1"/>
  <c r="I66" i="18"/>
  <c r="J66" i="18" s="1"/>
  <c r="I67" i="18"/>
  <c r="J67" i="18" s="1"/>
  <c r="I68" i="18"/>
  <c r="J68" i="18" s="1"/>
  <c r="I69" i="18"/>
  <c r="J69" i="18" s="1"/>
  <c r="I70" i="18"/>
  <c r="J70" i="18" s="1"/>
  <c r="I71" i="18"/>
  <c r="J71" i="18" s="1"/>
  <c r="I72" i="18"/>
  <c r="J72" i="18" s="1"/>
  <c r="I73" i="18"/>
  <c r="J73" i="18" s="1"/>
  <c r="I74" i="18"/>
  <c r="J74" i="18" s="1"/>
  <c r="I75" i="18"/>
  <c r="J75" i="18" s="1"/>
  <c r="I76" i="18"/>
  <c r="J76" i="18" s="1"/>
  <c r="I77" i="18"/>
  <c r="J77" i="18" s="1"/>
  <c r="I78" i="18"/>
  <c r="J78" i="18" s="1"/>
  <c r="I79" i="18"/>
  <c r="J79" i="18" s="1"/>
  <c r="I80" i="18"/>
  <c r="J80" i="18" s="1"/>
  <c r="I81" i="18"/>
  <c r="J81" i="18" s="1"/>
  <c r="I82" i="18"/>
  <c r="J82" i="18" s="1"/>
  <c r="I83" i="18"/>
  <c r="I84" i="18"/>
  <c r="I85" i="18"/>
  <c r="I86" i="18"/>
  <c r="I87" i="18"/>
  <c r="J87" i="18" s="1"/>
  <c r="I88" i="18"/>
  <c r="J88" i="18" s="1"/>
  <c r="I89" i="18"/>
  <c r="J89" i="18" s="1"/>
  <c r="I90" i="18"/>
  <c r="X310" i="13"/>
  <c r="Y205" i="13"/>
  <c r="Y213" i="13" s="1"/>
  <c r="W328" i="13"/>
  <c r="V307" i="13"/>
  <c r="V325" i="13" s="1"/>
  <c r="W202" i="13"/>
  <c r="W210" i="13" s="1"/>
  <c r="W201" i="13"/>
  <c r="W209" i="13" s="1"/>
  <c r="V306" i="13"/>
  <c r="V216" i="13"/>
  <c r="U324" i="13"/>
  <c r="U330" i="13" s="1"/>
  <c r="U312" i="13"/>
  <c r="T331" i="13"/>
  <c r="X204" i="13"/>
  <c r="X212" i="13" s="1"/>
  <c r="W309" i="13"/>
  <c r="V327" i="13"/>
  <c r="W321" i="13"/>
  <c r="W221" i="13"/>
  <c r="W301" i="13"/>
  <c r="W326" i="13"/>
  <c r="AB170" i="13"/>
  <c r="AA193" i="13"/>
  <c r="AB171" i="13"/>
  <c r="AA194" i="13"/>
  <c r="AA288" i="13" s="1"/>
  <c r="X308" i="13"/>
  <c r="Y203" i="13"/>
  <c r="Y211" i="13" s="1"/>
  <c r="AD76" i="13"/>
  <c r="AC45" i="13"/>
  <c r="AC82" i="13"/>
  <c r="AB147" i="13"/>
  <c r="AC174" i="13"/>
  <c r="AB197" i="13"/>
  <c r="X188" i="13"/>
  <c r="X319" i="13"/>
  <c r="X257" i="13"/>
  <c r="X299" i="13" s="1"/>
  <c r="X320" i="13"/>
  <c r="X329" i="13" s="1"/>
  <c r="X258" i="13"/>
  <c r="X300" i="13" s="1"/>
  <c r="X318" i="13"/>
  <c r="X256" i="13"/>
  <c r="X298" i="13" s="1"/>
  <c r="X187" i="13"/>
  <c r="X317" i="13"/>
  <c r="X186" i="13"/>
  <c r="X255" i="13"/>
  <c r="X297" i="13" s="1"/>
  <c r="X316" i="13"/>
  <c r="X254" i="13"/>
  <c r="X296" i="13" s="1"/>
  <c r="X185" i="13"/>
  <c r="X315" i="13"/>
  <c r="X253" i="13"/>
  <c r="X295" i="13" s="1"/>
  <c r="X184" i="13"/>
  <c r="Z158" i="13"/>
  <c r="Z102" i="13"/>
  <c r="Y156" i="13"/>
  <c r="Y168" i="13" s="1"/>
  <c r="Y155" i="13"/>
  <c r="Y167" i="13" s="1"/>
  <c r="Y154" i="13"/>
  <c r="Y166" i="13" s="1"/>
  <c r="Y153" i="13"/>
  <c r="Y165" i="13" s="1"/>
  <c r="Y152" i="13"/>
  <c r="Y164" i="13" s="1"/>
  <c r="Y151" i="13"/>
  <c r="Y163" i="13" s="1"/>
  <c r="AC133" i="13"/>
  <c r="Z134" i="13"/>
  <c r="AA206" i="13"/>
  <c r="AA214" i="13" s="1"/>
  <c r="Z311" i="13"/>
  <c r="X140" i="13"/>
  <c r="Y140" i="13" s="1"/>
  <c r="AC59" i="13"/>
  <c r="AB103" i="13" a="1"/>
  <c r="AB104" i="13" a="1"/>
  <c r="AA106" i="13"/>
  <c r="AA142" i="13"/>
  <c r="B48" i="6"/>
  <c r="C48" i="6"/>
  <c r="A49" i="6"/>
  <c r="B48" i="1"/>
  <c r="C48" i="1"/>
  <c r="A49" i="1"/>
  <c r="A43" i="3"/>
  <c r="C42" i="3"/>
  <c r="N15" i="4"/>
  <c r="B42" i="3"/>
  <c r="O14" i="4"/>
  <c r="AA14" i="4"/>
  <c r="A14" i="4"/>
  <c r="B14" i="4" s="1"/>
  <c r="AD13" i="4"/>
  <c r="AP13" i="4"/>
  <c r="AQ13" i="4" s="1"/>
  <c r="AS94" i="13"/>
  <c r="AT90" i="13"/>
  <c r="AR146" i="13"/>
  <c r="AR100" i="13"/>
  <c r="AR95" i="13"/>
  <c r="AR172" i="13"/>
  <c r="AQ195" i="13"/>
  <c r="P4" i="11"/>
  <c r="Q3" i="11"/>
  <c r="A81" i="6"/>
  <c r="C80" i="6"/>
  <c r="B80" i="6"/>
  <c r="B80" i="1"/>
  <c r="C80" i="1"/>
  <c r="A81" i="1"/>
  <c r="A75" i="3"/>
  <c r="C74" i="3"/>
  <c r="N47" i="4"/>
  <c r="B74" i="3"/>
  <c r="AA46" i="4"/>
  <c r="A46" i="4"/>
  <c r="B46" i="4" s="1"/>
  <c r="O46" i="4"/>
  <c r="AP45" i="4"/>
  <c r="AQ45" i="4" s="1"/>
  <c r="AD45" i="4"/>
  <c r="I60" i="17"/>
  <c r="I91" i="18"/>
  <c r="T1" i="19" l="1"/>
  <c r="T6" i="19" s="1"/>
  <c r="T3" i="19"/>
  <c r="U4" i="19"/>
  <c r="A204" i="17"/>
  <c r="A172" i="18"/>
  <c r="A173" i="18" s="1"/>
  <c r="G146" i="18"/>
  <c r="G115" i="17"/>
  <c r="G116" i="17" s="1"/>
  <c r="G117" i="17" s="1"/>
  <c r="J83" i="18"/>
  <c r="L196" i="17"/>
  <c r="K197" i="17"/>
  <c r="L166" i="17"/>
  <c r="K167" i="17"/>
  <c r="E148" i="17"/>
  <c r="L135" i="17"/>
  <c r="K136" i="17"/>
  <c r="L105" i="17"/>
  <c r="K106" i="17"/>
  <c r="E118" i="17"/>
  <c r="L43" i="17"/>
  <c r="K44" i="17"/>
  <c r="R16" i="17"/>
  <c r="S16" i="17"/>
  <c r="O16" i="17"/>
  <c r="P16" i="17"/>
  <c r="T16" i="17"/>
  <c r="U16" i="17" s="1"/>
  <c r="N17" i="17"/>
  <c r="F16" i="17"/>
  <c r="H15" i="17"/>
  <c r="L16" i="17"/>
  <c r="K17" i="17"/>
  <c r="C204" i="17"/>
  <c r="C175" i="17"/>
  <c r="C146" i="17"/>
  <c r="C114" i="17"/>
  <c r="C86" i="17"/>
  <c r="C51" i="17"/>
  <c r="Q9" i="17"/>
  <c r="J9" i="17"/>
  <c r="M9" i="17" s="1"/>
  <c r="I10" i="17"/>
  <c r="Q13" i="17"/>
  <c r="J13" i="17"/>
  <c r="M13" i="17" s="1"/>
  <c r="I14" i="17"/>
  <c r="J30" i="17"/>
  <c r="M30" i="17" s="1"/>
  <c r="I31" i="17"/>
  <c r="J60" i="17"/>
  <c r="I61" i="17"/>
  <c r="J61" i="17" s="1"/>
  <c r="I62" i="17"/>
  <c r="J62" i="17" s="1"/>
  <c r="I63" i="17"/>
  <c r="J63" i="17" s="1"/>
  <c r="I64" i="17"/>
  <c r="J64" i="17" s="1"/>
  <c r="I65" i="17"/>
  <c r="J65" i="17" s="1"/>
  <c r="I66" i="17"/>
  <c r="J66" i="17" s="1"/>
  <c r="I67" i="17"/>
  <c r="J67" i="17" s="1"/>
  <c r="I68" i="17"/>
  <c r="J68" i="17" s="1"/>
  <c r="I69" i="17"/>
  <c r="J69" i="17" s="1"/>
  <c r="I70" i="17"/>
  <c r="J70" i="17" s="1"/>
  <c r="I71" i="17"/>
  <c r="J71" i="17" s="1"/>
  <c r="I72" i="17"/>
  <c r="J72" i="17" s="1"/>
  <c r="I73" i="17"/>
  <c r="J73" i="17" s="1"/>
  <c r="I74" i="17"/>
  <c r="J74" i="17" s="1"/>
  <c r="I75" i="17"/>
  <c r="J75" i="17" s="1"/>
  <c r="I76" i="17"/>
  <c r="J76" i="17" s="1"/>
  <c r="I77" i="17"/>
  <c r="J77" i="17" s="1"/>
  <c r="I78" i="17"/>
  <c r="J78" i="17" s="1"/>
  <c r="I79" i="17"/>
  <c r="J79" i="17" s="1"/>
  <c r="I80" i="17"/>
  <c r="J80" i="17" s="1"/>
  <c r="I81" i="17"/>
  <c r="J81" i="17" s="1"/>
  <c r="I82" i="17"/>
  <c r="J82" i="17" s="1"/>
  <c r="I83" i="17"/>
  <c r="J83" i="17" s="1"/>
  <c r="I84" i="17"/>
  <c r="J84" i="17" s="1"/>
  <c r="I85" i="17"/>
  <c r="J85" i="17" s="1"/>
  <c r="I86" i="17"/>
  <c r="I87" i="17"/>
  <c r="J87" i="17" s="1"/>
  <c r="I88" i="17"/>
  <c r="J88" i="17" s="1"/>
  <c r="I89" i="17"/>
  <c r="J89" i="17" s="1"/>
  <c r="I90" i="17"/>
  <c r="K197" i="18"/>
  <c r="L166" i="18"/>
  <c r="K167" i="18"/>
  <c r="L135" i="18"/>
  <c r="K136" i="18"/>
  <c r="E147" i="18"/>
  <c r="L105" i="18"/>
  <c r="K106" i="18"/>
  <c r="L28" i="18"/>
  <c r="K29" i="18"/>
  <c r="R16" i="18"/>
  <c r="P16" i="18"/>
  <c r="S16" i="18"/>
  <c r="O16" i="18"/>
  <c r="T16" i="18"/>
  <c r="U16" i="18" s="1"/>
  <c r="N17" i="18"/>
  <c r="C55" i="18"/>
  <c r="F16" i="18"/>
  <c r="H15" i="18"/>
  <c r="C84" i="18"/>
  <c r="C111" i="18"/>
  <c r="C135" i="18"/>
  <c r="C190" i="18"/>
  <c r="Q6" i="18"/>
  <c r="J6" i="18"/>
  <c r="M6" i="18" s="1"/>
  <c r="I7" i="18"/>
  <c r="Q14" i="18"/>
  <c r="J14" i="18"/>
  <c r="M14" i="18" s="1"/>
  <c r="I15" i="18"/>
  <c r="I32" i="18"/>
  <c r="J31" i="18"/>
  <c r="J91" i="18"/>
  <c r="M91" i="18" s="1"/>
  <c r="I92" i="18"/>
  <c r="J92" i="18" s="1"/>
  <c r="M92" i="18" s="1"/>
  <c r="I93" i="18"/>
  <c r="J93" i="18" s="1"/>
  <c r="M93" i="18" s="1"/>
  <c r="I94" i="18"/>
  <c r="J94" i="18" s="1"/>
  <c r="M94" i="18" s="1"/>
  <c r="I95" i="18"/>
  <c r="J95" i="18" s="1"/>
  <c r="M95" i="18" s="1"/>
  <c r="I96" i="18"/>
  <c r="J96" i="18" s="1"/>
  <c r="M96" i="18" s="1"/>
  <c r="I97" i="18"/>
  <c r="J97" i="18" s="1"/>
  <c r="M97" i="18" s="1"/>
  <c r="I98" i="18"/>
  <c r="J98" i="18" s="1"/>
  <c r="M98" i="18" s="1"/>
  <c r="I99" i="18"/>
  <c r="J99" i="18" s="1"/>
  <c r="M99" i="18" s="1"/>
  <c r="I100" i="18"/>
  <c r="J100" i="18" s="1"/>
  <c r="M100" i="18" s="1"/>
  <c r="I101" i="18"/>
  <c r="J101" i="18" s="1"/>
  <c r="M101" i="18" s="1"/>
  <c r="I102" i="18"/>
  <c r="J102" i="18" s="1"/>
  <c r="M102" i="18" s="1"/>
  <c r="I103" i="18"/>
  <c r="J103" i="18" s="1"/>
  <c r="M103" i="18" s="1"/>
  <c r="I104" i="18"/>
  <c r="J104" i="18" s="1"/>
  <c r="M104" i="18" s="1"/>
  <c r="I105" i="18"/>
  <c r="J105" i="18" s="1"/>
  <c r="I106" i="18"/>
  <c r="J106" i="18" s="1"/>
  <c r="I107" i="18"/>
  <c r="J107" i="18" s="1"/>
  <c r="I108" i="18"/>
  <c r="J108" i="18" s="1"/>
  <c r="I109" i="18"/>
  <c r="J109" i="18" s="1"/>
  <c r="I110" i="18"/>
  <c r="J110" i="18" s="1"/>
  <c r="I111" i="18"/>
  <c r="I112" i="18"/>
  <c r="I113" i="18"/>
  <c r="I114" i="18"/>
  <c r="I115" i="18"/>
  <c r="J115" i="18" s="1"/>
  <c r="I116" i="18"/>
  <c r="J116" i="18" s="1"/>
  <c r="I117" i="18"/>
  <c r="J117" i="18" s="1"/>
  <c r="I118" i="18"/>
  <c r="I119" i="18"/>
  <c r="I120" i="18"/>
  <c r="X328" i="13"/>
  <c r="Y310" i="13"/>
  <c r="Z205" i="13"/>
  <c r="Z213" i="13" s="1"/>
  <c r="U331" i="13"/>
  <c r="V324" i="13"/>
  <c r="V330" i="13" s="1"/>
  <c r="V312" i="13"/>
  <c r="X202" i="13"/>
  <c r="X210" i="13" s="1"/>
  <c r="W307" i="13"/>
  <c r="X201" i="13"/>
  <c r="X209" i="13" s="1"/>
  <c r="W306" i="13"/>
  <c r="W324" i="13" s="1"/>
  <c r="W216" i="13"/>
  <c r="Y204" i="13"/>
  <c r="Y212" i="13" s="1"/>
  <c r="X309" i="13"/>
  <c r="W327" i="13"/>
  <c r="X326" i="13"/>
  <c r="AA287" i="13"/>
  <c r="Z218" i="13"/>
  <c r="Z217" i="13"/>
  <c r="AB145" i="13"/>
  <c r="AB144" i="13"/>
  <c r="AB196" i="13"/>
  <c r="AC173" i="13"/>
  <c r="Y308" i="13"/>
  <c r="Z203" i="13"/>
  <c r="Z211" i="13" s="1"/>
  <c r="AD78" i="13"/>
  <c r="AD126" i="13"/>
  <c r="AD128" i="13" s="1"/>
  <c r="AC47" i="13"/>
  <c r="AC46" i="13"/>
  <c r="AC83" i="13"/>
  <c r="AC84" i="13" s="1"/>
  <c r="AC99" i="13"/>
  <c r="AC148" i="13"/>
  <c r="Q4" i="11"/>
  <c r="R3" i="11"/>
  <c r="X321" i="13"/>
  <c r="X301" i="13"/>
  <c r="AA158" i="13"/>
  <c r="AA102" i="13"/>
  <c r="Z156" i="13"/>
  <c r="Z168" i="13" s="1"/>
  <c r="Z155" i="13"/>
  <c r="Z167" i="13" s="1"/>
  <c r="Z154" i="13"/>
  <c r="Z166" i="13" s="1"/>
  <c r="Z153" i="13"/>
  <c r="Z165" i="13" s="1"/>
  <c r="Z152" i="13"/>
  <c r="Z164" i="13" s="1"/>
  <c r="Z151" i="13"/>
  <c r="Z163" i="13" s="1"/>
  <c r="Y320" i="13"/>
  <c r="Y329" i="13" s="1"/>
  <c r="Y258" i="13"/>
  <c r="Y300" i="13" s="1"/>
  <c r="Y189" i="13"/>
  <c r="Y257" i="13"/>
  <c r="Y299" i="13" s="1"/>
  <c r="Y319" i="13"/>
  <c r="Y188" i="13"/>
  <c r="Y318" i="13"/>
  <c r="Y256" i="13"/>
  <c r="Y298" i="13" s="1"/>
  <c r="Y187" i="13"/>
  <c r="Y317" i="13"/>
  <c r="Y186" i="13"/>
  <c r="Y255" i="13"/>
  <c r="Y297" i="13" s="1"/>
  <c r="Y316" i="13"/>
  <c r="Y254" i="13"/>
  <c r="Y296" i="13" s="1"/>
  <c r="Y185" i="13"/>
  <c r="Y315" i="13"/>
  <c r="Y253" i="13"/>
  <c r="Y295" i="13" s="1"/>
  <c r="Y184" i="13"/>
  <c r="Z139" i="13"/>
  <c r="Z140" i="13" s="1"/>
  <c r="Z136" i="13"/>
  <c r="AB206" i="13"/>
  <c r="AB214" i="13" s="1"/>
  <c r="AC206" i="13" s="1"/>
  <c r="AC214" i="13" s="1"/>
  <c r="AD206" i="13" s="1"/>
  <c r="AD214" i="13" s="1"/>
  <c r="AA311" i="13"/>
  <c r="AD59" i="13"/>
  <c r="AB106" i="13"/>
  <c r="AB142" i="13"/>
  <c r="B49" i="6"/>
  <c r="C49" i="6"/>
  <c r="A50" i="6"/>
  <c r="B49" i="1"/>
  <c r="C49" i="1"/>
  <c r="A50" i="1"/>
  <c r="A44" i="3"/>
  <c r="C43" i="3"/>
  <c r="B43" i="3"/>
  <c r="N16" i="4"/>
  <c r="O15" i="4"/>
  <c r="AA15" i="4"/>
  <c r="A15" i="4"/>
  <c r="B15" i="4" s="1"/>
  <c r="AD14" i="4"/>
  <c r="AP14" i="4"/>
  <c r="AQ14" i="4" s="1"/>
  <c r="AS146" i="13"/>
  <c r="AS100" i="13"/>
  <c r="AS95" i="13"/>
  <c r="AT94" i="13"/>
  <c r="AU90" i="13"/>
  <c r="AS172" i="13"/>
  <c r="AR195" i="13"/>
  <c r="C81" i="6"/>
  <c r="A82" i="6"/>
  <c r="B81" i="6"/>
  <c r="B81" i="1"/>
  <c r="C81" i="1"/>
  <c r="A82" i="1"/>
  <c r="A76" i="3"/>
  <c r="B75" i="3"/>
  <c r="C75" i="3"/>
  <c r="N48" i="4"/>
  <c r="AA47" i="4"/>
  <c r="A47" i="4"/>
  <c r="B47" i="4" s="1"/>
  <c r="O47" i="4"/>
  <c r="AP46" i="4"/>
  <c r="AQ46" i="4" s="1"/>
  <c r="AD46" i="4"/>
  <c r="I91" i="17"/>
  <c r="V4" i="19" l="1"/>
  <c r="U3" i="19"/>
  <c r="U1" i="19"/>
  <c r="U6" i="19" s="1"/>
  <c r="A205" i="17"/>
  <c r="A174" i="18"/>
  <c r="A175" i="18" s="1"/>
  <c r="A176" i="18" s="1"/>
  <c r="A177" i="18" s="1"/>
  <c r="A178" i="18" s="1"/>
  <c r="A179" i="18" s="1"/>
  <c r="A180" i="18" s="1"/>
  <c r="A181" i="18" s="1"/>
  <c r="A182" i="18" s="1"/>
  <c r="A183" i="18" s="1"/>
  <c r="L197" i="17"/>
  <c r="K198" i="17"/>
  <c r="L167" i="17"/>
  <c r="K168" i="17"/>
  <c r="E149" i="17"/>
  <c r="L136" i="17"/>
  <c r="K137" i="17"/>
  <c r="L106" i="17"/>
  <c r="K107" i="17"/>
  <c r="G118" i="17"/>
  <c r="E119" i="17"/>
  <c r="L44" i="17"/>
  <c r="K45" i="17"/>
  <c r="O17" i="17"/>
  <c r="P17" i="17"/>
  <c r="R17" i="17"/>
  <c r="S17" i="17"/>
  <c r="T17" i="17"/>
  <c r="U17" i="17" s="1"/>
  <c r="N18" i="17"/>
  <c r="F17" i="17"/>
  <c r="H16" i="17"/>
  <c r="L17" i="17"/>
  <c r="K18" i="17"/>
  <c r="C176" i="17"/>
  <c r="C147" i="17"/>
  <c r="C118" i="17"/>
  <c r="C90" i="17"/>
  <c r="C55" i="17"/>
  <c r="Q10" i="17"/>
  <c r="J10" i="17"/>
  <c r="M10" i="17" s="1"/>
  <c r="Q14" i="17"/>
  <c r="J14" i="17"/>
  <c r="M14" i="17" s="1"/>
  <c r="I15" i="17"/>
  <c r="J31" i="17"/>
  <c r="M31" i="17" s="1"/>
  <c r="I32" i="17"/>
  <c r="J86" i="17"/>
  <c r="J91" i="17"/>
  <c r="M91" i="17" s="1"/>
  <c r="I92" i="17"/>
  <c r="J92" i="17" s="1"/>
  <c r="M92" i="17" s="1"/>
  <c r="I93" i="17"/>
  <c r="J93" i="17" s="1"/>
  <c r="M93" i="17" s="1"/>
  <c r="I94" i="17"/>
  <c r="J94" i="17" s="1"/>
  <c r="M94" i="17" s="1"/>
  <c r="I95" i="17"/>
  <c r="J95" i="17" s="1"/>
  <c r="M95" i="17" s="1"/>
  <c r="I96" i="17"/>
  <c r="J96" i="17" s="1"/>
  <c r="M96" i="17" s="1"/>
  <c r="I97" i="17"/>
  <c r="J97" i="17" s="1"/>
  <c r="M97" i="17" s="1"/>
  <c r="I98" i="17"/>
  <c r="J98" i="17" s="1"/>
  <c r="M98" i="17" s="1"/>
  <c r="I99" i="17"/>
  <c r="J99" i="17" s="1"/>
  <c r="M99" i="17" s="1"/>
  <c r="I100" i="17"/>
  <c r="J100" i="17" s="1"/>
  <c r="M100" i="17" s="1"/>
  <c r="I101" i="17"/>
  <c r="J101" i="17" s="1"/>
  <c r="M101" i="17" s="1"/>
  <c r="I102" i="17"/>
  <c r="J102" i="17" s="1"/>
  <c r="M102" i="17" s="1"/>
  <c r="I103" i="17"/>
  <c r="J103" i="17" s="1"/>
  <c r="M103" i="17" s="1"/>
  <c r="I104" i="17"/>
  <c r="J104" i="17" s="1"/>
  <c r="M104" i="17" s="1"/>
  <c r="I105" i="17"/>
  <c r="J105" i="17" s="1"/>
  <c r="M105" i="17" s="1"/>
  <c r="I106" i="17"/>
  <c r="J106" i="17" s="1"/>
  <c r="I107" i="17"/>
  <c r="J107" i="17" s="1"/>
  <c r="I108" i="17"/>
  <c r="J108" i="17" s="1"/>
  <c r="I109" i="17"/>
  <c r="J109" i="17" s="1"/>
  <c r="I110" i="17"/>
  <c r="J110" i="17" s="1"/>
  <c r="I111" i="17"/>
  <c r="J111" i="17" s="1"/>
  <c r="I112" i="17"/>
  <c r="J112" i="17" s="1"/>
  <c r="I113" i="17"/>
  <c r="J113" i="17" s="1"/>
  <c r="I114" i="17"/>
  <c r="J114" i="17" s="1"/>
  <c r="I115" i="17"/>
  <c r="J115" i="17" s="1"/>
  <c r="I116" i="17"/>
  <c r="J116" i="17" s="1"/>
  <c r="I117" i="17"/>
  <c r="J117" i="17" s="1"/>
  <c r="I118" i="17"/>
  <c r="I119" i="17"/>
  <c r="I120" i="17"/>
  <c r="K198" i="18"/>
  <c r="K168" i="18"/>
  <c r="L136" i="18"/>
  <c r="K137" i="18"/>
  <c r="G147" i="18"/>
  <c r="E148" i="18"/>
  <c r="L106" i="18"/>
  <c r="M106" i="18" s="1"/>
  <c r="K107" i="18"/>
  <c r="K30" i="18"/>
  <c r="L29" i="18"/>
  <c r="M29" i="18" s="1"/>
  <c r="P17" i="18"/>
  <c r="S17" i="18"/>
  <c r="N18" i="18"/>
  <c r="O17" i="18"/>
  <c r="R17" i="18"/>
  <c r="T17" i="18"/>
  <c r="U17" i="18" s="1"/>
  <c r="C56" i="18"/>
  <c r="F17" i="18"/>
  <c r="H16" i="18"/>
  <c r="J84" i="18"/>
  <c r="C85" i="18"/>
  <c r="C112" i="18"/>
  <c r="C139" i="18"/>
  <c r="C191" i="18"/>
  <c r="Q7" i="18"/>
  <c r="J7" i="18"/>
  <c r="M7" i="18" s="1"/>
  <c r="I8" i="18"/>
  <c r="Q15" i="18"/>
  <c r="J15" i="18"/>
  <c r="M15" i="18" s="1"/>
  <c r="I16" i="18"/>
  <c r="J32" i="18"/>
  <c r="I33" i="18"/>
  <c r="M105" i="18"/>
  <c r="J111" i="18"/>
  <c r="I121" i="18"/>
  <c r="R4" i="11"/>
  <c r="S3" i="11"/>
  <c r="Y328" i="13"/>
  <c r="Z310" i="13"/>
  <c r="AA205" i="13"/>
  <c r="AA213" i="13" s="1"/>
  <c r="V331" i="13"/>
  <c r="W325" i="13"/>
  <c r="W330" i="13" s="1"/>
  <c r="W312" i="13"/>
  <c r="Y202" i="13"/>
  <c r="Y210" i="13" s="1"/>
  <c r="X307" i="13"/>
  <c r="X325" i="13" s="1"/>
  <c r="Y201" i="13"/>
  <c r="Y209" i="13" s="1"/>
  <c r="X216" i="13"/>
  <c r="X306" i="13"/>
  <c r="Y309" i="13"/>
  <c r="Y327" i="13" s="1"/>
  <c r="Z204" i="13"/>
  <c r="Z212" i="13" s="1"/>
  <c r="X327" i="13"/>
  <c r="AC104" i="13" a="1"/>
  <c r="AC103" i="13" a="1"/>
  <c r="Y326" i="13"/>
  <c r="Z308" i="13"/>
  <c r="AA203" i="13"/>
  <c r="AA211" i="13" s="1"/>
  <c r="AD45" i="13"/>
  <c r="AE76" i="13"/>
  <c r="AD82" i="13"/>
  <c r="AC147" i="13"/>
  <c r="AD174" i="13"/>
  <c r="AC197" i="13"/>
  <c r="AC171" i="13"/>
  <c r="AB194" i="13"/>
  <c r="AC170" i="13"/>
  <c r="AB193" i="13"/>
  <c r="AA154" i="13"/>
  <c r="AA166" i="13" s="1"/>
  <c r="AA156" i="13"/>
  <c r="AA168" i="13" s="1"/>
  <c r="AA153" i="13"/>
  <c r="AA165" i="13" s="1"/>
  <c r="AA151" i="13"/>
  <c r="AA163" i="13" s="1"/>
  <c r="AA155" i="13"/>
  <c r="AA167" i="13" s="1"/>
  <c r="AA152" i="13"/>
  <c r="AA164" i="13" s="1"/>
  <c r="Y321" i="13"/>
  <c r="Y301" i="13"/>
  <c r="Z320" i="13"/>
  <c r="Z329" i="13" s="1"/>
  <c r="Z258" i="13"/>
  <c r="Z300" i="13" s="1"/>
  <c r="Z189" i="13"/>
  <c r="Z319" i="13"/>
  <c r="Z257" i="13"/>
  <c r="Z299" i="13" s="1"/>
  <c r="Z188" i="13"/>
  <c r="Z318" i="13"/>
  <c r="Z256" i="13"/>
  <c r="Z298" i="13" s="1"/>
  <c r="Z187" i="13"/>
  <c r="Z317" i="13"/>
  <c r="Z186" i="13"/>
  <c r="Z255" i="13"/>
  <c r="Z297" i="13" s="1"/>
  <c r="Z254" i="13"/>
  <c r="Z296" i="13" s="1"/>
  <c r="Z316" i="13"/>
  <c r="Z185" i="13"/>
  <c r="Z253" i="13"/>
  <c r="Z295" i="13" s="1"/>
  <c r="Z184" i="13"/>
  <c r="Z315" i="13"/>
  <c r="AA134" i="13"/>
  <c r="AD133" i="13"/>
  <c r="AE206" i="13"/>
  <c r="AE214" i="13" s="1"/>
  <c r="AE59" i="13"/>
  <c r="B50" i="6"/>
  <c r="C50" i="6"/>
  <c r="A51" i="6"/>
  <c r="B50" i="1"/>
  <c r="C50" i="1"/>
  <c r="A51" i="1"/>
  <c r="A45" i="3"/>
  <c r="B44" i="3"/>
  <c r="C44" i="3"/>
  <c r="N17" i="4"/>
  <c r="O16" i="4"/>
  <c r="AA16" i="4"/>
  <c r="A16" i="4"/>
  <c r="B16" i="4" s="1"/>
  <c r="AD15" i="4"/>
  <c r="AP15" i="4"/>
  <c r="AQ15" i="4" s="1"/>
  <c r="AT172" i="13"/>
  <c r="AS195" i="13"/>
  <c r="AT146" i="13"/>
  <c r="AT100" i="13"/>
  <c r="AT95" i="13"/>
  <c r="AU94" i="13"/>
  <c r="AV90" i="13"/>
  <c r="AB102" i="13"/>
  <c r="AB158" i="13"/>
  <c r="A83" i="6"/>
  <c r="B82" i="6"/>
  <c r="C82" i="6"/>
  <c r="B82" i="1"/>
  <c r="C82" i="1"/>
  <c r="A83" i="1"/>
  <c r="A77" i="3"/>
  <c r="N49" i="4"/>
  <c r="C76" i="3"/>
  <c r="B76" i="3"/>
  <c r="AA48" i="4"/>
  <c r="A48" i="4"/>
  <c r="B48" i="4" s="1"/>
  <c r="O48" i="4"/>
  <c r="AP47" i="4"/>
  <c r="AQ47" i="4" s="1"/>
  <c r="AD47" i="4"/>
  <c r="I152" i="18"/>
  <c r="V3" i="19" l="1"/>
  <c r="W4" i="19"/>
  <c r="V1" i="19"/>
  <c r="V6" i="19" s="1"/>
  <c r="A206" i="17"/>
  <c r="A207" i="17" s="1"/>
  <c r="A208" i="17" s="1"/>
  <c r="A184" i="18"/>
  <c r="G119" i="17"/>
  <c r="L198" i="17"/>
  <c r="K199" i="17"/>
  <c r="L168" i="17"/>
  <c r="K169" i="17"/>
  <c r="L137" i="17"/>
  <c r="K138" i="17"/>
  <c r="L107" i="17"/>
  <c r="M107" i="17" s="1"/>
  <c r="K108" i="17"/>
  <c r="E120" i="17"/>
  <c r="L45" i="17"/>
  <c r="K46" i="17"/>
  <c r="R18" i="17"/>
  <c r="O18" i="17"/>
  <c r="P18" i="17"/>
  <c r="S18" i="17"/>
  <c r="T18" i="17"/>
  <c r="U18" i="17" s="1"/>
  <c r="N19" i="17"/>
  <c r="F18" i="17"/>
  <c r="H17" i="17"/>
  <c r="L18" i="17"/>
  <c r="K19" i="17"/>
  <c r="C181" i="17"/>
  <c r="C148" i="17"/>
  <c r="C119" i="17"/>
  <c r="J90" i="17"/>
  <c r="C56" i="17"/>
  <c r="Q15" i="17"/>
  <c r="J15" i="17"/>
  <c r="M15" i="17" s="1"/>
  <c r="I16" i="17"/>
  <c r="J32" i="17"/>
  <c r="M32" i="17" s="1"/>
  <c r="I33" i="17"/>
  <c r="M106" i="17"/>
  <c r="J118" i="17"/>
  <c r="G148" i="18"/>
  <c r="I121" i="17"/>
  <c r="K199" i="18"/>
  <c r="K169" i="18"/>
  <c r="L137" i="18"/>
  <c r="K138" i="18"/>
  <c r="E149" i="18"/>
  <c r="L107" i="18"/>
  <c r="M107" i="18" s="1"/>
  <c r="K108" i="18"/>
  <c r="L30" i="18"/>
  <c r="M30" i="18" s="1"/>
  <c r="K31" i="18"/>
  <c r="R18" i="18"/>
  <c r="P18" i="18"/>
  <c r="T18" i="18"/>
  <c r="U18" i="18" s="1"/>
  <c r="N19" i="18"/>
  <c r="O18" i="18"/>
  <c r="S18" i="18"/>
  <c r="C57" i="18"/>
  <c r="F18" i="18"/>
  <c r="H17" i="18"/>
  <c r="J85" i="18"/>
  <c r="C86" i="18"/>
  <c r="J112" i="18"/>
  <c r="C113" i="18"/>
  <c r="C140" i="18"/>
  <c r="C195" i="18"/>
  <c r="Q8" i="18"/>
  <c r="J8" i="18"/>
  <c r="M8" i="18" s="1"/>
  <c r="I9" i="18"/>
  <c r="Q16" i="18"/>
  <c r="J16" i="18"/>
  <c r="M16" i="18" s="1"/>
  <c r="I17" i="18"/>
  <c r="J33" i="18"/>
  <c r="I34" i="18"/>
  <c r="J121" i="18"/>
  <c r="M121" i="18" s="1"/>
  <c r="I122" i="18"/>
  <c r="J122" i="18" s="1"/>
  <c r="M122" i="18" s="1"/>
  <c r="I123" i="18"/>
  <c r="J123" i="18" s="1"/>
  <c r="M123" i="18" s="1"/>
  <c r="I124" i="18"/>
  <c r="J124" i="18" s="1"/>
  <c r="M124" i="18" s="1"/>
  <c r="I125" i="18"/>
  <c r="J125" i="18" s="1"/>
  <c r="M125" i="18" s="1"/>
  <c r="I126" i="18"/>
  <c r="J126" i="18" s="1"/>
  <c r="M126" i="18" s="1"/>
  <c r="I127" i="18"/>
  <c r="J127" i="18" s="1"/>
  <c r="M127" i="18" s="1"/>
  <c r="I128" i="18"/>
  <c r="J128" i="18" s="1"/>
  <c r="M128" i="18" s="1"/>
  <c r="I129" i="18"/>
  <c r="J129" i="18" s="1"/>
  <c r="M129" i="18" s="1"/>
  <c r="I130" i="18"/>
  <c r="J130" i="18" s="1"/>
  <c r="M130" i="18" s="1"/>
  <c r="I131" i="18"/>
  <c r="J131" i="18" s="1"/>
  <c r="M131" i="18" s="1"/>
  <c r="I132" i="18"/>
  <c r="J132" i="18" s="1"/>
  <c r="M132" i="18" s="1"/>
  <c r="I133" i="18"/>
  <c r="J133" i="18" s="1"/>
  <c r="M133" i="18" s="1"/>
  <c r="I134" i="18"/>
  <c r="J134" i="18" s="1"/>
  <c r="M134" i="18" s="1"/>
  <c r="I135" i="18"/>
  <c r="J135" i="18" s="1"/>
  <c r="M135" i="18" s="1"/>
  <c r="I136" i="18"/>
  <c r="J136" i="18" s="1"/>
  <c r="M136" i="18" s="1"/>
  <c r="I137" i="18"/>
  <c r="J137" i="18" s="1"/>
  <c r="I138" i="18"/>
  <c r="J138" i="18" s="1"/>
  <c r="I139" i="18"/>
  <c r="J139" i="18" s="1"/>
  <c r="I140" i="18"/>
  <c r="I141" i="18"/>
  <c r="I142" i="18"/>
  <c r="I143" i="18"/>
  <c r="J143" i="18" s="1"/>
  <c r="I144" i="18"/>
  <c r="J144" i="18" s="1"/>
  <c r="I145" i="18"/>
  <c r="J145" i="18" s="1"/>
  <c r="I146" i="18"/>
  <c r="I147" i="18"/>
  <c r="I148" i="18"/>
  <c r="I149" i="18"/>
  <c r="I150" i="18"/>
  <c r="J150" i="18" s="1"/>
  <c r="I151" i="18"/>
  <c r="J151" i="18" s="1"/>
  <c r="J152" i="18"/>
  <c r="M152" i="18" s="1"/>
  <c r="I153" i="18"/>
  <c r="J153" i="18" s="1"/>
  <c r="I154" i="18"/>
  <c r="J154" i="18" s="1"/>
  <c r="I155" i="18"/>
  <c r="J155" i="18" s="1"/>
  <c r="I156" i="18"/>
  <c r="J156" i="18" s="1"/>
  <c r="I157" i="18"/>
  <c r="J157" i="18" s="1"/>
  <c r="M157" i="18" s="1"/>
  <c r="I158" i="18"/>
  <c r="J158" i="18" s="1"/>
  <c r="M158" i="18" s="1"/>
  <c r="I159" i="18"/>
  <c r="J159" i="18" s="1"/>
  <c r="M159" i="18" s="1"/>
  <c r="I160" i="18"/>
  <c r="J160" i="18" s="1"/>
  <c r="I161" i="18"/>
  <c r="J161" i="18" s="1"/>
  <c r="I162" i="18"/>
  <c r="J162" i="18" s="1"/>
  <c r="I163" i="18"/>
  <c r="J163" i="18" s="1"/>
  <c r="I164" i="18"/>
  <c r="J164" i="18" s="1"/>
  <c r="M164" i="18" s="1"/>
  <c r="I165" i="18"/>
  <c r="J165" i="18" s="1"/>
  <c r="M165" i="18" s="1"/>
  <c r="I166" i="18"/>
  <c r="J166" i="18" s="1"/>
  <c r="M166" i="18" s="1"/>
  <c r="I167" i="18"/>
  <c r="J167" i="18" s="1"/>
  <c r="I168" i="18"/>
  <c r="J168" i="18" s="1"/>
  <c r="I169" i="18"/>
  <c r="J169" i="18" s="1"/>
  <c r="I170" i="18"/>
  <c r="J170" i="18" s="1"/>
  <c r="I171" i="18"/>
  <c r="J171" i="18" s="1"/>
  <c r="I172" i="18"/>
  <c r="J172" i="18" s="1"/>
  <c r="I173" i="18"/>
  <c r="J173" i="18" s="1"/>
  <c r="I174" i="18"/>
  <c r="J174" i="18" s="1"/>
  <c r="I175" i="18"/>
  <c r="J175" i="18" s="1"/>
  <c r="I176" i="18"/>
  <c r="J176" i="18" s="1"/>
  <c r="I177" i="18"/>
  <c r="J177" i="18" s="1"/>
  <c r="I178" i="18"/>
  <c r="J178" i="18" s="1"/>
  <c r="I179" i="18"/>
  <c r="J179" i="18" s="1"/>
  <c r="I180" i="18"/>
  <c r="J180" i="18" s="1"/>
  <c r="I181" i="18"/>
  <c r="J181" i="18" s="1"/>
  <c r="S4" i="11"/>
  <c r="T3" i="11"/>
  <c r="Z328" i="13"/>
  <c r="AB205" i="13"/>
  <c r="AB213" i="13" s="1"/>
  <c r="AC205" i="13" s="1"/>
  <c r="AC213" i="13" s="1"/>
  <c r="AA310" i="13"/>
  <c r="W331" i="13"/>
  <c r="Z202" i="13"/>
  <c r="Z210" i="13" s="1"/>
  <c r="Y307" i="13"/>
  <c r="Y325" i="13" s="1"/>
  <c r="Y216" i="13"/>
  <c r="Z201" i="13"/>
  <c r="Z209" i="13" s="1"/>
  <c r="Y306" i="13"/>
  <c r="X324" i="13"/>
  <c r="X330" i="13" s="1"/>
  <c r="X312" i="13"/>
  <c r="AA204" i="13"/>
  <c r="AA212" i="13" s="1"/>
  <c r="Z309" i="13"/>
  <c r="AC106" i="13"/>
  <c r="AC142" i="13"/>
  <c r="Z326" i="13"/>
  <c r="AA308" i="13"/>
  <c r="AB203" i="13"/>
  <c r="AB211" i="13" s="1"/>
  <c r="AC203" i="13" s="1"/>
  <c r="AC211" i="13" s="1"/>
  <c r="AD47" i="13"/>
  <c r="AD46" i="13"/>
  <c r="AC144" i="13"/>
  <c r="AC145" i="13"/>
  <c r="AC196" i="13"/>
  <c r="AD173" i="13"/>
  <c r="AE78" i="13"/>
  <c r="AE126" i="13"/>
  <c r="AE128" i="13" s="1"/>
  <c r="AD83" i="13"/>
  <c r="AD99" i="13"/>
  <c r="AD148" i="13"/>
  <c r="AA218" i="13"/>
  <c r="AA217" i="13"/>
  <c r="AA318" i="13"/>
  <c r="AA256" i="13"/>
  <c r="AA298" i="13" s="1"/>
  <c r="AA187" i="13"/>
  <c r="AA320" i="13"/>
  <c r="AA329" i="13" s="1"/>
  <c r="AA258" i="13"/>
  <c r="AA300" i="13" s="1"/>
  <c r="AA189" i="13"/>
  <c r="AA317" i="13"/>
  <c r="AA186" i="13"/>
  <c r="AA255" i="13"/>
  <c r="AA297" i="13" s="1"/>
  <c r="AA315" i="13"/>
  <c r="AA253" i="13"/>
  <c r="AA295" i="13" s="1"/>
  <c r="AA184" i="13"/>
  <c r="AA319" i="13"/>
  <c r="AA257" i="13"/>
  <c r="AA299" i="13" s="1"/>
  <c r="AA188" i="13"/>
  <c r="AA316" i="13"/>
  <c r="AA254" i="13"/>
  <c r="AA296" i="13" s="1"/>
  <c r="AA185" i="13"/>
  <c r="Z301" i="13"/>
  <c r="Z321" i="13"/>
  <c r="AA139" i="13"/>
  <c r="AA140" i="13" s="1"/>
  <c r="AA136" i="13"/>
  <c r="AF206" i="13"/>
  <c r="AF214" i="13" s="1"/>
  <c r="AF59" i="13"/>
  <c r="B51" i="6"/>
  <c r="C51" i="6"/>
  <c r="A52" i="6"/>
  <c r="B51" i="1"/>
  <c r="C51" i="1"/>
  <c r="A52" i="1"/>
  <c r="A46" i="3"/>
  <c r="C45" i="3"/>
  <c r="N18" i="4"/>
  <c r="B45" i="3"/>
  <c r="O17" i="4"/>
  <c r="AA17" i="4"/>
  <c r="A17" i="4"/>
  <c r="B17" i="4" s="1"/>
  <c r="AD16" i="4"/>
  <c r="AP16" i="4"/>
  <c r="AQ16" i="4" s="1"/>
  <c r="AU172" i="13"/>
  <c r="AT195" i="13"/>
  <c r="AU146" i="13"/>
  <c r="AU100" i="13"/>
  <c r="AU95" i="13"/>
  <c r="AW90" i="13"/>
  <c r="AV94" i="13"/>
  <c r="AB151" i="13"/>
  <c r="AB163" i="13" s="1"/>
  <c r="AB184" i="13" s="1"/>
  <c r="AB152" i="13"/>
  <c r="AB164" i="13" s="1"/>
  <c r="AB185" i="13" s="1"/>
  <c r="AB153" i="13"/>
  <c r="AB165" i="13" s="1"/>
  <c r="AB186" i="13" s="1"/>
  <c r="AB154" i="13"/>
  <c r="AB166" i="13" s="1"/>
  <c r="AB187" i="13" s="1"/>
  <c r="AB155" i="13"/>
  <c r="AB167" i="13" s="1"/>
  <c r="AB188" i="13" s="1"/>
  <c r="AB156" i="13"/>
  <c r="AB168" i="13" s="1"/>
  <c r="AB189" i="13" s="1"/>
  <c r="C83" i="6"/>
  <c r="A84" i="6"/>
  <c r="B83" i="6"/>
  <c r="B83" i="1"/>
  <c r="C83" i="1"/>
  <c r="A84" i="1"/>
  <c r="A78" i="3"/>
  <c r="B77" i="3"/>
  <c r="C77" i="3"/>
  <c r="N50" i="4"/>
  <c r="AA49" i="4"/>
  <c r="A49" i="4"/>
  <c r="B49" i="4" s="1"/>
  <c r="O49" i="4"/>
  <c r="AP48" i="4"/>
  <c r="AQ48" i="4" s="1"/>
  <c r="AD48" i="4"/>
  <c r="I152" i="17"/>
  <c r="I182" i="18"/>
  <c r="X4" i="19" l="1"/>
  <c r="W1" i="19"/>
  <c r="W6" i="19" s="1"/>
  <c r="W3" i="19"/>
  <c r="A209" i="17"/>
  <c r="A210" i="17" s="1"/>
  <c r="A211" i="17" s="1"/>
  <c r="A185" i="18"/>
  <c r="A186" i="18" s="1"/>
  <c r="A187" i="18" s="1"/>
  <c r="A188" i="18" s="1"/>
  <c r="A189" i="18" s="1"/>
  <c r="A190" i="18" s="1"/>
  <c r="A191" i="18" s="1"/>
  <c r="A192" i="18" s="1"/>
  <c r="A193" i="18" s="1"/>
  <c r="A194" i="18" s="1"/>
  <c r="A195" i="18" s="1"/>
  <c r="A196" i="18" s="1"/>
  <c r="A197" i="18" s="1"/>
  <c r="A198" i="18" s="1"/>
  <c r="A199" i="18" s="1"/>
  <c r="L199" i="17"/>
  <c r="K200" i="17"/>
  <c r="L169" i="17"/>
  <c r="K170" i="17"/>
  <c r="L138" i="17"/>
  <c r="K139" i="17"/>
  <c r="L108" i="17"/>
  <c r="M108" i="17" s="1"/>
  <c r="K109" i="17"/>
  <c r="G120" i="17"/>
  <c r="G121" i="17" s="1"/>
  <c r="G122" i="17" s="1"/>
  <c r="G123" i="17" s="1"/>
  <c r="G124" i="17" s="1"/>
  <c r="G125" i="17" s="1"/>
  <c r="G126" i="17" s="1"/>
  <c r="G127" i="17" s="1"/>
  <c r="G128" i="17" s="1"/>
  <c r="G129" i="17" s="1"/>
  <c r="G130" i="17" s="1"/>
  <c r="G131" i="17" s="1"/>
  <c r="G132" i="17" s="1"/>
  <c r="G133" i="17" s="1"/>
  <c r="G134" i="17" s="1"/>
  <c r="G135" i="17" s="1"/>
  <c r="G136" i="17" s="1"/>
  <c r="G137" i="17" s="1"/>
  <c r="G138" i="17" s="1"/>
  <c r="G139" i="17" s="1"/>
  <c r="G140" i="17" s="1"/>
  <c r="G141" i="17" s="1"/>
  <c r="G142" i="17" s="1"/>
  <c r="G143" i="17" s="1"/>
  <c r="G144" i="17" s="1"/>
  <c r="G145" i="17" s="1"/>
  <c r="G146" i="17" s="1"/>
  <c r="G147" i="17" s="1"/>
  <c r="G148" i="17" s="1"/>
  <c r="G149" i="17" s="1"/>
  <c r="G150" i="17" s="1"/>
  <c r="G151" i="17" s="1"/>
  <c r="G152" i="17" s="1"/>
  <c r="G153" i="17" s="1"/>
  <c r="G154" i="17" s="1"/>
  <c r="G155" i="17" s="1"/>
  <c r="G156" i="17" s="1"/>
  <c r="G157" i="17" s="1"/>
  <c r="G158" i="17" s="1"/>
  <c r="G159" i="17" s="1"/>
  <c r="G160" i="17" s="1"/>
  <c r="G161" i="17" s="1"/>
  <c r="G162" i="17" s="1"/>
  <c r="G163" i="17" s="1"/>
  <c r="G164" i="17" s="1"/>
  <c r="G165" i="17" s="1"/>
  <c r="G166" i="17" s="1"/>
  <c r="G167" i="17" s="1"/>
  <c r="G168" i="17" s="1"/>
  <c r="G169" i="17" s="1"/>
  <c r="G170" i="17" s="1"/>
  <c r="G171" i="17" s="1"/>
  <c r="G172" i="17" s="1"/>
  <c r="G173" i="17" s="1"/>
  <c r="G174" i="17" s="1"/>
  <c r="G175" i="17" s="1"/>
  <c r="G176" i="17" s="1"/>
  <c r="G177" i="17" s="1"/>
  <c r="G178" i="17" s="1"/>
  <c r="G179" i="17" s="1"/>
  <c r="G180" i="17" s="1"/>
  <c r="G181" i="17" s="1"/>
  <c r="G182" i="17" s="1"/>
  <c r="G183" i="17" s="1"/>
  <c r="G184" i="17" s="1"/>
  <c r="G185" i="17" s="1"/>
  <c r="G186" i="17" s="1"/>
  <c r="G187" i="17" s="1"/>
  <c r="G188" i="17" s="1"/>
  <c r="G189" i="17" s="1"/>
  <c r="G190" i="17" s="1"/>
  <c r="G191" i="17" s="1"/>
  <c r="G192" i="17" s="1"/>
  <c r="G193" i="17" s="1"/>
  <c r="G194" i="17" s="1"/>
  <c r="G195" i="17" s="1"/>
  <c r="G196" i="17" s="1"/>
  <c r="G197" i="17" s="1"/>
  <c r="G198" i="17" s="1"/>
  <c r="G199" i="17" s="1"/>
  <c r="G200" i="17" s="1"/>
  <c r="G201" i="17" s="1"/>
  <c r="G202" i="17" s="1"/>
  <c r="G203" i="17" s="1"/>
  <c r="G204" i="17" s="1"/>
  <c r="G205" i="17" s="1"/>
  <c r="G206" i="17" s="1"/>
  <c r="G207" i="17" s="1"/>
  <c r="G208" i="17" s="1"/>
  <c r="G209" i="17" s="1"/>
  <c r="G210" i="17" s="1"/>
  <c r="G211" i="17" s="1"/>
  <c r="G212" i="17" s="1"/>
  <c r="L46" i="17"/>
  <c r="K47" i="17"/>
  <c r="O19" i="17"/>
  <c r="P19" i="17"/>
  <c r="R19" i="17"/>
  <c r="S19" i="17"/>
  <c r="T19" i="17"/>
  <c r="U19" i="17" s="1"/>
  <c r="N20" i="17"/>
  <c r="F19" i="17"/>
  <c r="H18" i="17"/>
  <c r="L19" i="17"/>
  <c r="K20" i="17"/>
  <c r="C149" i="17"/>
  <c r="J119" i="17"/>
  <c r="C120" i="17"/>
  <c r="C57" i="17"/>
  <c r="Q16" i="17"/>
  <c r="J16" i="17"/>
  <c r="M16" i="17" s="1"/>
  <c r="I17" i="17"/>
  <c r="J33" i="17"/>
  <c r="M33" i="17" s="1"/>
  <c r="I34" i="17"/>
  <c r="J121" i="17"/>
  <c r="M121" i="17" s="1"/>
  <c r="I122" i="17"/>
  <c r="J122" i="17" s="1"/>
  <c r="M122" i="17" s="1"/>
  <c r="I123" i="17"/>
  <c r="J123" i="17" s="1"/>
  <c r="M123" i="17" s="1"/>
  <c r="I124" i="17"/>
  <c r="J124" i="17" s="1"/>
  <c r="M124" i="17" s="1"/>
  <c r="I125" i="17"/>
  <c r="J125" i="17" s="1"/>
  <c r="M125" i="17" s="1"/>
  <c r="I126" i="17"/>
  <c r="J126" i="17" s="1"/>
  <c r="M126" i="17" s="1"/>
  <c r="I127" i="17"/>
  <c r="J127" i="17" s="1"/>
  <c r="M127" i="17" s="1"/>
  <c r="I128" i="17"/>
  <c r="J128" i="17" s="1"/>
  <c r="M128" i="17" s="1"/>
  <c r="I129" i="17"/>
  <c r="J129" i="17" s="1"/>
  <c r="M129" i="17" s="1"/>
  <c r="I130" i="17"/>
  <c r="J130" i="17" s="1"/>
  <c r="M130" i="17" s="1"/>
  <c r="I131" i="17"/>
  <c r="J131" i="17" s="1"/>
  <c r="M131" i="17" s="1"/>
  <c r="I132" i="17"/>
  <c r="J132" i="17" s="1"/>
  <c r="M132" i="17" s="1"/>
  <c r="I133" i="17"/>
  <c r="J133" i="17" s="1"/>
  <c r="M133" i="17" s="1"/>
  <c r="I134" i="17"/>
  <c r="J134" i="17" s="1"/>
  <c r="M134" i="17" s="1"/>
  <c r="I135" i="17"/>
  <c r="J135" i="17" s="1"/>
  <c r="M135" i="17" s="1"/>
  <c r="I136" i="17"/>
  <c r="J136" i="17" s="1"/>
  <c r="M136" i="17" s="1"/>
  <c r="I137" i="17"/>
  <c r="J137" i="17" s="1"/>
  <c r="M137" i="17" s="1"/>
  <c r="I138" i="17"/>
  <c r="J138" i="17" s="1"/>
  <c r="I139" i="17"/>
  <c r="J139" i="17" s="1"/>
  <c r="I140" i="17"/>
  <c r="J140" i="17" s="1"/>
  <c r="I141" i="17"/>
  <c r="J141" i="17" s="1"/>
  <c r="I142" i="17"/>
  <c r="J142" i="17" s="1"/>
  <c r="I143" i="17"/>
  <c r="J143" i="17" s="1"/>
  <c r="I144" i="17"/>
  <c r="J144" i="17" s="1"/>
  <c r="I145" i="17"/>
  <c r="J145" i="17" s="1"/>
  <c r="I146" i="17"/>
  <c r="J146" i="17" s="1"/>
  <c r="I147" i="17"/>
  <c r="J147" i="17" s="1"/>
  <c r="I148" i="17"/>
  <c r="J148" i="17" s="1"/>
  <c r="I149" i="17"/>
  <c r="I150" i="17"/>
  <c r="J150" i="17" s="1"/>
  <c r="I151" i="17"/>
  <c r="J151" i="17" s="1"/>
  <c r="J152" i="17"/>
  <c r="M152" i="17" s="1"/>
  <c r="I153" i="17"/>
  <c r="J153" i="17" s="1"/>
  <c r="M153" i="17" s="1"/>
  <c r="I154" i="17"/>
  <c r="J154" i="17" s="1"/>
  <c r="M154" i="17" s="1"/>
  <c r="I155" i="17"/>
  <c r="J155" i="17" s="1"/>
  <c r="M155" i="17" s="1"/>
  <c r="I156" i="17"/>
  <c r="J156" i="17" s="1"/>
  <c r="M156" i="17" s="1"/>
  <c r="I157" i="17"/>
  <c r="J157" i="17" s="1"/>
  <c r="M157" i="17" s="1"/>
  <c r="I158" i="17"/>
  <c r="J158" i="17" s="1"/>
  <c r="M158" i="17" s="1"/>
  <c r="I159" i="17"/>
  <c r="J159" i="17" s="1"/>
  <c r="M159" i="17" s="1"/>
  <c r="I160" i="17"/>
  <c r="J160" i="17" s="1"/>
  <c r="M160" i="17" s="1"/>
  <c r="I161" i="17"/>
  <c r="J161" i="17" s="1"/>
  <c r="M161" i="17" s="1"/>
  <c r="I162" i="17"/>
  <c r="J162" i="17" s="1"/>
  <c r="M162" i="17" s="1"/>
  <c r="I163" i="17"/>
  <c r="J163" i="17" s="1"/>
  <c r="M163" i="17" s="1"/>
  <c r="I164" i="17"/>
  <c r="J164" i="17" s="1"/>
  <c r="M164" i="17" s="1"/>
  <c r="I165" i="17"/>
  <c r="J165" i="17" s="1"/>
  <c r="M165" i="17" s="1"/>
  <c r="I166" i="17"/>
  <c r="J166" i="17" s="1"/>
  <c r="M166" i="17" s="1"/>
  <c r="I167" i="17"/>
  <c r="J167" i="17" s="1"/>
  <c r="M167" i="17" s="1"/>
  <c r="I168" i="17"/>
  <c r="J168" i="17" s="1"/>
  <c r="M168" i="17" s="1"/>
  <c r="I169" i="17"/>
  <c r="J169" i="17" s="1"/>
  <c r="I170" i="17"/>
  <c r="J170" i="17" s="1"/>
  <c r="I171" i="17"/>
  <c r="J171" i="17" s="1"/>
  <c r="I172" i="17"/>
  <c r="J172" i="17" s="1"/>
  <c r="I173" i="17"/>
  <c r="J173" i="17" s="1"/>
  <c r="I174" i="17"/>
  <c r="J174" i="17" s="1"/>
  <c r="I175" i="17"/>
  <c r="J175" i="17" s="1"/>
  <c r="I176" i="17"/>
  <c r="J176" i="17" s="1"/>
  <c r="I177" i="17"/>
  <c r="J177" i="17" s="1"/>
  <c r="I178" i="17"/>
  <c r="J178" i="17" s="1"/>
  <c r="I179" i="17"/>
  <c r="J179" i="17" s="1"/>
  <c r="I180" i="17"/>
  <c r="J180" i="17" s="1"/>
  <c r="I181" i="17"/>
  <c r="J181" i="17" s="1"/>
  <c r="L199" i="18"/>
  <c r="K200" i="18"/>
  <c r="K170" i="18"/>
  <c r="L138" i="18"/>
  <c r="M138" i="18" s="1"/>
  <c r="K139" i="18"/>
  <c r="G149" i="18"/>
  <c r="G150" i="18" s="1"/>
  <c r="G151" i="18" s="1"/>
  <c r="G152" i="18" s="1"/>
  <c r="E153" i="18"/>
  <c r="L108" i="18"/>
  <c r="M108" i="18" s="1"/>
  <c r="K109" i="18"/>
  <c r="L31" i="18"/>
  <c r="M31" i="18" s="1"/>
  <c r="K32" i="18"/>
  <c r="P19" i="18"/>
  <c r="S19" i="18"/>
  <c r="N20" i="18"/>
  <c r="O19" i="18"/>
  <c r="R19" i="18"/>
  <c r="T19" i="18"/>
  <c r="U19" i="18" s="1"/>
  <c r="C58" i="18"/>
  <c r="H18" i="18"/>
  <c r="F19" i="18"/>
  <c r="J86" i="18"/>
  <c r="C90" i="18"/>
  <c r="J113" i="18"/>
  <c r="C114" i="18"/>
  <c r="C141" i="18"/>
  <c r="C196" i="18"/>
  <c r="Q9" i="18"/>
  <c r="I10" i="18"/>
  <c r="J9" i="18"/>
  <c r="M9" i="18" s="1"/>
  <c r="Q17" i="18"/>
  <c r="I18" i="18"/>
  <c r="J17" i="18"/>
  <c r="M17" i="18" s="1"/>
  <c r="J34" i="18"/>
  <c r="I35" i="18"/>
  <c r="M137" i="18"/>
  <c r="J140" i="18"/>
  <c r="J182" i="18"/>
  <c r="I183" i="18"/>
  <c r="J183" i="18" s="1"/>
  <c r="I184" i="18"/>
  <c r="J184" i="18" s="1"/>
  <c r="I185" i="18"/>
  <c r="J185" i="18" s="1"/>
  <c r="M185" i="18" s="1"/>
  <c r="I186" i="18"/>
  <c r="J186" i="18" s="1"/>
  <c r="M186" i="18" s="1"/>
  <c r="I187" i="18"/>
  <c r="J187" i="18" s="1"/>
  <c r="M187" i="18" s="1"/>
  <c r="I188" i="18"/>
  <c r="J188" i="18" s="1"/>
  <c r="I189" i="18"/>
  <c r="J189" i="18" s="1"/>
  <c r="I190" i="18"/>
  <c r="J190" i="18" s="1"/>
  <c r="I191" i="18"/>
  <c r="J191" i="18" s="1"/>
  <c r="I192" i="18"/>
  <c r="J192" i="18" s="1"/>
  <c r="M192" i="18" s="1"/>
  <c r="I193" i="18"/>
  <c r="J193" i="18" s="1"/>
  <c r="M193" i="18" s="1"/>
  <c r="I194" i="18"/>
  <c r="J194" i="18" s="1"/>
  <c r="M194" i="18" s="1"/>
  <c r="I195" i="18"/>
  <c r="J195" i="18" s="1"/>
  <c r="I196" i="18"/>
  <c r="I197" i="18"/>
  <c r="I198" i="18"/>
  <c r="I199" i="18"/>
  <c r="J199" i="18" s="1"/>
  <c r="I200" i="18"/>
  <c r="J200" i="18" s="1"/>
  <c r="I201" i="18"/>
  <c r="J201" i="18" s="1"/>
  <c r="I202" i="18"/>
  <c r="I203" i="18"/>
  <c r="I204" i="18"/>
  <c r="I205" i="18"/>
  <c r="J205" i="18" s="1"/>
  <c r="I206" i="18"/>
  <c r="J206" i="18" s="1"/>
  <c r="I207" i="18"/>
  <c r="J207" i="18" s="1"/>
  <c r="I208" i="18"/>
  <c r="J208" i="18" s="1"/>
  <c r="I209" i="18"/>
  <c r="J209" i="18" s="1"/>
  <c r="I210" i="18"/>
  <c r="J210" i="18" s="1"/>
  <c r="I211" i="18"/>
  <c r="J211" i="18" s="1"/>
  <c r="I212" i="18"/>
  <c r="J212" i="18" s="1"/>
  <c r="T4" i="11"/>
  <c r="U3" i="11"/>
  <c r="AA328" i="13"/>
  <c r="X331" i="13"/>
  <c r="AA202" i="13"/>
  <c r="AA210" i="13" s="1"/>
  <c r="Z307" i="13"/>
  <c r="AA201" i="13"/>
  <c r="AA209" i="13" s="1"/>
  <c r="Z306" i="13"/>
  <c r="Z324" i="13" s="1"/>
  <c r="Z216" i="13"/>
  <c r="Y312" i="13"/>
  <c r="Y324" i="13"/>
  <c r="Y330" i="13" s="1"/>
  <c r="AB204" i="13"/>
  <c r="AB212" i="13" s="1"/>
  <c r="AA309" i="13"/>
  <c r="Z327" i="13"/>
  <c r="AC158" i="13"/>
  <c r="AC102" i="13"/>
  <c r="AF76" i="13"/>
  <c r="AE45" i="13"/>
  <c r="AE82" i="13"/>
  <c r="AD147" i="13"/>
  <c r="AE174" i="13"/>
  <c r="AD197" i="13"/>
  <c r="AA326" i="13"/>
  <c r="AD104" i="13" a="1"/>
  <c r="AD103" i="13" a="1"/>
  <c r="AD170" i="13"/>
  <c r="AC193" i="13"/>
  <c r="AC194" i="13"/>
  <c r="AD171" i="13"/>
  <c r="AA321" i="13"/>
  <c r="AA301" i="13"/>
  <c r="AE133" i="13"/>
  <c r="AB134" i="13"/>
  <c r="AG206" i="13"/>
  <c r="AG214" i="13" s="1"/>
  <c r="AD203" i="13"/>
  <c r="AD211" i="13" s="1"/>
  <c r="AD205" i="13"/>
  <c r="AG59" i="13"/>
  <c r="B52" i="6"/>
  <c r="C52" i="6"/>
  <c r="A53" i="6"/>
  <c r="B52" i="1"/>
  <c r="C52" i="1"/>
  <c r="A53" i="1"/>
  <c r="A47" i="3"/>
  <c r="C46" i="3"/>
  <c r="N19" i="4"/>
  <c r="B46" i="3"/>
  <c r="O18" i="4"/>
  <c r="AA18" i="4"/>
  <c r="A18" i="4"/>
  <c r="B18" i="4" s="1"/>
  <c r="AD17" i="4"/>
  <c r="AP17" i="4"/>
  <c r="AQ17" i="4" s="1"/>
  <c r="AV172" i="13"/>
  <c r="AU195" i="13"/>
  <c r="AW94" i="13"/>
  <c r="AX90" i="13"/>
  <c r="AV146" i="13"/>
  <c r="AV100" i="13"/>
  <c r="AV95" i="13"/>
  <c r="A85" i="6"/>
  <c r="C84" i="6"/>
  <c r="B84" i="6"/>
  <c r="B84" i="1"/>
  <c r="C84" i="1"/>
  <c r="A85" i="1"/>
  <c r="A79" i="3"/>
  <c r="C78" i="3"/>
  <c r="B78" i="3"/>
  <c r="N51" i="4"/>
  <c r="A50" i="4"/>
  <c r="B50" i="4" s="1"/>
  <c r="O50" i="4"/>
  <c r="AA50" i="4"/>
  <c r="AP49" i="4"/>
  <c r="AQ49" i="4" s="1"/>
  <c r="AD49" i="4"/>
  <c r="Y4" i="19" l="1"/>
  <c r="X1" i="19"/>
  <c r="X6" i="19" s="1"/>
  <c r="X3" i="19"/>
  <c r="A212" i="17"/>
  <c r="J196" i="18"/>
  <c r="A200" i="18"/>
  <c r="M138" i="17"/>
  <c r="M169" i="17"/>
  <c r="L200" i="17"/>
  <c r="K201" i="17"/>
  <c r="L170" i="17"/>
  <c r="M170" i="17" s="1"/>
  <c r="K171" i="17"/>
  <c r="L139" i="17"/>
  <c r="M139" i="17" s="1"/>
  <c r="K140" i="17"/>
  <c r="L109" i="17"/>
  <c r="M109" i="17" s="1"/>
  <c r="K110" i="17"/>
  <c r="L47" i="17"/>
  <c r="K48" i="17"/>
  <c r="R20" i="17"/>
  <c r="S20" i="17"/>
  <c r="O20" i="17"/>
  <c r="P20" i="17"/>
  <c r="T20" i="17"/>
  <c r="U20" i="17" s="1"/>
  <c r="N21" i="17"/>
  <c r="F20" i="17"/>
  <c r="H19" i="17"/>
  <c r="L20" i="17"/>
  <c r="K21" i="17"/>
  <c r="J120" i="17"/>
  <c r="C58" i="17"/>
  <c r="Q17" i="17"/>
  <c r="J17" i="17"/>
  <c r="M17" i="17" s="1"/>
  <c r="I18" i="17"/>
  <c r="J34" i="17"/>
  <c r="M34" i="17" s="1"/>
  <c r="I35" i="17"/>
  <c r="J149" i="17"/>
  <c r="G153" i="18"/>
  <c r="I182" i="17"/>
  <c r="L200" i="18"/>
  <c r="M200" i="18" s="1"/>
  <c r="K201" i="18"/>
  <c r="K171" i="18"/>
  <c r="L139" i="18"/>
  <c r="M139" i="18" s="1"/>
  <c r="K140" i="18"/>
  <c r="L153" i="18"/>
  <c r="M153" i="18" s="1"/>
  <c r="E154" i="18"/>
  <c r="L109" i="18"/>
  <c r="M109" i="18" s="1"/>
  <c r="K110" i="18"/>
  <c r="L32" i="18"/>
  <c r="M32" i="18" s="1"/>
  <c r="K33" i="18"/>
  <c r="R20" i="18"/>
  <c r="S20" i="18"/>
  <c r="P20" i="18"/>
  <c r="T20" i="18"/>
  <c r="U20" i="18" s="1"/>
  <c r="O20" i="18"/>
  <c r="N21" i="18"/>
  <c r="F20" i="18"/>
  <c r="H19" i="18"/>
  <c r="J90" i="18"/>
  <c r="J114" i="18"/>
  <c r="C118" i="18"/>
  <c r="J141" i="18"/>
  <c r="C142" i="18"/>
  <c r="C197" i="18"/>
  <c r="Q10" i="18"/>
  <c r="J10" i="18"/>
  <c r="M10" i="18" s="1"/>
  <c r="Q18" i="18"/>
  <c r="J18" i="18"/>
  <c r="M18" i="18" s="1"/>
  <c r="I19" i="18"/>
  <c r="I36" i="18"/>
  <c r="J35" i="18"/>
  <c r="M199" i="18"/>
  <c r="U4" i="11"/>
  <c r="V3" i="11"/>
  <c r="W3" i="11" s="1"/>
  <c r="Y331" i="13"/>
  <c r="Z325" i="13"/>
  <c r="Z330" i="13" s="1"/>
  <c r="Z312" i="13"/>
  <c r="AA307" i="13"/>
  <c r="AA325" i="13" s="1"/>
  <c r="AB202" i="13"/>
  <c r="AB210" i="13" s="1"/>
  <c r="AB201" i="13"/>
  <c r="AB209" i="13" s="1"/>
  <c r="AA306" i="13"/>
  <c r="AA216" i="13"/>
  <c r="AC204" i="13"/>
  <c r="AC212" i="13" s="1"/>
  <c r="AA327" i="13"/>
  <c r="AC151" i="13"/>
  <c r="AC163" i="13" s="1"/>
  <c r="AC184" i="13" s="1"/>
  <c r="AC156" i="13"/>
  <c r="AC168" i="13" s="1"/>
  <c r="AC189" i="13" s="1"/>
  <c r="AC155" i="13"/>
  <c r="AC167" i="13" s="1"/>
  <c r="AC188" i="13" s="1"/>
  <c r="AC154" i="13"/>
  <c r="AC166" i="13" s="1"/>
  <c r="AC187" i="13" s="1"/>
  <c r="AC153" i="13"/>
  <c r="AC165" i="13" s="1"/>
  <c r="AC186" i="13" s="1"/>
  <c r="AC152" i="13"/>
  <c r="AC164" i="13" s="1"/>
  <c r="AC185" i="13" s="1"/>
  <c r="AD213" i="13"/>
  <c r="AE205" i="13" s="1"/>
  <c r="AD144" i="13"/>
  <c r="AD145" i="13"/>
  <c r="AD196" i="13"/>
  <c r="AE173" i="13"/>
  <c r="AF78" i="13"/>
  <c r="AF126" i="13"/>
  <c r="AF128" i="13" s="1"/>
  <c r="AE47" i="13"/>
  <c r="AE46" i="13"/>
  <c r="AE83" i="13"/>
  <c r="AE99" i="13"/>
  <c r="AE148" i="13"/>
  <c r="AB136" i="13"/>
  <c r="AB139" i="13"/>
  <c r="AB140" i="13" s="1"/>
  <c r="AD142" i="13"/>
  <c r="AD106" i="13"/>
  <c r="AB217" i="13"/>
  <c r="AB218" i="13"/>
  <c r="AH206" i="13"/>
  <c r="AH214" i="13" s="1"/>
  <c r="AE203" i="13"/>
  <c r="AE211" i="13" s="1"/>
  <c r="AH59" i="13"/>
  <c r="B53" i="6"/>
  <c r="C53" i="6"/>
  <c r="A54" i="6"/>
  <c r="B53" i="1"/>
  <c r="C53" i="1"/>
  <c r="A54" i="1"/>
  <c r="A48" i="3"/>
  <c r="C47" i="3"/>
  <c r="B47" i="3"/>
  <c r="N20" i="4"/>
  <c r="O19" i="4"/>
  <c r="AA19" i="4"/>
  <c r="A19" i="4"/>
  <c r="B19" i="4" s="1"/>
  <c r="AD18" i="4"/>
  <c r="AP18" i="4"/>
  <c r="AQ18" i="4" s="1"/>
  <c r="AW146" i="13"/>
  <c r="AW100" i="13"/>
  <c r="AW95" i="13"/>
  <c r="AX94" i="13"/>
  <c r="AY90" i="13"/>
  <c r="AW172" i="13"/>
  <c r="AV195" i="13"/>
  <c r="B85" i="6"/>
  <c r="A86" i="6"/>
  <c r="C85" i="6"/>
  <c r="B85" i="1"/>
  <c r="C85" i="1"/>
  <c r="A86" i="1"/>
  <c r="A80" i="3"/>
  <c r="C79" i="3"/>
  <c r="B79" i="3"/>
  <c r="N52" i="4"/>
  <c r="O51" i="4"/>
  <c r="AA51" i="4"/>
  <c r="A51" i="4"/>
  <c r="B51" i="4" s="1"/>
  <c r="AD50" i="4"/>
  <c r="AP50" i="4"/>
  <c r="AQ50" i="4" s="1"/>
  <c r="Z4" i="19" l="1"/>
  <c r="Y1" i="19"/>
  <c r="Y6" i="19" s="1"/>
  <c r="Y3" i="19"/>
  <c r="W4" i="11"/>
  <c r="X3" i="11"/>
  <c r="A201" i="18"/>
  <c r="V4" i="11"/>
  <c r="L201" i="17"/>
  <c r="K202" i="17"/>
  <c r="L171" i="17"/>
  <c r="M171" i="17" s="1"/>
  <c r="K172" i="17"/>
  <c r="L140" i="17"/>
  <c r="M140" i="17" s="1"/>
  <c r="K141" i="17"/>
  <c r="L110" i="17"/>
  <c r="M110" i="17" s="1"/>
  <c r="K111" i="17"/>
  <c r="L48" i="17"/>
  <c r="K49" i="17"/>
  <c r="R21" i="17"/>
  <c r="S21" i="17"/>
  <c r="O21" i="17"/>
  <c r="P21" i="17"/>
  <c r="T21" i="17"/>
  <c r="U21" i="17" s="1"/>
  <c r="N22" i="17"/>
  <c r="F21" i="17"/>
  <c r="H20" i="17"/>
  <c r="L21" i="17"/>
  <c r="K22" i="17"/>
  <c r="Q18" i="17"/>
  <c r="J18" i="17"/>
  <c r="M18" i="17" s="1"/>
  <c r="I19" i="17"/>
  <c r="J35" i="17"/>
  <c r="M35" i="17" s="1"/>
  <c r="I36" i="17"/>
  <c r="J182" i="17"/>
  <c r="M182" i="17" s="1"/>
  <c r="I183" i="17"/>
  <c r="J183" i="17" s="1"/>
  <c r="M183" i="17" s="1"/>
  <c r="I184" i="17"/>
  <c r="J184" i="17" s="1"/>
  <c r="M184" i="17" s="1"/>
  <c r="I185" i="17"/>
  <c r="J185" i="17" s="1"/>
  <c r="M185" i="17" s="1"/>
  <c r="I186" i="17"/>
  <c r="J186" i="17" s="1"/>
  <c r="M186" i="17" s="1"/>
  <c r="I187" i="17"/>
  <c r="J187" i="17" s="1"/>
  <c r="M187" i="17" s="1"/>
  <c r="I188" i="17"/>
  <c r="J188" i="17" s="1"/>
  <c r="M188" i="17" s="1"/>
  <c r="I189" i="17"/>
  <c r="J189" i="17" s="1"/>
  <c r="M189" i="17" s="1"/>
  <c r="I190" i="17"/>
  <c r="J190" i="17" s="1"/>
  <c r="M190" i="17" s="1"/>
  <c r="I191" i="17"/>
  <c r="J191" i="17" s="1"/>
  <c r="M191" i="17" s="1"/>
  <c r="I192" i="17"/>
  <c r="J192" i="17" s="1"/>
  <c r="M192" i="17" s="1"/>
  <c r="I193" i="17"/>
  <c r="J193" i="17" s="1"/>
  <c r="M193" i="17" s="1"/>
  <c r="I194" i="17"/>
  <c r="J194" i="17" s="1"/>
  <c r="M194" i="17" s="1"/>
  <c r="I195" i="17"/>
  <c r="J195" i="17" s="1"/>
  <c r="M195" i="17" s="1"/>
  <c r="I196" i="17"/>
  <c r="J196" i="17" s="1"/>
  <c r="M196" i="17" s="1"/>
  <c r="I197" i="17"/>
  <c r="J197" i="17" s="1"/>
  <c r="M197" i="17" s="1"/>
  <c r="I198" i="17"/>
  <c r="J198" i="17" s="1"/>
  <c r="M198" i="17" s="1"/>
  <c r="I199" i="17"/>
  <c r="J199" i="17" s="1"/>
  <c r="M199" i="17" s="1"/>
  <c r="I200" i="17"/>
  <c r="J200" i="17" s="1"/>
  <c r="M200" i="17" s="1"/>
  <c r="I201" i="17"/>
  <c r="J201" i="17" s="1"/>
  <c r="I202" i="17"/>
  <c r="J202" i="17" s="1"/>
  <c r="I203" i="17"/>
  <c r="J203" i="17" s="1"/>
  <c r="I204" i="17"/>
  <c r="J204" i="17" s="1"/>
  <c r="I205" i="17"/>
  <c r="J205" i="17" s="1"/>
  <c r="I206" i="17"/>
  <c r="J206" i="17" s="1"/>
  <c r="I207" i="17"/>
  <c r="J207" i="17" s="1"/>
  <c r="I208" i="17"/>
  <c r="J208" i="17" s="1"/>
  <c r="I209" i="17"/>
  <c r="J209" i="17" s="1"/>
  <c r="I210" i="17"/>
  <c r="J210" i="17" s="1"/>
  <c r="I211" i="17"/>
  <c r="J211" i="17" s="1"/>
  <c r="I212" i="17"/>
  <c r="J212" i="17" s="1"/>
  <c r="L201" i="18"/>
  <c r="M201" i="18" s="1"/>
  <c r="K202" i="18"/>
  <c r="L171" i="18"/>
  <c r="M171" i="18" s="1"/>
  <c r="K172" i="18"/>
  <c r="L140" i="18"/>
  <c r="M140" i="18" s="1"/>
  <c r="K141" i="18"/>
  <c r="G154" i="18"/>
  <c r="L154" i="18"/>
  <c r="M154" i="18" s="1"/>
  <c r="E155" i="18"/>
  <c r="L110" i="18"/>
  <c r="M110" i="18" s="1"/>
  <c r="K111" i="18"/>
  <c r="L33" i="18"/>
  <c r="M33" i="18" s="1"/>
  <c r="K34" i="18"/>
  <c r="R21" i="18"/>
  <c r="S21" i="18"/>
  <c r="P21" i="18"/>
  <c r="T21" i="18"/>
  <c r="U21" i="18" s="1"/>
  <c r="O21" i="18"/>
  <c r="N22" i="18"/>
  <c r="F21" i="18"/>
  <c r="H20" i="18"/>
  <c r="J118" i="18"/>
  <c r="C119" i="18"/>
  <c r="J142" i="18"/>
  <c r="C146" i="18"/>
  <c r="J197" i="18"/>
  <c r="C198" i="18"/>
  <c r="Q19" i="18"/>
  <c r="J19" i="18"/>
  <c r="M19" i="18" s="1"/>
  <c r="I20" i="18"/>
  <c r="J36" i="18"/>
  <c r="I37" i="18"/>
  <c r="Z331" i="13"/>
  <c r="AB216" i="13"/>
  <c r="AC202" i="13"/>
  <c r="AC210" i="13" s="1"/>
  <c r="AC201" i="13"/>
  <c r="AC209" i="13" s="1"/>
  <c r="AA324" i="13"/>
  <c r="AA330" i="13" s="1"/>
  <c r="AA312" i="13"/>
  <c r="AD204" i="13"/>
  <c r="AD212" i="13" s="1"/>
  <c r="AE204" i="13" s="1"/>
  <c r="AE103" i="13" a="1"/>
  <c r="AE104" i="13" a="1"/>
  <c r="AE147" i="13"/>
  <c r="AF174" i="13"/>
  <c r="AE197" i="13"/>
  <c r="AE213" i="13" s="1"/>
  <c r="AF205" i="13" s="1"/>
  <c r="AE170" i="13"/>
  <c r="AD193" i="13"/>
  <c r="AE171" i="13"/>
  <c r="AD194" i="13"/>
  <c r="AG76" i="13"/>
  <c r="AF45" i="13"/>
  <c r="AF82" i="13"/>
  <c r="AD158" i="13"/>
  <c r="AD102" i="13"/>
  <c r="AF133" i="13"/>
  <c r="AC134" i="13"/>
  <c r="AI206" i="13"/>
  <c r="AI214" i="13" s="1"/>
  <c r="AF203" i="13"/>
  <c r="AF211" i="13" s="1"/>
  <c r="AI59" i="13"/>
  <c r="B54" i="6"/>
  <c r="C54" i="6"/>
  <c r="A55" i="6"/>
  <c r="B54" i="1"/>
  <c r="C54" i="1"/>
  <c r="A55" i="1"/>
  <c r="A49" i="3"/>
  <c r="C48" i="3"/>
  <c r="N21" i="4"/>
  <c r="B48" i="3"/>
  <c r="O20" i="4"/>
  <c r="AA20" i="4"/>
  <c r="A20" i="4"/>
  <c r="B20" i="4" s="1"/>
  <c r="AD19" i="4"/>
  <c r="AP19" i="4"/>
  <c r="AQ19" i="4" s="1"/>
  <c r="AX172" i="13"/>
  <c r="AW195" i="13"/>
  <c r="AX146" i="13"/>
  <c r="AX100" i="13"/>
  <c r="AX95" i="13"/>
  <c r="AZ90" i="13"/>
  <c r="AY94" i="13"/>
  <c r="B86" i="6"/>
  <c r="C86" i="6"/>
  <c r="A87" i="6"/>
  <c r="B86" i="1"/>
  <c r="C86" i="1"/>
  <c r="A87" i="1"/>
  <c r="A81" i="3"/>
  <c r="B80" i="3"/>
  <c r="C80" i="3"/>
  <c r="N53" i="4"/>
  <c r="A52" i="4"/>
  <c r="B52" i="4" s="1"/>
  <c r="AA52" i="4"/>
  <c r="O52" i="4"/>
  <c r="AP51" i="4"/>
  <c r="AQ51" i="4" s="1"/>
  <c r="AD51" i="4"/>
  <c r="Z3" i="19" l="1"/>
  <c r="AA4" i="19"/>
  <c r="Z1" i="19"/>
  <c r="Z6" i="19" s="1"/>
  <c r="X4" i="11"/>
  <c r="Y3" i="11"/>
  <c r="A202" i="18"/>
  <c r="L202" i="17"/>
  <c r="M202" i="17" s="1"/>
  <c r="K203" i="17"/>
  <c r="L172" i="17"/>
  <c r="M172" i="17" s="1"/>
  <c r="K173" i="17"/>
  <c r="L141" i="17"/>
  <c r="M141" i="17" s="1"/>
  <c r="K142" i="17"/>
  <c r="L111" i="17"/>
  <c r="M111" i="17" s="1"/>
  <c r="K112" i="17"/>
  <c r="L49" i="17"/>
  <c r="K50" i="17"/>
  <c r="R22" i="17"/>
  <c r="S22" i="17"/>
  <c r="O22" i="17"/>
  <c r="P22" i="17"/>
  <c r="T22" i="17"/>
  <c r="U22" i="17" s="1"/>
  <c r="N23" i="17"/>
  <c r="F22" i="17"/>
  <c r="H21" i="17"/>
  <c r="L22" i="17"/>
  <c r="K23" i="17"/>
  <c r="Q19" i="17"/>
  <c r="J19" i="17"/>
  <c r="M19" i="17" s="1"/>
  <c r="I20" i="17"/>
  <c r="J36" i="17"/>
  <c r="M36" i="17" s="1"/>
  <c r="I37" i="17"/>
  <c r="M201" i="17"/>
  <c r="K203" i="18"/>
  <c r="L172" i="18"/>
  <c r="M172" i="18" s="1"/>
  <c r="K173" i="18"/>
  <c r="L141" i="18"/>
  <c r="M141" i="18" s="1"/>
  <c r="K142" i="18"/>
  <c r="L155" i="18"/>
  <c r="M155" i="18" s="1"/>
  <c r="E156" i="18"/>
  <c r="L111" i="18"/>
  <c r="M111" i="18" s="1"/>
  <c r="K112" i="18"/>
  <c r="L34" i="18"/>
  <c r="M34" i="18" s="1"/>
  <c r="K35" i="18"/>
  <c r="R22" i="18"/>
  <c r="S22" i="18"/>
  <c r="O22" i="18"/>
  <c r="P22" i="18"/>
  <c r="T22" i="18"/>
  <c r="U22" i="18" s="1"/>
  <c r="N23" i="18"/>
  <c r="F22" i="18"/>
  <c r="H21" i="18"/>
  <c r="J119" i="18"/>
  <c r="C120" i="18"/>
  <c r="J146" i="18"/>
  <c r="C147" i="18"/>
  <c r="J198" i="18"/>
  <c r="C202" i="18"/>
  <c r="Q20" i="18"/>
  <c r="J20" i="18"/>
  <c r="M20" i="18" s="1"/>
  <c r="I21" i="18"/>
  <c r="J37" i="18"/>
  <c r="I38" i="18"/>
  <c r="G155" i="18"/>
  <c r="AA331" i="13"/>
  <c r="AD202" i="13"/>
  <c r="AD210" i="13" s="1"/>
  <c r="AE202" i="13" s="1"/>
  <c r="AC216" i="13"/>
  <c r="AD201" i="13"/>
  <c r="AD209" i="13" s="1"/>
  <c r="AC139" i="13"/>
  <c r="AC140" i="13" s="1"/>
  <c r="AC136" i="13"/>
  <c r="AE144" i="13"/>
  <c r="AE145" i="13"/>
  <c r="AE196" i="13"/>
  <c r="AE212" i="13" s="1"/>
  <c r="AF204" i="13" s="1"/>
  <c r="AF173" i="13"/>
  <c r="AE142" i="13"/>
  <c r="AE106" i="13"/>
  <c r="AG78" i="13"/>
  <c r="AG126" i="13"/>
  <c r="AG128" i="13" s="1"/>
  <c r="AF46" i="13"/>
  <c r="AF47" i="13"/>
  <c r="AF99" i="13"/>
  <c r="AF148" i="13"/>
  <c r="AF83" i="13"/>
  <c r="AC218" i="13"/>
  <c r="AC217" i="13"/>
  <c r="AD151" i="13"/>
  <c r="AD163" i="13" s="1"/>
  <c r="AD152" i="13"/>
  <c r="AD164" i="13" s="1"/>
  <c r="AD185" i="13" s="1"/>
  <c r="AD153" i="13"/>
  <c r="AD165" i="13" s="1"/>
  <c r="AD186" i="13" s="1"/>
  <c r="AD154" i="13"/>
  <c r="AD166" i="13" s="1"/>
  <c r="AD187" i="13" s="1"/>
  <c r="AD155" i="13"/>
  <c r="AD167" i="13" s="1"/>
  <c r="AD188" i="13" s="1"/>
  <c r="AD156" i="13"/>
  <c r="AD168" i="13" s="1"/>
  <c r="AD189" i="13" s="1"/>
  <c r="AJ206" i="13"/>
  <c r="AJ214" i="13" s="1"/>
  <c r="AG203" i="13"/>
  <c r="AG211" i="13" s="1"/>
  <c r="AJ59" i="13"/>
  <c r="B55" i="6"/>
  <c r="C55" i="6"/>
  <c r="A56" i="6"/>
  <c r="B55" i="1"/>
  <c r="C55" i="1"/>
  <c r="A56" i="1"/>
  <c r="A50" i="3"/>
  <c r="C49" i="3"/>
  <c r="B49" i="3"/>
  <c r="N22" i="4"/>
  <c r="O21" i="4"/>
  <c r="AA21" i="4"/>
  <c r="A21" i="4"/>
  <c r="B21" i="4" s="1"/>
  <c r="AD20" i="4"/>
  <c r="AP20" i="4"/>
  <c r="AQ20" i="4" s="1"/>
  <c r="AY172" i="13"/>
  <c r="AX195" i="13"/>
  <c r="AZ94" i="13"/>
  <c r="BA90" i="13"/>
  <c r="BA94" i="13" s="1"/>
  <c r="AY146" i="13"/>
  <c r="AY100" i="13"/>
  <c r="AY95" i="13"/>
  <c r="C87" i="6"/>
  <c r="B87" i="6"/>
  <c r="A88" i="6"/>
  <c r="B87" i="1"/>
  <c r="C87" i="1"/>
  <c r="A88" i="1"/>
  <c r="A82" i="3"/>
  <c r="B81" i="3"/>
  <c r="C81" i="3"/>
  <c r="N54" i="4"/>
  <c r="A53" i="4"/>
  <c r="B53" i="4" s="1"/>
  <c r="O53" i="4"/>
  <c r="AA53" i="4"/>
  <c r="AP52" i="4"/>
  <c r="AQ52" i="4" s="1"/>
  <c r="AD52" i="4"/>
  <c r="AA3" i="19" l="1"/>
  <c r="AB4" i="19"/>
  <c r="AA1" i="19"/>
  <c r="AA6" i="19" s="1"/>
  <c r="Y4" i="11"/>
  <c r="Z3" i="11"/>
  <c r="A203" i="18"/>
  <c r="G156" i="18"/>
  <c r="G157" i="18" s="1"/>
  <c r="G158" i="18" s="1"/>
  <c r="G159" i="18" s="1"/>
  <c r="L203" i="17"/>
  <c r="M203" i="17" s="1"/>
  <c r="K204" i="17"/>
  <c r="L173" i="17"/>
  <c r="M173" i="17" s="1"/>
  <c r="K174" i="17"/>
  <c r="L142" i="17"/>
  <c r="M142" i="17" s="1"/>
  <c r="K143" i="17"/>
  <c r="L112" i="17"/>
  <c r="M112" i="17" s="1"/>
  <c r="K113" i="17"/>
  <c r="L50" i="17"/>
  <c r="K51" i="17"/>
  <c r="R23" i="17"/>
  <c r="S23" i="17"/>
  <c r="O23" i="17"/>
  <c r="P23" i="17"/>
  <c r="T23" i="17"/>
  <c r="U23" i="17" s="1"/>
  <c r="N24" i="17"/>
  <c r="F23" i="17"/>
  <c r="H22" i="17"/>
  <c r="L23" i="17"/>
  <c r="K24" i="17"/>
  <c r="Q20" i="17"/>
  <c r="J20" i="17"/>
  <c r="M20" i="17" s="1"/>
  <c r="I21" i="17"/>
  <c r="J37" i="17"/>
  <c r="M37" i="17" s="1"/>
  <c r="I38" i="17"/>
  <c r="K204" i="18"/>
  <c r="L173" i="18"/>
  <c r="M173" i="18" s="1"/>
  <c r="K174" i="18"/>
  <c r="L142" i="18"/>
  <c r="M142" i="18" s="1"/>
  <c r="K143" i="18"/>
  <c r="L156" i="18"/>
  <c r="M156" i="18" s="1"/>
  <c r="E160" i="18"/>
  <c r="L112" i="18"/>
  <c r="M112" i="18" s="1"/>
  <c r="K113" i="18"/>
  <c r="K36" i="18"/>
  <c r="L35" i="18"/>
  <c r="M35" i="18" s="1"/>
  <c r="R23" i="18"/>
  <c r="S23" i="18"/>
  <c r="P23" i="18"/>
  <c r="T23" i="18"/>
  <c r="U23" i="18" s="1"/>
  <c r="O23" i="18"/>
  <c r="N24" i="18"/>
  <c r="F23" i="18"/>
  <c r="H22" i="18"/>
  <c r="J120" i="18"/>
  <c r="J147" i="18"/>
  <c r="C148" i="18"/>
  <c r="J202" i="18"/>
  <c r="C203" i="18"/>
  <c r="Q21" i="18"/>
  <c r="J21" i="18"/>
  <c r="M21" i="18" s="1"/>
  <c r="I22" i="18"/>
  <c r="J38" i="18"/>
  <c r="I39" i="18"/>
  <c r="AF170" i="13"/>
  <c r="AE193" i="13"/>
  <c r="AF171" i="13"/>
  <c r="AE194" i="13"/>
  <c r="AE210" i="13" s="1"/>
  <c r="AF202" i="13" s="1"/>
  <c r="AE201" i="13"/>
  <c r="AE102" i="13"/>
  <c r="AE158" i="13"/>
  <c r="AE153" i="13" s="1"/>
  <c r="AE165" i="13" s="1"/>
  <c r="AE186" i="13" s="1"/>
  <c r="AG45" i="13"/>
  <c r="AG82" i="13"/>
  <c r="AF103" i="13" a="1"/>
  <c r="AF104" i="13" a="1"/>
  <c r="AF147" i="13"/>
  <c r="AG174" i="13"/>
  <c r="AF197" i="13"/>
  <c r="AF213" i="13" s="1"/>
  <c r="AG205" i="13" s="1"/>
  <c r="AD216" i="13"/>
  <c r="AD184" i="13"/>
  <c r="AG133" i="13"/>
  <c r="AD134" i="13"/>
  <c r="AK206" i="13"/>
  <c r="AK214" i="13" s="1"/>
  <c r="AH203" i="13"/>
  <c r="AH211" i="13" s="1"/>
  <c r="AK59" i="13"/>
  <c r="B56" i="6"/>
  <c r="C56" i="6"/>
  <c r="A57" i="6"/>
  <c r="B56" i="1"/>
  <c r="C56" i="1"/>
  <c r="A57" i="1"/>
  <c r="A51" i="3"/>
  <c r="C50" i="3"/>
  <c r="B50" i="3"/>
  <c r="N23" i="4"/>
  <c r="O22" i="4"/>
  <c r="AA22" i="4"/>
  <c r="A22" i="4"/>
  <c r="B22" i="4" s="1"/>
  <c r="AD21" i="4"/>
  <c r="AP21" i="4"/>
  <c r="AQ21" i="4" s="1"/>
  <c r="AZ146" i="13"/>
  <c r="AZ100" i="13"/>
  <c r="AZ95" i="13"/>
  <c r="BA146" i="13"/>
  <c r="BA195" i="13" s="1"/>
  <c r="BA100" i="13"/>
  <c r="BA95" i="13"/>
  <c r="AZ172" i="13"/>
  <c r="AY195" i="13"/>
  <c r="C88" i="6"/>
  <c r="B88" i="6"/>
  <c r="A89" i="6"/>
  <c r="B88" i="1"/>
  <c r="C88" i="1"/>
  <c r="A89" i="1"/>
  <c r="A83" i="3"/>
  <c r="B82" i="3"/>
  <c r="C82" i="3"/>
  <c r="N55" i="4"/>
  <c r="A54" i="4"/>
  <c r="B54" i="4" s="1"/>
  <c r="O54" i="4"/>
  <c r="AA54" i="4"/>
  <c r="AP53" i="4"/>
  <c r="AQ53" i="4" s="1"/>
  <c r="AD53" i="4"/>
  <c r="AB1" i="19" l="1"/>
  <c r="AB6" i="19" s="1"/>
  <c r="AC4" i="19"/>
  <c r="AB3" i="19"/>
  <c r="Z4" i="11"/>
  <c r="AA3" i="11"/>
  <c r="A204" i="18"/>
  <c r="L204" i="17"/>
  <c r="M204" i="17" s="1"/>
  <c r="K205" i="17"/>
  <c r="L174" i="17"/>
  <c r="M174" i="17" s="1"/>
  <c r="K175" i="17"/>
  <c r="L143" i="17"/>
  <c r="M143" i="17" s="1"/>
  <c r="K144" i="17"/>
  <c r="L113" i="17"/>
  <c r="M113" i="17" s="1"/>
  <c r="K114" i="17"/>
  <c r="L51" i="17"/>
  <c r="K52" i="17"/>
  <c r="O24" i="17"/>
  <c r="P24" i="17"/>
  <c r="R24" i="17"/>
  <c r="S24" i="17"/>
  <c r="T24" i="17"/>
  <c r="U24" i="17" s="1"/>
  <c r="N25" i="17"/>
  <c r="F24" i="17"/>
  <c r="H23" i="17"/>
  <c r="L24" i="17"/>
  <c r="K25" i="17"/>
  <c r="Q21" i="17"/>
  <c r="J21" i="17"/>
  <c r="M21" i="17" s="1"/>
  <c r="I22" i="17"/>
  <c r="J38" i="17"/>
  <c r="M38" i="17" s="1"/>
  <c r="I39" i="17"/>
  <c r="K205" i="18"/>
  <c r="K175" i="18"/>
  <c r="L143" i="18"/>
  <c r="M143" i="18" s="1"/>
  <c r="K144" i="18"/>
  <c r="G160" i="18"/>
  <c r="L160" i="18"/>
  <c r="M160" i="18" s="1"/>
  <c r="E161" i="18"/>
  <c r="L113" i="18"/>
  <c r="M113" i="18" s="1"/>
  <c r="K114" i="18"/>
  <c r="K37" i="18"/>
  <c r="L36" i="18"/>
  <c r="M36" i="18" s="1"/>
  <c r="P24" i="18"/>
  <c r="R24" i="18"/>
  <c r="T24" i="18"/>
  <c r="U24" i="18" s="1"/>
  <c r="O24" i="18"/>
  <c r="S24" i="18"/>
  <c r="N25" i="18"/>
  <c r="F24" i="18"/>
  <c r="H23" i="18"/>
  <c r="J148" i="18"/>
  <c r="C149" i="18"/>
  <c r="J203" i="18"/>
  <c r="C204" i="18"/>
  <c r="Q22" i="18"/>
  <c r="J22" i="18"/>
  <c r="M22" i="18" s="1"/>
  <c r="I23" i="18"/>
  <c r="J39" i="18"/>
  <c r="I40" i="18"/>
  <c r="AE156" i="13"/>
  <c r="AE168" i="13" s="1"/>
  <c r="AE189" i="13" s="1"/>
  <c r="AE151" i="13"/>
  <c r="AE163" i="13" s="1"/>
  <c r="AE184" i="13" s="1"/>
  <c r="AE152" i="13"/>
  <c r="AE164" i="13" s="1"/>
  <c r="AE185" i="13" s="1"/>
  <c r="AE154" i="13"/>
  <c r="AE166" i="13" s="1"/>
  <c r="AE187" i="13" s="1"/>
  <c r="AE155" i="13"/>
  <c r="AE167" i="13" s="1"/>
  <c r="AE188" i="13" s="1"/>
  <c r="AG47" i="13"/>
  <c r="AG46" i="13"/>
  <c r="AG148" i="13"/>
  <c r="AG83" i="13"/>
  <c r="AG99" i="13"/>
  <c r="AH76" i="13" s="1"/>
  <c r="AE209" i="13"/>
  <c r="AF142" i="13"/>
  <c r="AF106" i="13"/>
  <c r="AG173" i="13"/>
  <c r="AF196" i="13"/>
  <c r="AF212" i="13" s="1"/>
  <c r="AG204" i="13" s="1"/>
  <c r="AD218" i="13"/>
  <c r="AD217" i="13"/>
  <c r="AF144" i="13"/>
  <c r="AF145" i="13"/>
  <c r="AD139" i="13"/>
  <c r="AD140" i="13" s="1"/>
  <c r="AD136" i="13"/>
  <c r="AL206" i="13"/>
  <c r="AL214" i="13" s="1"/>
  <c r="AI203" i="13"/>
  <c r="AI211" i="13" s="1"/>
  <c r="AL59" i="13"/>
  <c r="B57" i="6"/>
  <c r="C57" i="6"/>
  <c r="A58" i="6"/>
  <c r="B57" i="1"/>
  <c r="C57" i="1"/>
  <c r="A58" i="1"/>
  <c r="A52" i="3"/>
  <c r="B51" i="3"/>
  <c r="C51" i="3"/>
  <c r="N24" i="4"/>
  <c r="O23" i="4"/>
  <c r="AA23" i="4"/>
  <c r="A23" i="4"/>
  <c r="B23" i="4" s="1"/>
  <c r="AD22" i="4"/>
  <c r="AP22" i="4"/>
  <c r="AQ22" i="4" s="1"/>
  <c r="BA172" i="13"/>
  <c r="AZ195" i="13"/>
  <c r="B89" i="6"/>
  <c r="A90" i="6"/>
  <c r="C89" i="6"/>
  <c r="B89" i="1"/>
  <c r="C89" i="1"/>
  <c r="A90" i="1"/>
  <c r="A84" i="3"/>
  <c r="C83" i="3"/>
  <c r="B83" i="3"/>
  <c r="N56" i="4"/>
  <c r="AA55" i="4"/>
  <c r="A55" i="4"/>
  <c r="B55" i="4" s="1"/>
  <c r="O55" i="4"/>
  <c r="AD54" i="4"/>
  <c r="AP54" i="4"/>
  <c r="AQ54" i="4" s="1"/>
  <c r="AC3" i="19" l="1"/>
  <c r="AD4" i="19"/>
  <c r="AE4" i="19" s="1"/>
  <c r="AC1" i="19"/>
  <c r="AC6" i="19" s="1"/>
  <c r="AA4" i="11"/>
  <c r="AB3" i="11"/>
  <c r="A205" i="18"/>
  <c r="L205" i="17"/>
  <c r="M205" i="17" s="1"/>
  <c r="K206" i="17"/>
  <c r="L175" i="17"/>
  <c r="M175" i="17" s="1"/>
  <c r="K176" i="17"/>
  <c r="L144" i="17"/>
  <c r="M144" i="17" s="1"/>
  <c r="K145" i="17"/>
  <c r="L114" i="17"/>
  <c r="M114" i="17" s="1"/>
  <c r="K115" i="17"/>
  <c r="L52" i="17"/>
  <c r="K53" i="17"/>
  <c r="R25" i="17"/>
  <c r="O25" i="17"/>
  <c r="P25" i="17"/>
  <c r="S25" i="17"/>
  <c r="T25" i="17"/>
  <c r="U25" i="17" s="1"/>
  <c r="N26" i="17"/>
  <c r="F25" i="17"/>
  <c r="H24" i="17"/>
  <c r="L25" i="17"/>
  <c r="K26" i="17"/>
  <c r="Q22" i="17"/>
  <c r="J22" i="17"/>
  <c r="M22" i="17" s="1"/>
  <c r="I23" i="17"/>
  <c r="J39" i="17"/>
  <c r="M39" i="17" s="1"/>
  <c r="I40" i="17"/>
  <c r="L205" i="18"/>
  <c r="M205" i="18" s="1"/>
  <c r="K206" i="18"/>
  <c r="K176" i="18"/>
  <c r="L144" i="18"/>
  <c r="M144" i="18" s="1"/>
  <c r="K145" i="18"/>
  <c r="L161" i="18"/>
  <c r="M161" i="18" s="1"/>
  <c r="E162" i="18"/>
  <c r="L114" i="18"/>
  <c r="M114" i="18" s="1"/>
  <c r="K115" i="18"/>
  <c r="K38" i="18"/>
  <c r="L37" i="18"/>
  <c r="M37" i="18" s="1"/>
  <c r="R25" i="18"/>
  <c r="P25" i="18"/>
  <c r="N26" i="18"/>
  <c r="O25" i="18"/>
  <c r="S25" i="18"/>
  <c r="T25" i="18"/>
  <c r="U25" i="18" s="1"/>
  <c r="F25" i="18"/>
  <c r="H24" i="18"/>
  <c r="J149" i="18"/>
  <c r="J204" i="18"/>
  <c r="Q23" i="18"/>
  <c r="J23" i="18"/>
  <c r="M23" i="18" s="1"/>
  <c r="I24" i="18"/>
  <c r="J40" i="18"/>
  <c r="I41" i="18"/>
  <c r="G161" i="18"/>
  <c r="AF102" i="13"/>
  <c r="AF158" i="13"/>
  <c r="AF151" i="13" s="1"/>
  <c r="AF163" i="13" s="1"/>
  <c r="AF184" i="13" s="1"/>
  <c r="AG147" i="13"/>
  <c r="AH174" i="13"/>
  <c r="AG197" i="13"/>
  <c r="AG213" i="13" s="1"/>
  <c r="AH205" i="13" s="1"/>
  <c r="AH78" i="13"/>
  <c r="AH126" i="13"/>
  <c r="AH128" i="13" s="1"/>
  <c r="AG103" i="13" a="1"/>
  <c r="AG104" i="13" a="1"/>
  <c r="AF201" i="13"/>
  <c r="AE216" i="13"/>
  <c r="AG170" i="13"/>
  <c r="AF193" i="13"/>
  <c r="AG171" i="13"/>
  <c r="AF194" i="13"/>
  <c r="AF210" i="13" s="1"/>
  <c r="AG202" i="13" s="1"/>
  <c r="AM206" i="13"/>
  <c r="AM214" i="13" s="1"/>
  <c r="AJ203" i="13"/>
  <c r="AJ211" i="13" s="1"/>
  <c r="AM59" i="13"/>
  <c r="B58" i="6"/>
  <c r="C58" i="6"/>
  <c r="A59" i="6"/>
  <c r="B58" i="1"/>
  <c r="C58" i="1"/>
  <c r="A59" i="1"/>
  <c r="A53" i="3"/>
  <c r="C52" i="3"/>
  <c r="B52" i="3"/>
  <c r="N25" i="4"/>
  <c r="O24" i="4"/>
  <c r="AA24" i="4"/>
  <c r="A24" i="4"/>
  <c r="B24" i="4" s="1"/>
  <c r="AD23" i="4"/>
  <c r="AP23" i="4"/>
  <c r="AQ23" i="4" s="1"/>
  <c r="A91" i="6"/>
  <c r="C90" i="6"/>
  <c r="B90" i="6"/>
  <c r="B90" i="1"/>
  <c r="C90" i="1"/>
  <c r="A91" i="1"/>
  <c r="A85" i="3"/>
  <c r="C84" i="3"/>
  <c r="B84" i="3"/>
  <c r="N57" i="4"/>
  <c r="AA56" i="4"/>
  <c r="A56" i="4"/>
  <c r="B56" i="4" s="1"/>
  <c r="O56" i="4"/>
  <c r="AD55" i="4"/>
  <c r="AP55" i="4"/>
  <c r="AQ55" i="4" s="1"/>
  <c r="AD3" i="19" l="1"/>
  <c r="AD1" i="19"/>
  <c r="AD6" i="19" s="1"/>
  <c r="AB4" i="11"/>
  <c r="AC3" i="11"/>
  <c r="A206" i="18"/>
  <c r="AE1" i="19"/>
  <c r="AE6" i="19" s="1"/>
  <c r="AE3" i="19"/>
  <c r="AF4" i="19"/>
  <c r="L206" i="17"/>
  <c r="M206" i="17" s="1"/>
  <c r="K207" i="17"/>
  <c r="L176" i="17"/>
  <c r="M176" i="17" s="1"/>
  <c r="K177" i="17"/>
  <c r="L145" i="17"/>
  <c r="M145" i="17" s="1"/>
  <c r="K146" i="17"/>
  <c r="L115" i="17"/>
  <c r="M115" i="17" s="1"/>
  <c r="K116" i="17"/>
  <c r="L53" i="17"/>
  <c r="K54" i="17"/>
  <c r="O26" i="17"/>
  <c r="P26" i="17"/>
  <c r="R26" i="17"/>
  <c r="S26" i="17"/>
  <c r="T26" i="17"/>
  <c r="U26" i="17" s="1"/>
  <c r="N27" i="17"/>
  <c r="F26" i="17"/>
  <c r="H25" i="17"/>
  <c r="L26" i="17"/>
  <c r="K27" i="17"/>
  <c r="Q23" i="17"/>
  <c r="J23" i="17"/>
  <c r="M23" i="17" s="1"/>
  <c r="I24" i="17"/>
  <c r="J40" i="17"/>
  <c r="M40" i="17" s="1"/>
  <c r="I41" i="17"/>
  <c r="G162" i="18"/>
  <c r="L206" i="18"/>
  <c r="M206" i="18" s="1"/>
  <c r="K207" i="18"/>
  <c r="K177" i="18"/>
  <c r="L145" i="18"/>
  <c r="M145" i="18" s="1"/>
  <c r="K146" i="18"/>
  <c r="L162" i="18"/>
  <c r="M162" i="18" s="1"/>
  <c r="E163" i="18"/>
  <c r="L115" i="18"/>
  <c r="M115" i="18" s="1"/>
  <c r="K116" i="18"/>
  <c r="L38" i="18"/>
  <c r="M38" i="18" s="1"/>
  <c r="K39" i="18"/>
  <c r="P26" i="18"/>
  <c r="R26" i="18"/>
  <c r="T26" i="18"/>
  <c r="U26" i="18" s="1"/>
  <c r="N27" i="18"/>
  <c r="O26" i="18"/>
  <c r="S26" i="18"/>
  <c r="F26" i="18"/>
  <c r="H25" i="18"/>
  <c r="Q24" i="18"/>
  <c r="I25" i="18"/>
  <c r="J24" i="18"/>
  <c r="M24" i="18" s="1"/>
  <c r="J41" i="18"/>
  <c r="I42" i="18"/>
  <c r="AF156" i="13"/>
  <c r="AF168" i="13" s="1"/>
  <c r="AF189" i="13" s="1"/>
  <c r="AF155" i="13"/>
  <c r="AF167" i="13" s="1"/>
  <c r="AF188" i="13" s="1"/>
  <c r="AF153" i="13"/>
  <c r="AF165" i="13" s="1"/>
  <c r="AF186" i="13" s="1"/>
  <c r="AF152" i="13"/>
  <c r="AF164" i="13" s="1"/>
  <c r="AF185" i="13" s="1"/>
  <c r="AF154" i="13"/>
  <c r="AF166" i="13" s="1"/>
  <c r="AF187" i="13" s="1"/>
  <c r="AG145" i="13"/>
  <c r="AG196" i="13"/>
  <c r="AG212" i="13" s="1"/>
  <c r="AH204" i="13" s="1"/>
  <c r="AH173" i="13"/>
  <c r="AG144" i="13"/>
  <c r="AH82" i="13"/>
  <c r="AH45" i="13"/>
  <c r="AG106" i="13"/>
  <c r="AG142" i="13"/>
  <c r="AE218" i="13"/>
  <c r="AE217" i="13"/>
  <c r="AF209" i="13"/>
  <c r="AH133" i="13"/>
  <c r="AE134" i="13"/>
  <c r="AN206" i="13"/>
  <c r="AN214" i="13" s="1"/>
  <c r="AK203" i="13"/>
  <c r="AK211" i="13" s="1"/>
  <c r="AN59" i="13"/>
  <c r="B59" i="6"/>
  <c r="C59" i="6"/>
  <c r="A60" i="6"/>
  <c r="B59" i="1"/>
  <c r="C59" i="1"/>
  <c r="A60" i="1"/>
  <c r="A54" i="3"/>
  <c r="N26" i="4"/>
  <c r="B53" i="3"/>
  <c r="C53" i="3"/>
  <c r="O25" i="4"/>
  <c r="AA25" i="4"/>
  <c r="A25" i="4"/>
  <c r="B25" i="4" s="1"/>
  <c r="AD24" i="4"/>
  <c r="AP24" i="4"/>
  <c r="AQ24" i="4" s="1"/>
  <c r="C91" i="6"/>
  <c r="A92" i="6"/>
  <c r="B91" i="6"/>
  <c r="B91" i="1"/>
  <c r="C91" i="1"/>
  <c r="A92" i="1"/>
  <c r="A86" i="3"/>
  <c r="C85" i="3"/>
  <c r="B85" i="3"/>
  <c r="N58" i="4"/>
  <c r="A57" i="4"/>
  <c r="B57" i="4" s="1"/>
  <c r="O57" i="4"/>
  <c r="AA57" i="4"/>
  <c r="AD56" i="4"/>
  <c r="AP56" i="4"/>
  <c r="AQ56" i="4" s="1"/>
  <c r="AC4" i="11" l="1"/>
  <c r="AD3" i="11"/>
  <c r="A207" i="18"/>
  <c r="A208" i="18" s="1"/>
  <c r="A209" i="18" s="1"/>
  <c r="A210" i="18" s="1"/>
  <c r="A211" i="18" s="1"/>
  <c r="AF1" i="19"/>
  <c r="AF6" i="19" s="1"/>
  <c r="AF3" i="19"/>
  <c r="AG4" i="19"/>
  <c r="L207" i="17"/>
  <c r="M207" i="17" s="1"/>
  <c r="K208" i="17"/>
  <c r="L177" i="17"/>
  <c r="M177" i="17" s="1"/>
  <c r="K178" i="17"/>
  <c r="L146" i="17"/>
  <c r="M146" i="17" s="1"/>
  <c r="K147" i="17"/>
  <c r="L116" i="17"/>
  <c r="M116" i="17" s="1"/>
  <c r="K117" i="17"/>
  <c r="L54" i="17"/>
  <c r="K55" i="17"/>
  <c r="R27" i="17"/>
  <c r="O27" i="17"/>
  <c r="P27" i="17"/>
  <c r="S27" i="17"/>
  <c r="T27" i="17"/>
  <c r="U27" i="17" s="1"/>
  <c r="N28" i="17"/>
  <c r="F27" i="17"/>
  <c r="H26" i="17"/>
  <c r="L27" i="17"/>
  <c r="K28" i="17"/>
  <c r="L28" i="17" s="1"/>
  <c r="Q24" i="17"/>
  <c r="J24" i="17"/>
  <c r="M24" i="17" s="1"/>
  <c r="I25" i="17"/>
  <c r="J41" i="17"/>
  <c r="M41" i="17" s="1"/>
  <c r="I42" i="17"/>
  <c r="L207" i="18"/>
  <c r="M207" i="18" s="1"/>
  <c r="K208" i="18"/>
  <c r="L177" i="18"/>
  <c r="M177" i="18" s="1"/>
  <c r="K178" i="18"/>
  <c r="L146" i="18"/>
  <c r="M146" i="18" s="1"/>
  <c r="K147" i="18"/>
  <c r="G163" i="18"/>
  <c r="G164" i="18" s="1"/>
  <c r="G165" i="18" s="1"/>
  <c r="G166" i="18" s="1"/>
  <c r="L163" i="18"/>
  <c r="M163" i="18" s="1"/>
  <c r="E167" i="18"/>
  <c r="L116" i="18"/>
  <c r="M116" i="18" s="1"/>
  <c r="K117" i="18"/>
  <c r="L39" i="18"/>
  <c r="M39" i="18" s="1"/>
  <c r="K40" i="18"/>
  <c r="R27" i="18"/>
  <c r="P27" i="18"/>
  <c r="S27" i="18"/>
  <c r="O27" i="18"/>
  <c r="T27" i="18"/>
  <c r="U27" i="18" s="1"/>
  <c r="N28" i="18"/>
  <c r="F27" i="18"/>
  <c r="H26" i="18"/>
  <c r="Q25" i="18"/>
  <c r="J25" i="18"/>
  <c r="M25" i="18" s="1"/>
  <c r="I26" i="18"/>
  <c r="J42" i="18"/>
  <c r="I43" i="18"/>
  <c r="AG193" i="13"/>
  <c r="AH170" i="13"/>
  <c r="AH83" i="13"/>
  <c r="AH99" i="13"/>
  <c r="AI76" i="13" s="1"/>
  <c r="AH148" i="13"/>
  <c r="AH47" i="13"/>
  <c r="AH46" i="13"/>
  <c r="AH171" i="13"/>
  <c r="AG194" i="13"/>
  <c r="AG158" i="13"/>
  <c r="AG102" i="13"/>
  <c r="AF216" i="13"/>
  <c r="AG201" i="13"/>
  <c r="AE139" i="13"/>
  <c r="AE140" i="13" s="1"/>
  <c r="AE136" i="13"/>
  <c r="AO206" i="13"/>
  <c r="AO214" i="13" s="1"/>
  <c r="AL203" i="13"/>
  <c r="AL211" i="13" s="1"/>
  <c r="AO59" i="13"/>
  <c r="B60" i="6"/>
  <c r="C60" i="6"/>
  <c r="A61" i="6"/>
  <c r="B60" i="1"/>
  <c r="C60" i="1"/>
  <c r="A61" i="1"/>
  <c r="A55" i="3"/>
  <c r="C54" i="3"/>
  <c r="N27" i="4"/>
  <c r="B54" i="3"/>
  <c r="O26" i="4"/>
  <c r="AA26" i="4"/>
  <c r="A26" i="4"/>
  <c r="B26" i="4" s="1"/>
  <c r="AD25" i="4"/>
  <c r="AP25" i="4"/>
  <c r="AQ25" i="4" s="1"/>
  <c r="C92" i="6"/>
  <c r="B92" i="6"/>
  <c r="A93" i="6"/>
  <c r="B92" i="1"/>
  <c r="C92" i="1"/>
  <c r="A93" i="1"/>
  <c r="A87" i="3"/>
  <c r="C86" i="3"/>
  <c r="N59" i="4"/>
  <c r="B86" i="3"/>
  <c r="A58" i="4"/>
  <c r="B58" i="4" s="1"/>
  <c r="O58" i="4"/>
  <c r="AA58" i="4"/>
  <c r="AD57" i="4"/>
  <c r="AP57" i="4"/>
  <c r="AQ57" i="4" s="1"/>
  <c r="AD4" i="11" l="1"/>
  <c r="AE3" i="11"/>
  <c r="A212" i="18"/>
  <c r="AG1" i="19"/>
  <c r="AG6" i="19" s="1"/>
  <c r="AG3" i="19"/>
  <c r="AH4" i="19"/>
  <c r="L208" i="17"/>
  <c r="M208" i="17" s="1"/>
  <c r="K209" i="17"/>
  <c r="L178" i="17"/>
  <c r="M178" i="17" s="1"/>
  <c r="K179" i="17"/>
  <c r="L147" i="17"/>
  <c r="M147" i="17" s="1"/>
  <c r="K148" i="17"/>
  <c r="L117" i="17"/>
  <c r="M117" i="17" s="1"/>
  <c r="K118" i="17"/>
  <c r="L55" i="17"/>
  <c r="K56" i="17"/>
  <c r="R28" i="17"/>
  <c r="O28" i="17"/>
  <c r="P28" i="17"/>
  <c r="S28" i="17"/>
  <c r="T28" i="17"/>
  <c r="U28" i="17" s="1"/>
  <c r="N29" i="17"/>
  <c r="F28" i="17"/>
  <c r="H27" i="17"/>
  <c r="Q25" i="17"/>
  <c r="J25" i="17"/>
  <c r="M25" i="17" s="1"/>
  <c r="I26" i="17"/>
  <c r="J42" i="17"/>
  <c r="M42" i="17" s="1"/>
  <c r="I43" i="17"/>
  <c r="L208" i="18"/>
  <c r="M208" i="18" s="1"/>
  <c r="K209" i="18"/>
  <c r="L178" i="18"/>
  <c r="M178" i="18" s="1"/>
  <c r="K179" i="18"/>
  <c r="L147" i="18"/>
  <c r="M147" i="18" s="1"/>
  <c r="K148" i="18"/>
  <c r="L167" i="18"/>
  <c r="M167" i="18" s="1"/>
  <c r="E168" i="18"/>
  <c r="E174" i="18"/>
  <c r="E181" i="18"/>
  <c r="L117" i="18"/>
  <c r="M117" i="18" s="1"/>
  <c r="K118" i="18"/>
  <c r="K41" i="18"/>
  <c r="L40" i="18"/>
  <c r="M40" i="18" s="1"/>
  <c r="R28" i="18"/>
  <c r="S28" i="18"/>
  <c r="O28" i="18"/>
  <c r="P28" i="18"/>
  <c r="T28" i="18"/>
  <c r="U28" i="18" s="1"/>
  <c r="N29" i="18"/>
  <c r="F28" i="18"/>
  <c r="H27" i="18"/>
  <c r="Q26" i="18"/>
  <c r="J26" i="18"/>
  <c r="M26" i="18" s="1"/>
  <c r="I27" i="18"/>
  <c r="J43" i="18"/>
  <c r="I44" i="18"/>
  <c r="G167" i="18"/>
  <c r="AI126" i="13"/>
  <c r="AI128" i="13" s="1"/>
  <c r="AI78" i="13"/>
  <c r="AG209" i="13"/>
  <c r="AH201" i="13" s="1"/>
  <c r="AH147" i="13"/>
  <c r="AI174" i="13"/>
  <c r="AH197" i="13"/>
  <c r="AH213" i="13" s="1"/>
  <c r="AI205" i="13" s="1"/>
  <c r="AH103" i="13" a="1"/>
  <c r="AH142" i="13" s="1"/>
  <c r="AH104" i="13" a="1"/>
  <c r="AF217" i="13"/>
  <c r="AF218" i="13"/>
  <c r="AG210" i="13"/>
  <c r="AG156" i="13"/>
  <c r="AG168" i="13" s="1"/>
  <c r="AG189" i="13" s="1"/>
  <c r="AG155" i="13"/>
  <c r="AG167" i="13" s="1"/>
  <c r="AG188" i="13" s="1"/>
  <c r="AG153" i="13"/>
  <c r="AG165" i="13" s="1"/>
  <c r="AG186" i="13" s="1"/>
  <c r="AG154" i="13"/>
  <c r="AG166" i="13" s="1"/>
  <c r="AG187" i="13" s="1"/>
  <c r="AG152" i="13"/>
  <c r="AG164" i="13" s="1"/>
  <c r="AG185" i="13" s="1"/>
  <c r="AG151" i="13"/>
  <c r="AG163" i="13" s="1"/>
  <c r="AG184" i="13" s="1"/>
  <c r="AP206" i="13"/>
  <c r="AP214" i="13" s="1"/>
  <c r="AM203" i="13"/>
  <c r="AM211" i="13" s="1"/>
  <c r="AP59" i="13"/>
  <c r="B61" i="6"/>
  <c r="C61" i="6"/>
  <c r="A62" i="6"/>
  <c r="B61" i="1"/>
  <c r="C61" i="1"/>
  <c r="A62" i="1"/>
  <c r="A56" i="3"/>
  <c r="B55" i="3"/>
  <c r="C55" i="3"/>
  <c r="N28" i="4"/>
  <c r="O27" i="4"/>
  <c r="AA27" i="4"/>
  <c r="A27" i="4"/>
  <c r="B27" i="4" s="1"/>
  <c r="AD26" i="4"/>
  <c r="AP26" i="4"/>
  <c r="AQ26" i="4" s="1"/>
  <c r="C93" i="6"/>
  <c r="B93" i="6"/>
  <c r="A94" i="6"/>
  <c r="B93" i="1"/>
  <c r="C93" i="1"/>
  <c r="A94" i="1"/>
  <c r="A88" i="3"/>
  <c r="B87" i="3"/>
  <c r="C87" i="3"/>
  <c r="N60" i="4"/>
  <c r="O59" i="4"/>
  <c r="AA59" i="4"/>
  <c r="A59" i="4"/>
  <c r="B59" i="4" s="1"/>
  <c r="AD58" i="4"/>
  <c r="AP58" i="4"/>
  <c r="AQ58" i="4" s="1"/>
  <c r="AE4" i="11" l="1"/>
  <c r="AF3" i="11"/>
  <c r="AH1" i="19"/>
  <c r="AH6" i="19" s="1"/>
  <c r="AH3" i="19"/>
  <c r="AI4" i="19"/>
  <c r="G168" i="18"/>
  <c r="L209" i="17"/>
  <c r="M209" i="17" s="1"/>
  <c r="K210" i="17"/>
  <c r="L179" i="17"/>
  <c r="M179" i="17" s="1"/>
  <c r="K180" i="17"/>
  <c r="L148" i="17"/>
  <c r="M148" i="17" s="1"/>
  <c r="K149" i="17"/>
  <c r="L118" i="17"/>
  <c r="M118" i="17" s="1"/>
  <c r="K119" i="17"/>
  <c r="L56" i="17"/>
  <c r="K57" i="17"/>
  <c r="R29" i="17"/>
  <c r="O29" i="17"/>
  <c r="P29" i="17"/>
  <c r="Q29" i="17"/>
  <c r="S29" i="17"/>
  <c r="T29" i="17"/>
  <c r="U29" i="17" s="1"/>
  <c r="N30" i="17"/>
  <c r="H28" i="17"/>
  <c r="F29" i="17"/>
  <c r="Q26" i="17"/>
  <c r="J26" i="17"/>
  <c r="M26" i="17" s="1"/>
  <c r="I27" i="17"/>
  <c r="J43" i="17"/>
  <c r="M43" i="17" s="1"/>
  <c r="I44" i="17"/>
  <c r="L209" i="18"/>
  <c r="M209" i="18" s="1"/>
  <c r="K210" i="18"/>
  <c r="L179" i="18"/>
  <c r="M179" i="18" s="1"/>
  <c r="K180" i="18"/>
  <c r="L148" i="18"/>
  <c r="M148" i="18" s="1"/>
  <c r="K149" i="18"/>
  <c r="L168" i="18"/>
  <c r="M168" i="18" s="1"/>
  <c r="E169" i="18"/>
  <c r="L174" i="18"/>
  <c r="M174" i="18" s="1"/>
  <c r="E175" i="18"/>
  <c r="E188" i="18"/>
  <c r="E182" i="18"/>
  <c r="E195" i="18"/>
  <c r="L118" i="18"/>
  <c r="M118" i="18" s="1"/>
  <c r="K119" i="18"/>
  <c r="K42" i="18"/>
  <c r="L41" i="18"/>
  <c r="M41" i="18" s="1"/>
  <c r="R29" i="18"/>
  <c r="P29" i="18"/>
  <c r="S29" i="18"/>
  <c r="O29" i="18"/>
  <c r="Q29" i="18"/>
  <c r="T29" i="18"/>
  <c r="U29" i="18" s="1"/>
  <c r="N30" i="18"/>
  <c r="H28" i="18"/>
  <c r="F29" i="18"/>
  <c r="Q27" i="18"/>
  <c r="J27" i="18"/>
  <c r="M27" i="18" s="1"/>
  <c r="I28" i="18"/>
  <c r="I45" i="18"/>
  <c r="J44" i="18"/>
  <c r="AH106" i="13"/>
  <c r="AI82" i="13"/>
  <c r="AI45" i="13"/>
  <c r="AH144" i="13"/>
  <c r="AH145" i="13"/>
  <c r="AH196" i="13"/>
  <c r="AH212" i="13" s="1"/>
  <c r="AI204" i="13" s="1"/>
  <c r="AI173" i="13"/>
  <c r="AH202" i="13"/>
  <c r="AG216" i="13"/>
  <c r="AI133" i="13"/>
  <c r="AF134" i="13"/>
  <c r="AQ206" i="13"/>
  <c r="AQ214" i="13" s="1"/>
  <c r="AN203" i="13"/>
  <c r="AN211" i="13" s="1"/>
  <c r="AQ59" i="13"/>
  <c r="B62" i="6"/>
  <c r="C62" i="6"/>
  <c r="A63" i="6"/>
  <c r="B62" i="1"/>
  <c r="C62" i="1"/>
  <c r="A63" i="1"/>
  <c r="A57" i="3"/>
  <c r="N29" i="4"/>
  <c r="B56" i="3"/>
  <c r="C56" i="3"/>
  <c r="O28" i="4"/>
  <c r="AA28" i="4"/>
  <c r="A28" i="4"/>
  <c r="B28" i="4" s="1"/>
  <c r="AD27" i="4"/>
  <c r="AP27" i="4"/>
  <c r="AQ27" i="4" s="1"/>
  <c r="B94" i="6"/>
  <c r="A95" i="6"/>
  <c r="C94" i="6"/>
  <c r="B94" i="1"/>
  <c r="C94" i="1"/>
  <c r="A95" i="1"/>
  <c r="A89" i="3"/>
  <c r="C88" i="3"/>
  <c r="B88" i="3"/>
  <c r="N61" i="4"/>
  <c r="O60" i="4"/>
  <c r="AA60" i="4"/>
  <c r="A60" i="4"/>
  <c r="B60" i="4" s="1"/>
  <c r="AP59" i="4"/>
  <c r="AQ59" i="4" s="1"/>
  <c r="AD59" i="4"/>
  <c r="AF4" i="11" l="1"/>
  <c r="AG3" i="11"/>
  <c r="AI1" i="19"/>
  <c r="AI6" i="19" s="1"/>
  <c r="AI3" i="19"/>
  <c r="AJ4" i="19"/>
  <c r="L210" i="17"/>
  <c r="M210" i="17" s="1"/>
  <c r="K211" i="17"/>
  <c r="L180" i="17"/>
  <c r="M180" i="17" s="1"/>
  <c r="K181" i="17"/>
  <c r="L181" i="17" s="1"/>
  <c r="M181" i="17" s="1"/>
  <c r="L149" i="17"/>
  <c r="M149" i="17" s="1"/>
  <c r="K150" i="17"/>
  <c r="L119" i="17"/>
  <c r="M119" i="17" s="1"/>
  <c r="K120" i="17"/>
  <c r="L120" i="17" s="1"/>
  <c r="M120" i="17" s="1"/>
  <c r="L57" i="17"/>
  <c r="K58" i="17"/>
  <c r="R30" i="17"/>
  <c r="O30" i="17"/>
  <c r="P30" i="17"/>
  <c r="Q30" i="17"/>
  <c r="S30" i="17"/>
  <c r="T30" i="17"/>
  <c r="U30" i="17" s="1"/>
  <c r="N31" i="17"/>
  <c r="F30" i="17"/>
  <c r="H29" i="17"/>
  <c r="Q27" i="17"/>
  <c r="J27" i="17"/>
  <c r="M27" i="17" s="1"/>
  <c r="I28" i="17"/>
  <c r="J44" i="17"/>
  <c r="M44" i="17" s="1"/>
  <c r="I45" i="17"/>
  <c r="L210" i="18"/>
  <c r="M210" i="18" s="1"/>
  <c r="K211" i="18"/>
  <c r="L180" i="18"/>
  <c r="M180" i="18" s="1"/>
  <c r="K181" i="18"/>
  <c r="L181" i="18" s="1"/>
  <c r="M181" i="18" s="1"/>
  <c r="L149" i="18"/>
  <c r="M149" i="18" s="1"/>
  <c r="K150" i="18"/>
  <c r="G169" i="18"/>
  <c r="L169" i="18"/>
  <c r="M169" i="18" s="1"/>
  <c r="E170" i="18"/>
  <c r="L175" i="18"/>
  <c r="M175" i="18" s="1"/>
  <c r="E176" i="18"/>
  <c r="L188" i="18"/>
  <c r="M188" i="18" s="1"/>
  <c r="E189" i="18"/>
  <c r="L182" i="18"/>
  <c r="M182" i="18" s="1"/>
  <c r="E183" i="18"/>
  <c r="L195" i="18"/>
  <c r="M195" i="18" s="1"/>
  <c r="E196" i="18"/>
  <c r="E202" i="18"/>
  <c r="L119" i="18"/>
  <c r="M119" i="18" s="1"/>
  <c r="K120" i="18"/>
  <c r="L120" i="18" s="1"/>
  <c r="M120" i="18" s="1"/>
  <c r="K43" i="18"/>
  <c r="L42" i="18"/>
  <c r="M42" i="18" s="1"/>
  <c r="R30" i="18"/>
  <c r="P30" i="18"/>
  <c r="T30" i="18"/>
  <c r="U30" i="18" s="1"/>
  <c r="O30" i="18"/>
  <c r="Q30" i="18"/>
  <c r="S30" i="18"/>
  <c r="N31" i="18"/>
  <c r="F30" i="18"/>
  <c r="H29" i="18"/>
  <c r="Q28" i="18"/>
  <c r="J28" i="18"/>
  <c r="M28" i="18" s="1"/>
  <c r="J45" i="18"/>
  <c r="I46" i="18"/>
  <c r="AH158" i="13"/>
  <c r="AH102" i="13"/>
  <c r="AI83" i="13"/>
  <c r="AI99" i="13"/>
  <c r="AJ76" i="13" s="1"/>
  <c r="AI148" i="13"/>
  <c r="AI46" i="13"/>
  <c r="AI47" i="13"/>
  <c r="AI170" i="13"/>
  <c r="AH193" i="13"/>
  <c r="AI171" i="13"/>
  <c r="AH194" i="13"/>
  <c r="AH210" i="13" s="1"/>
  <c r="AI202" i="13" s="1"/>
  <c r="AF136" i="13"/>
  <c r="AF139" i="13"/>
  <c r="AF140" i="13" s="1"/>
  <c r="AR206" i="13"/>
  <c r="AR214" i="13" s="1"/>
  <c r="AO203" i="13"/>
  <c r="AO211" i="13" s="1"/>
  <c r="AR59" i="13"/>
  <c r="B63" i="6"/>
  <c r="C63" i="6"/>
  <c r="A64" i="6"/>
  <c r="B63" i="1"/>
  <c r="C63" i="1"/>
  <c r="A64" i="1"/>
  <c r="A58" i="3"/>
  <c r="C57" i="3"/>
  <c r="B57" i="3"/>
  <c r="N30" i="4"/>
  <c r="O29" i="4"/>
  <c r="AA29" i="4"/>
  <c r="A29" i="4"/>
  <c r="B29" i="4" s="1"/>
  <c r="AD28" i="4"/>
  <c r="AP28" i="4"/>
  <c r="AQ28" i="4" s="1"/>
  <c r="B95" i="6"/>
  <c r="A96" i="6"/>
  <c r="C95" i="6"/>
  <c r="B95" i="1"/>
  <c r="C95" i="1"/>
  <c r="A96" i="1"/>
  <c r="A90" i="3"/>
  <c r="B89" i="3"/>
  <c r="N62" i="4"/>
  <c r="C89" i="3"/>
  <c r="O61" i="4"/>
  <c r="AA61" i="4"/>
  <c r="A61" i="4"/>
  <c r="B61" i="4" s="1"/>
  <c r="AD60" i="4"/>
  <c r="AP60" i="4"/>
  <c r="AQ60" i="4" s="1"/>
  <c r="AG4" i="11" l="1"/>
  <c r="AH3" i="11"/>
  <c r="AJ1" i="19"/>
  <c r="AJ6" i="19" s="1"/>
  <c r="AJ3" i="19"/>
  <c r="AK4" i="19"/>
  <c r="G170" i="18"/>
  <c r="G171" i="18" s="1"/>
  <c r="G172" i="18" s="1"/>
  <c r="G173" i="18" s="1"/>
  <c r="G174" i="18" s="1"/>
  <c r="G175" i="18" s="1"/>
  <c r="G176" i="18" s="1"/>
  <c r="G177" i="18" s="1"/>
  <c r="G178" i="18" s="1"/>
  <c r="G179" i="18" s="1"/>
  <c r="G180" i="18" s="1"/>
  <c r="G181" i="18" s="1"/>
  <c r="G182" i="18" s="1"/>
  <c r="G183" i="18" s="1"/>
  <c r="L211" i="17"/>
  <c r="M211" i="17" s="1"/>
  <c r="K212" i="17"/>
  <c r="L212" i="17" s="1"/>
  <c r="M212" i="17" s="1"/>
  <c r="L150" i="17"/>
  <c r="M150" i="17" s="1"/>
  <c r="K151" i="17"/>
  <c r="L151" i="17" s="1"/>
  <c r="M151" i="17" s="1"/>
  <c r="L58" i="17"/>
  <c r="K59" i="17"/>
  <c r="O31" i="17"/>
  <c r="P31" i="17"/>
  <c r="Q31" i="17"/>
  <c r="R31" i="17"/>
  <c r="S31" i="17"/>
  <c r="T31" i="17"/>
  <c r="U31" i="17" s="1"/>
  <c r="N32" i="17"/>
  <c r="F31" i="17"/>
  <c r="H30" i="17"/>
  <c r="Q28" i="17"/>
  <c r="J28" i="17"/>
  <c r="M28" i="17" s="1"/>
  <c r="J45" i="17"/>
  <c r="M45" i="17" s="1"/>
  <c r="I46" i="17"/>
  <c r="L211" i="18"/>
  <c r="M211" i="18" s="1"/>
  <c r="K212" i="18"/>
  <c r="L212" i="18" s="1"/>
  <c r="L150" i="18"/>
  <c r="M150" i="18" s="1"/>
  <c r="K151" i="18"/>
  <c r="L151" i="18" s="1"/>
  <c r="M151" i="18" s="1"/>
  <c r="L170" i="18"/>
  <c r="M170" i="18" s="1"/>
  <c r="L176" i="18"/>
  <c r="M176" i="18" s="1"/>
  <c r="L189" i="18"/>
  <c r="M189" i="18" s="1"/>
  <c r="E190" i="18"/>
  <c r="L183" i="18"/>
  <c r="M183" i="18" s="1"/>
  <c r="E184" i="18"/>
  <c r="L196" i="18"/>
  <c r="M196" i="18" s="1"/>
  <c r="E197" i="18"/>
  <c r="L202" i="18"/>
  <c r="M202" i="18" s="1"/>
  <c r="E203" i="18"/>
  <c r="L43" i="18"/>
  <c r="M43" i="18" s="1"/>
  <c r="K44" i="18"/>
  <c r="P31" i="18"/>
  <c r="R31" i="18"/>
  <c r="S31" i="18"/>
  <c r="T31" i="18"/>
  <c r="U31" i="18" s="1"/>
  <c r="N32" i="18"/>
  <c r="O31" i="18"/>
  <c r="Q31" i="18"/>
  <c r="F31" i="18"/>
  <c r="H30" i="18"/>
  <c r="J46" i="18"/>
  <c r="I47" i="18"/>
  <c r="AH155" i="13"/>
  <c r="AH167" i="13" s="1"/>
  <c r="AH188" i="13" s="1"/>
  <c r="AH152" i="13"/>
  <c r="AH164" i="13" s="1"/>
  <c r="AH185" i="13" s="1"/>
  <c r="AH156" i="13"/>
  <c r="AH168" i="13" s="1"/>
  <c r="AH189" i="13" s="1"/>
  <c r="AH151" i="13"/>
  <c r="AH163" i="13" s="1"/>
  <c r="AH184" i="13" s="1"/>
  <c r="AH153" i="13"/>
  <c r="AH165" i="13" s="1"/>
  <c r="AH186" i="13" s="1"/>
  <c r="AH154" i="13"/>
  <c r="AH166" i="13" s="1"/>
  <c r="AH187" i="13" s="1"/>
  <c r="AI104" i="13" a="1"/>
  <c r="AI103" i="13" a="1"/>
  <c r="AJ78" i="13"/>
  <c r="AJ126" i="13"/>
  <c r="AI147" i="13"/>
  <c r="AJ174" i="13"/>
  <c r="AI197" i="13"/>
  <c r="AI213" i="13" s="1"/>
  <c r="AJ205" i="13" s="1"/>
  <c r="AG217" i="13"/>
  <c r="AH209" i="13"/>
  <c r="AG218" i="13"/>
  <c r="AS206" i="13"/>
  <c r="AS214" i="13" s="1"/>
  <c r="AP203" i="13"/>
  <c r="AP211" i="13" s="1"/>
  <c r="AS59" i="13"/>
  <c r="B64" i="6"/>
  <c r="C64" i="6"/>
  <c r="A65" i="6"/>
  <c r="B64" i="1"/>
  <c r="C64" i="1"/>
  <c r="A65" i="1"/>
  <c r="A59" i="3"/>
  <c r="C58" i="3"/>
  <c r="N31" i="4"/>
  <c r="B58" i="3"/>
  <c r="O30" i="4"/>
  <c r="AA30" i="4"/>
  <c r="A30" i="4"/>
  <c r="B30" i="4" s="1"/>
  <c r="AD29" i="4"/>
  <c r="AP29" i="4"/>
  <c r="AQ29" i="4" s="1"/>
  <c r="B96" i="6"/>
  <c r="A97" i="6"/>
  <c r="C96" i="6"/>
  <c r="B96" i="1"/>
  <c r="C96" i="1"/>
  <c r="A97" i="1"/>
  <c r="A91" i="3"/>
  <c r="N63" i="4"/>
  <c r="B90" i="3"/>
  <c r="C90" i="3"/>
  <c r="O62" i="4"/>
  <c r="AA62" i="4"/>
  <c r="A62" i="4"/>
  <c r="B62" i="4" s="1"/>
  <c r="AD61" i="4"/>
  <c r="AP61" i="4"/>
  <c r="AQ61" i="4" s="1"/>
  <c r="AH4" i="11" l="1"/>
  <c r="AI3" i="11"/>
  <c r="AK1" i="19"/>
  <c r="AK6" i="19" s="1"/>
  <c r="AK3" i="19"/>
  <c r="AL4" i="19"/>
  <c r="L59" i="17"/>
  <c r="K60" i="17"/>
  <c r="O32" i="17"/>
  <c r="P32" i="17"/>
  <c r="Q32" i="17"/>
  <c r="R32" i="17"/>
  <c r="S32" i="17"/>
  <c r="T32" i="17"/>
  <c r="U32" i="17" s="1"/>
  <c r="N33" i="17"/>
  <c r="H31" i="17"/>
  <c r="F32" i="17"/>
  <c r="J46" i="17"/>
  <c r="M46" i="17" s="1"/>
  <c r="I47" i="17"/>
  <c r="M212" i="18"/>
  <c r="L190" i="18"/>
  <c r="M190" i="18" s="1"/>
  <c r="E191" i="18"/>
  <c r="G184" i="18"/>
  <c r="G185" i="18" s="1"/>
  <c r="G186" i="18" s="1"/>
  <c r="G187" i="18" s="1"/>
  <c r="G188" i="18" s="1"/>
  <c r="G189" i="18" s="1"/>
  <c r="G190" i="18" s="1"/>
  <c r="L184" i="18"/>
  <c r="M184" i="18" s="1"/>
  <c r="L197" i="18"/>
  <c r="M197" i="18" s="1"/>
  <c r="E198" i="18"/>
  <c r="L203" i="18"/>
  <c r="M203" i="18" s="1"/>
  <c r="E204" i="18"/>
  <c r="K45" i="18"/>
  <c r="L44" i="18"/>
  <c r="R32" i="18"/>
  <c r="S32" i="18"/>
  <c r="O32" i="18"/>
  <c r="P32" i="18"/>
  <c r="Q32" i="18"/>
  <c r="T32" i="18"/>
  <c r="U32" i="18" s="1"/>
  <c r="N33" i="18"/>
  <c r="F32" i="18"/>
  <c r="H31" i="18"/>
  <c r="J47" i="18"/>
  <c r="I48" i="18"/>
  <c r="AI201" i="13"/>
  <c r="AH216" i="13"/>
  <c r="AI142" i="13"/>
  <c r="AI106" i="13"/>
  <c r="AJ45" i="13"/>
  <c r="AJ82" i="13"/>
  <c r="AJ128" i="13"/>
  <c r="AI196" i="13"/>
  <c r="AI212" i="13" s="1"/>
  <c r="AJ204" i="13" s="1"/>
  <c r="AJ173" i="13"/>
  <c r="AI144" i="13"/>
  <c r="AI145" i="13"/>
  <c r="AT206" i="13"/>
  <c r="AT214" i="13" s="1"/>
  <c r="AQ203" i="13"/>
  <c r="AQ211" i="13" s="1"/>
  <c r="AT59" i="13"/>
  <c r="B65" i="6"/>
  <c r="C65" i="6"/>
  <c r="A66" i="6"/>
  <c r="B65" i="1"/>
  <c r="C65" i="1"/>
  <c r="A66" i="1"/>
  <c r="A60" i="3"/>
  <c r="N32" i="4"/>
  <c r="B59" i="3"/>
  <c r="C59" i="3"/>
  <c r="O31" i="4"/>
  <c r="AA31" i="4"/>
  <c r="A31" i="4"/>
  <c r="B31" i="4" s="1"/>
  <c r="AD30" i="4"/>
  <c r="AP30" i="4"/>
  <c r="AQ30" i="4" s="1"/>
  <c r="A98" i="6"/>
  <c r="C97" i="6"/>
  <c r="B97" i="6"/>
  <c r="B97" i="1"/>
  <c r="C97" i="1"/>
  <c r="A98" i="1"/>
  <c r="A92" i="3"/>
  <c r="B91" i="3"/>
  <c r="C91" i="3"/>
  <c r="N64" i="4"/>
  <c r="O63" i="4"/>
  <c r="AA63" i="4"/>
  <c r="A63" i="4"/>
  <c r="B63" i="4" s="1"/>
  <c r="AD62" i="4"/>
  <c r="AP62" i="4"/>
  <c r="AQ62" i="4" s="1"/>
  <c r="AI4" i="11" l="1"/>
  <c r="AJ3" i="11"/>
  <c r="AL1" i="19"/>
  <c r="AL6" i="19" s="1"/>
  <c r="G191" i="18"/>
  <c r="G192" i="18" s="1"/>
  <c r="G193" i="18" s="1"/>
  <c r="G194" i="18" s="1"/>
  <c r="G195" i="18" s="1"/>
  <c r="G196" i="18" s="1"/>
  <c r="G197" i="18" s="1"/>
  <c r="G198" i="18" s="1"/>
  <c r="G199" i="18" s="1"/>
  <c r="G200" i="18" s="1"/>
  <c r="G201" i="18" s="1"/>
  <c r="G202" i="18" s="1"/>
  <c r="G203" i="18" s="1"/>
  <c r="G204" i="18" s="1"/>
  <c r="G205" i="18" s="1"/>
  <c r="G206" i="18" s="1"/>
  <c r="G207" i="18" s="1"/>
  <c r="G208" i="18" s="1"/>
  <c r="G209" i="18" s="1"/>
  <c r="G210" i="18" s="1"/>
  <c r="G211" i="18" s="1"/>
  <c r="G212" i="18" s="1"/>
  <c r="G215" i="18" s="1"/>
  <c r="G216" i="18" s="1"/>
  <c r="AL3" i="19"/>
  <c r="AM4" i="19"/>
  <c r="L60" i="17"/>
  <c r="M60" i="17" s="1"/>
  <c r="K61" i="17"/>
  <c r="O33" i="17"/>
  <c r="P33" i="17"/>
  <c r="Q33" i="17"/>
  <c r="R33" i="17"/>
  <c r="S33" i="17"/>
  <c r="T33" i="17"/>
  <c r="U33" i="17" s="1"/>
  <c r="N34" i="17"/>
  <c r="H32" i="17"/>
  <c r="F33" i="17"/>
  <c r="J47" i="17"/>
  <c r="M47" i="17" s="1"/>
  <c r="I48" i="17"/>
  <c r="L191" i="18"/>
  <c r="M191" i="18" s="1"/>
  <c r="L198" i="18"/>
  <c r="M198" i="18" s="1"/>
  <c r="L204" i="18"/>
  <c r="M204" i="18" s="1"/>
  <c r="K46" i="18"/>
  <c r="L45" i="18"/>
  <c r="P33" i="18"/>
  <c r="R33" i="18"/>
  <c r="S33" i="18"/>
  <c r="T33" i="18"/>
  <c r="U33" i="18" s="1"/>
  <c r="N34" i="18"/>
  <c r="O33" i="18"/>
  <c r="Q33" i="18"/>
  <c r="F33" i="18"/>
  <c r="H32" i="18"/>
  <c r="J48" i="18"/>
  <c r="I49" i="18"/>
  <c r="M44" i="18"/>
  <c r="AI193" i="13"/>
  <c r="AI209" i="13" s="1"/>
  <c r="AJ170" i="13"/>
  <c r="AJ133" i="13"/>
  <c r="AG134" i="13"/>
  <c r="AJ171" i="13"/>
  <c r="AI194" i="13"/>
  <c r="AI158" i="13"/>
  <c r="AI156" i="13" s="1"/>
  <c r="AI168" i="13" s="1"/>
  <c r="AI189" i="13" s="1"/>
  <c r="AI102" i="13"/>
  <c r="AJ46" i="13"/>
  <c r="AJ47" i="13"/>
  <c r="AJ99" i="13"/>
  <c r="AK76" i="13" s="1"/>
  <c r="AJ148" i="13"/>
  <c r="AJ83" i="13"/>
  <c r="AU206" i="13"/>
  <c r="AU214" i="13" s="1"/>
  <c r="AR203" i="13"/>
  <c r="AR211" i="13" s="1"/>
  <c r="AU59" i="13"/>
  <c r="B66" i="6"/>
  <c r="C66" i="6"/>
  <c r="B66" i="1"/>
  <c r="C66" i="1"/>
  <c r="A61" i="3"/>
  <c r="B60" i="3"/>
  <c r="C60" i="3"/>
  <c r="N33" i="4"/>
  <c r="O32" i="4"/>
  <c r="AA32" i="4"/>
  <c r="A32" i="4"/>
  <c r="B32" i="4" s="1"/>
  <c r="AD31" i="4"/>
  <c r="AP31" i="4"/>
  <c r="AQ31" i="4" s="1"/>
  <c r="A99" i="6"/>
  <c r="B98" i="6"/>
  <c r="C98" i="6"/>
  <c r="B98" i="1"/>
  <c r="C98" i="1"/>
  <c r="A99" i="1"/>
  <c r="A93" i="3"/>
  <c r="C92" i="3"/>
  <c r="N65" i="4"/>
  <c r="B92" i="3"/>
  <c r="A64" i="4"/>
  <c r="B64" i="4" s="1"/>
  <c r="O64" i="4"/>
  <c r="AA64" i="4"/>
  <c r="AD63" i="4"/>
  <c r="AP63" i="4"/>
  <c r="AQ63" i="4" s="1"/>
  <c r="AJ4" i="11" l="1"/>
  <c r="AK3" i="11"/>
  <c r="AM1" i="19"/>
  <c r="AM6" i="19" s="1"/>
  <c r="AM3" i="19"/>
  <c r="AN4" i="19"/>
  <c r="L61" i="17"/>
  <c r="M61" i="17" s="1"/>
  <c r="K62" i="17"/>
  <c r="R34" i="17"/>
  <c r="O34" i="17"/>
  <c r="P34" i="17"/>
  <c r="Q34" i="17"/>
  <c r="S34" i="17"/>
  <c r="T34" i="17"/>
  <c r="U34" i="17" s="1"/>
  <c r="N35" i="17"/>
  <c r="F34" i="17"/>
  <c r="H33" i="17"/>
  <c r="J48" i="17"/>
  <c r="M48" i="17" s="1"/>
  <c r="I49" i="17"/>
  <c r="L46" i="18"/>
  <c r="K47" i="18"/>
  <c r="R34" i="18"/>
  <c r="P34" i="18"/>
  <c r="S34" i="18"/>
  <c r="O34" i="18"/>
  <c r="Q34" i="18"/>
  <c r="T34" i="18"/>
  <c r="U34" i="18" s="1"/>
  <c r="N35" i="18"/>
  <c r="F34" i="18"/>
  <c r="H33" i="18"/>
  <c r="J49" i="18"/>
  <c r="I50" i="18"/>
  <c r="M45" i="18"/>
  <c r="AG139" i="13"/>
  <c r="AG140" i="13" s="1"/>
  <c r="AG136" i="13"/>
  <c r="AJ103" i="13" a="1"/>
  <c r="AI152" i="13"/>
  <c r="AI164" i="13" s="1"/>
  <c r="AI185" i="13" s="1"/>
  <c r="AI155" i="13"/>
  <c r="AI167" i="13" s="1"/>
  <c r="AI188" i="13" s="1"/>
  <c r="AI154" i="13"/>
  <c r="AI166" i="13" s="1"/>
  <c r="AI187" i="13" s="1"/>
  <c r="AI151" i="13"/>
  <c r="AI163" i="13" s="1"/>
  <c r="AI184" i="13" s="1"/>
  <c r="AI153" i="13"/>
  <c r="AI165" i="13" s="1"/>
  <c r="AI186" i="13" s="1"/>
  <c r="AJ104" i="13" a="1"/>
  <c r="AI210" i="13"/>
  <c r="AH217" i="13"/>
  <c r="AH218" i="13"/>
  <c r="AJ197" i="13"/>
  <c r="AJ213" i="13" s="1"/>
  <c r="AK205" i="13" s="1"/>
  <c r="AK174" i="13"/>
  <c r="AJ147" i="13"/>
  <c r="AJ144" i="13" s="1"/>
  <c r="AK126" i="13"/>
  <c r="AK78" i="13"/>
  <c r="AJ201" i="13"/>
  <c r="AV206" i="13"/>
  <c r="AV214" i="13" s="1"/>
  <c r="AS203" i="13"/>
  <c r="AS211" i="13" s="1"/>
  <c r="AV59" i="13"/>
  <c r="C61" i="3"/>
  <c r="B61" i="3"/>
  <c r="N34" i="4"/>
  <c r="O33" i="4"/>
  <c r="AA33" i="4"/>
  <c r="A33" i="4"/>
  <c r="B33" i="4" s="1"/>
  <c r="AD32" i="4"/>
  <c r="AP32" i="4"/>
  <c r="AQ32" i="4" s="1"/>
  <c r="A100" i="6"/>
  <c r="C99" i="6"/>
  <c r="B99" i="6"/>
  <c r="B99" i="1"/>
  <c r="C99" i="1"/>
  <c r="A100" i="1"/>
  <c r="A94" i="3"/>
  <c r="C93" i="3"/>
  <c r="B93" i="3"/>
  <c r="N66" i="4"/>
  <c r="A65" i="4"/>
  <c r="B65" i="4" s="1"/>
  <c r="O65" i="4"/>
  <c r="AA65" i="4"/>
  <c r="AD64" i="4"/>
  <c r="AP64" i="4"/>
  <c r="AQ64" i="4" s="1"/>
  <c r="AK4" i="11" l="1"/>
  <c r="AL3" i="11"/>
  <c r="AN1" i="19"/>
  <c r="AN6" i="19" s="1"/>
  <c r="AN3" i="19"/>
  <c r="AO4" i="19"/>
  <c r="L62" i="17"/>
  <c r="M62" i="17" s="1"/>
  <c r="K63" i="17"/>
  <c r="R35" i="17"/>
  <c r="O35" i="17"/>
  <c r="P35" i="17"/>
  <c r="Q35" i="17"/>
  <c r="S35" i="17"/>
  <c r="T35" i="17"/>
  <c r="U35" i="17" s="1"/>
  <c r="N36" i="17"/>
  <c r="F35" i="17"/>
  <c r="H34" i="17"/>
  <c r="J49" i="17"/>
  <c r="M49" i="17" s="1"/>
  <c r="I50" i="17"/>
  <c r="L47" i="18"/>
  <c r="M47" i="18" s="1"/>
  <c r="K48" i="18"/>
  <c r="R35" i="18"/>
  <c r="P35" i="18"/>
  <c r="S35" i="18"/>
  <c r="O35" i="18"/>
  <c r="Q35" i="18"/>
  <c r="T35" i="18"/>
  <c r="U35" i="18" s="1"/>
  <c r="N36" i="18"/>
  <c r="F35" i="18"/>
  <c r="H34" i="18"/>
  <c r="J50" i="18"/>
  <c r="I51" i="18"/>
  <c r="M46" i="18"/>
  <c r="AJ145" i="13"/>
  <c r="AJ196" i="13"/>
  <c r="AJ212" i="13" s="1"/>
  <c r="AK204" i="13" s="1"/>
  <c r="AK173" i="13"/>
  <c r="AJ106" i="13"/>
  <c r="AJ202" i="13"/>
  <c r="AI216" i="13"/>
  <c r="AK128" i="13"/>
  <c r="AK82" i="13"/>
  <c r="AK45" i="13"/>
  <c r="AK170" i="13"/>
  <c r="AJ193" i="13"/>
  <c r="AW206" i="13"/>
  <c r="AW214" i="13" s="1"/>
  <c r="AT203" i="13"/>
  <c r="AT211" i="13" s="1"/>
  <c r="AW59" i="13"/>
  <c r="O34" i="4"/>
  <c r="AA34" i="4"/>
  <c r="A34" i="4"/>
  <c r="B34" i="4" s="1"/>
  <c r="AD33" i="4"/>
  <c r="AP33" i="4"/>
  <c r="AQ33" i="4" s="1"/>
  <c r="C100" i="6"/>
  <c r="A101" i="6"/>
  <c r="B100" i="6"/>
  <c r="B100" i="1"/>
  <c r="C100" i="1"/>
  <c r="A101" i="1"/>
  <c r="A95" i="3"/>
  <c r="B94" i="3"/>
  <c r="C94" i="3"/>
  <c r="N67" i="4"/>
  <c r="A66" i="4"/>
  <c r="B66" i="4" s="1"/>
  <c r="O66" i="4"/>
  <c r="AA66" i="4"/>
  <c r="AD65" i="4"/>
  <c r="AP65" i="4"/>
  <c r="AQ65" i="4" s="1"/>
  <c r="AL4" i="11" l="1"/>
  <c r="AM3" i="11"/>
  <c r="AO1" i="19"/>
  <c r="AO6" i="19" s="1"/>
  <c r="AO3" i="19"/>
  <c r="AP4" i="19"/>
  <c r="L63" i="17"/>
  <c r="M63" i="17" s="1"/>
  <c r="K64" i="17"/>
  <c r="R36" i="17"/>
  <c r="O36" i="17"/>
  <c r="P36" i="17"/>
  <c r="Q36" i="17"/>
  <c r="S36" i="17"/>
  <c r="T36" i="17"/>
  <c r="U36" i="17" s="1"/>
  <c r="N37" i="17"/>
  <c r="F36" i="17"/>
  <c r="H35" i="17"/>
  <c r="J50" i="17"/>
  <c r="M50" i="17" s="1"/>
  <c r="I51" i="17"/>
  <c r="L48" i="18"/>
  <c r="M48" i="18" s="1"/>
  <c r="K49" i="18"/>
  <c r="R36" i="18"/>
  <c r="P36" i="18"/>
  <c r="T36" i="18"/>
  <c r="U36" i="18" s="1"/>
  <c r="N37" i="18"/>
  <c r="O36" i="18"/>
  <c r="Q36" i="18"/>
  <c r="S36" i="18"/>
  <c r="F36" i="18"/>
  <c r="H35" i="18"/>
  <c r="J51" i="18"/>
  <c r="I52" i="18"/>
  <c r="AK171" i="13"/>
  <c r="AJ194" i="13"/>
  <c r="AJ102" i="13"/>
  <c r="AJ158" i="13"/>
  <c r="AK99" i="13"/>
  <c r="AL76" i="13" s="1"/>
  <c r="AK148" i="13"/>
  <c r="AK83" i="13"/>
  <c r="AK47" i="13"/>
  <c r="AK46" i="13"/>
  <c r="AK133" i="13"/>
  <c r="AH134" i="13"/>
  <c r="AJ209" i="13"/>
  <c r="AX206" i="13"/>
  <c r="AX214" i="13" s="1"/>
  <c r="AU203" i="13"/>
  <c r="AU211" i="13" s="1"/>
  <c r="AX59" i="13"/>
  <c r="AD34" i="4"/>
  <c r="AP34" i="4"/>
  <c r="AQ34" i="4" s="1"/>
  <c r="C101" i="6"/>
  <c r="A102" i="6"/>
  <c r="B101" i="6"/>
  <c r="B101" i="1"/>
  <c r="C101" i="1"/>
  <c r="A102" i="1"/>
  <c r="A96" i="3"/>
  <c r="C95" i="3"/>
  <c r="B95" i="3"/>
  <c r="N68" i="4"/>
  <c r="A67" i="4"/>
  <c r="B67" i="4" s="1"/>
  <c r="O67" i="4"/>
  <c r="AA67" i="4"/>
  <c r="AD66" i="4"/>
  <c r="AP66" i="4"/>
  <c r="AQ66" i="4" s="1"/>
  <c r="AM4" i="11" l="1"/>
  <c r="AN3" i="11"/>
  <c r="AP1" i="19"/>
  <c r="AP6" i="19" s="1"/>
  <c r="AP3" i="19"/>
  <c r="AQ4" i="19"/>
  <c r="L64" i="17"/>
  <c r="M64" i="17" s="1"/>
  <c r="K65" i="17"/>
  <c r="R37" i="17"/>
  <c r="O37" i="17"/>
  <c r="P37" i="17"/>
  <c r="Q37" i="17"/>
  <c r="S37" i="17"/>
  <c r="T37" i="17"/>
  <c r="U37" i="17" s="1"/>
  <c r="N38" i="17"/>
  <c r="F37" i="17"/>
  <c r="H36" i="17"/>
  <c r="J51" i="17"/>
  <c r="M51" i="17" s="1"/>
  <c r="I52" i="17"/>
  <c r="L49" i="18"/>
  <c r="M49" i="18" s="1"/>
  <c r="K50" i="18"/>
  <c r="R37" i="18"/>
  <c r="P37" i="18"/>
  <c r="T37" i="18"/>
  <c r="U37" i="18" s="1"/>
  <c r="O37" i="18"/>
  <c r="Q37" i="18"/>
  <c r="S37" i="18"/>
  <c r="N38" i="18"/>
  <c r="F37" i="18"/>
  <c r="H36" i="18"/>
  <c r="J52" i="18"/>
  <c r="I53" i="18"/>
  <c r="AI218" i="13"/>
  <c r="AJ210" i="13"/>
  <c r="AK202" i="13" s="1"/>
  <c r="AI217" i="13"/>
  <c r="AJ156" i="13"/>
  <c r="AJ168" i="13" s="1"/>
  <c r="AJ189" i="13" s="1"/>
  <c r="AJ155" i="13"/>
  <c r="AJ167" i="13" s="1"/>
  <c r="AJ188" i="13" s="1"/>
  <c r="AJ154" i="13"/>
  <c r="AJ166" i="13" s="1"/>
  <c r="AJ153" i="13"/>
  <c r="AJ165" i="13" s="1"/>
  <c r="AJ186" i="13" s="1"/>
  <c r="AJ151" i="13"/>
  <c r="AJ163" i="13" s="1"/>
  <c r="AJ184" i="13" s="1"/>
  <c r="AJ152" i="13"/>
  <c r="AJ164" i="13" s="1"/>
  <c r="AJ185" i="13" s="1"/>
  <c r="AL126" i="13"/>
  <c r="AL78" i="13"/>
  <c r="AL174" i="13"/>
  <c r="AK147" i="13"/>
  <c r="AK197" i="13"/>
  <c r="AK213" i="13" s="1"/>
  <c r="AL205" i="13" s="1"/>
  <c r="AK103" i="13" a="1"/>
  <c r="AK104" i="13" a="1"/>
  <c r="AH139" i="13"/>
  <c r="AH140" i="13" s="1"/>
  <c r="AH136" i="13"/>
  <c r="AK201" i="13"/>
  <c r="AY206" i="13"/>
  <c r="AY214" i="13" s="1"/>
  <c r="AV203" i="13"/>
  <c r="AV211" i="13" s="1"/>
  <c r="AY59" i="13"/>
  <c r="A103" i="6"/>
  <c r="B102" i="6"/>
  <c r="C102" i="6"/>
  <c r="B102" i="1"/>
  <c r="C102" i="1"/>
  <c r="A103" i="1"/>
  <c r="A97" i="3"/>
  <c r="N69" i="4"/>
  <c r="B96" i="3"/>
  <c r="C96" i="3"/>
  <c r="AA68" i="4"/>
  <c r="O68" i="4"/>
  <c r="A68" i="4"/>
  <c r="B68" i="4" s="1"/>
  <c r="AD67" i="4"/>
  <c r="AP67" i="4"/>
  <c r="AQ67" i="4" s="1"/>
  <c r="AN4" i="11" l="1"/>
  <c r="AO3" i="11"/>
  <c r="AQ1" i="19"/>
  <c r="AQ6" i="19" s="1"/>
  <c r="AQ3" i="19"/>
  <c r="AR4" i="19"/>
  <c r="L65" i="17"/>
  <c r="M65" i="17" s="1"/>
  <c r="K66" i="17"/>
  <c r="O38" i="17"/>
  <c r="P38" i="17"/>
  <c r="Q38" i="17"/>
  <c r="R38" i="17"/>
  <c r="S38" i="17"/>
  <c r="T38" i="17"/>
  <c r="U38" i="17" s="1"/>
  <c r="N39" i="17"/>
  <c r="F38" i="17"/>
  <c r="H37" i="17"/>
  <c r="J52" i="17"/>
  <c r="M52" i="17" s="1"/>
  <c r="I53" i="17"/>
  <c r="L50" i="18"/>
  <c r="M50" i="18" s="1"/>
  <c r="K51" i="18"/>
  <c r="P38" i="18"/>
  <c r="R38" i="18"/>
  <c r="T38" i="18"/>
  <c r="U38" i="18" s="1"/>
  <c r="N39" i="18"/>
  <c r="O38" i="18"/>
  <c r="Q38" i="18"/>
  <c r="S38" i="18"/>
  <c r="H37" i="18"/>
  <c r="F38" i="18"/>
  <c r="J53" i="18"/>
  <c r="I54" i="18"/>
  <c r="AJ187" i="13"/>
  <c r="AJ216" i="13"/>
  <c r="AL45" i="13"/>
  <c r="AL82" i="13"/>
  <c r="AL173" i="13"/>
  <c r="AK196" i="13"/>
  <c r="AK212" i="13" s="1"/>
  <c r="AL204" i="13" s="1"/>
  <c r="AK145" i="13"/>
  <c r="AK144" i="13"/>
  <c r="AK106" i="13"/>
  <c r="AL128" i="13"/>
  <c r="AZ206" i="13"/>
  <c r="AZ214" i="13" s="1"/>
  <c r="AW203" i="13"/>
  <c r="AW211" i="13" s="1"/>
  <c r="AZ59" i="13"/>
  <c r="A104" i="6"/>
  <c r="B103" i="6"/>
  <c r="C103" i="6"/>
  <c r="B103" i="1"/>
  <c r="C103" i="1"/>
  <c r="A104" i="1"/>
  <c r="A98" i="3"/>
  <c r="C97" i="3"/>
  <c r="B97" i="3"/>
  <c r="N70" i="4"/>
  <c r="O69" i="4"/>
  <c r="AA69" i="4"/>
  <c r="A69" i="4"/>
  <c r="B69" i="4" s="1"/>
  <c r="AD68" i="4"/>
  <c r="AP68" i="4"/>
  <c r="AQ68" i="4" s="1"/>
  <c r="AO4" i="11" l="1"/>
  <c r="AP3" i="11"/>
  <c r="AP4" i="11" s="1"/>
  <c r="AR1" i="19"/>
  <c r="AR6" i="19" s="1"/>
  <c r="AR3" i="19"/>
  <c r="AS4" i="19"/>
  <c r="L66" i="17"/>
  <c r="M66" i="17" s="1"/>
  <c r="K67" i="17"/>
  <c r="R39" i="17"/>
  <c r="O39" i="17"/>
  <c r="P39" i="17"/>
  <c r="Q39" i="17"/>
  <c r="S39" i="17"/>
  <c r="T39" i="17"/>
  <c r="U39" i="17" s="1"/>
  <c r="N40" i="17"/>
  <c r="F39" i="17"/>
  <c r="H38" i="17"/>
  <c r="J53" i="17"/>
  <c r="M53" i="17" s="1"/>
  <c r="I54" i="17"/>
  <c r="L51" i="18"/>
  <c r="M51" i="18" s="1"/>
  <c r="K52" i="18"/>
  <c r="R39" i="18"/>
  <c r="P39" i="18"/>
  <c r="S39" i="18"/>
  <c r="O39" i="18"/>
  <c r="Q39" i="18"/>
  <c r="T39" i="18"/>
  <c r="U39" i="18" s="1"/>
  <c r="N40" i="18"/>
  <c r="F39" i="18"/>
  <c r="H38" i="18"/>
  <c r="J54" i="18"/>
  <c r="I55" i="18"/>
  <c r="AL133" i="13"/>
  <c r="AI134" i="13"/>
  <c r="AK102" i="13"/>
  <c r="AK158" i="13"/>
  <c r="AL46" i="13"/>
  <c r="AL47" i="13"/>
  <c r="AL148" i="13"/>
  <c r="AL99" i="13"/>
  <c r="AM76" i="13" s="1"/>
  <c r="AL83" i="13"/>
  <c r="AK194" i="13"/>
  <c r="AK210" i="13" s="1"/>
  <c r="AL202" i="13" s="1"/>
  <c r="AL171" i="13"/>
  <c r="AK193" i="13"/>
  <c r="AL170" i="13"/>
  <c r="BA206" i="13"/>
  <c r="BA214" i="13" s="1"/>
  <c r="AX203" i="13"/>
  <c r="AX211" i="13" s="1"/>
  <c r="BA59" i="13"/>
  <c r="A105" i="6"/>
  <c r="B104" i="6"/>
  <c r="C104" i="6"/>
  <c r="B104" i="1"/>
  <c r="C104" i="1"/>
  <c r="A105" i="1"/>
  <c r="A99" i="3"/>
  <c r="N71" i="4"/>
  <c r="B98" i="3"/>
  <c r="C98" i="3"/>
  <c r="O70" i="4"/>
  <c r="AA70" i="4"/>
  <c r="A70" i="4"/>
  <c r="B70" i="4" s="1"/>
  <c r="AP69" i="4"/>
  <c r="AQ69" i="4" s="1"/>
  <c r="AD69" i="4"/>
  <c r="AS1" i="19" l="1"/>
  <c r="AS6" i="19" s="1"/>
  <c r="AS3" i="19"/>
  <c r="AT4" i="19"/>
  <c r="L67" i="17"/>
  <c r="M67" i="17" s="1"/>
  <c r="K68" i="17"/>
  <c r="O40" i="17"/>
  <c r="P40" i="17"/>
  <c r="Q40" i="17"/>
  <c r="R40" i="17"/>
  <c r="S40" i="17"/>
  <c r="T40" i="17"/>
  <c r="U40" i="17" s="1"/>
  <c r="N41" i="17"/>
  <c r="F40" i="17"/>
  <c r="H39" i="17"/>
  <c r="J54" i="17"/>
  <c r="M54" i="17" s="1"/>
  <c r="I55" i="17"/>
  <c r="L52" i="18"/>
  <c r="M52" i="18" s="1"/>
  <c r="K53" i="18"/>
  <c r="P40" i="18"/>
  <c r="S40" i="18"/>
  <c r="N41" i="18"/>
  <c r="O40" i="18"/>
  <c r="Q40" i="18"/>
  <c r="R40" i="18"/>
  <c r="T40" i="18"/>
  <c r="U40" i="18" s="1"/>
  <c r="F40" i="18"/>
  <c r="H39" i="18"/>
  <c r="J55" i="18"/>
  <c r="I56" i="18"/>
  <c r="AI139" i="13"/>
  <c r="AI140" i="13" s="1"/>
  <c r="AI136" i="13"/>
  <c r="AK152" i="13"/>
  <c r="AK164" i="13" s="1"/>
  <c r="AK185" i="13" s="1"/>
  <c r="AK153" i="13"/>
  <c r="AK165" i="13" s="1"/>
  <c r="AK186" i="13" s="1"/>
  <c r="AK154" i="13"/>
  <c r="AK166" i="13" s="1"/>
  <c r="AK187" i="13" s="1"/>
  <c r="AK155" i="13"/>
  <c r="AK167" i="13" s="1"/>
  <c r="AK188" i="13" s="1"/>
  <c r="AK156" i="13"/>
  <c r="AK168" i="13" s="1"/>
  <c r="AK189" i="13" s="1"/>
  <c r="AK151" i="13"/>
  <c r="AK163" i="13" s="1"/>
  <c r="AK184" i="13" s="1"/>
  <c r="AL104" i="13" a="1"/>
  <c r="AL103" i="13" a="1"/>
  <c r="AL197" i="13"/>
  <c r="AL213" i="13" s="1"/>
  <c r="AM205" i="13" s="1"/>
  <c r="AM174" i="13"/>
  <c r="AL147" i="13"/>
  <c r="AM126" i="13"/>
  <c r="AM78" i="13"/>
  <c r="AJ218" i="13"/>
  <c r="AJ217" i="13"/>
  <c r="AK209" i="13"/>
  <c r="AY203" i="13"/>
  <c r="AY211" i="13" s="1"/>
  <c r="B105" i="6"/>
  <c r="C105" i="6"/>
  <c r="A106" i="6"/>
  <c r="B105" i="1"/>
  <c r="C105" i="1"/>
  <c r="A106" i="1"/>
  <c r="A100" i="3"/>
  <c r="B99" i="3"/>
  <c r="C99" i="3"/>
  <c r="N72" i="4"/>
  <c r="O71" i="4"/>
  <c r="AA71" i="4"/>
  <c r="A71" i="4"/>
  <c r="B71" i="4" s="1"/>
  <c r="AD70" i="4"/>
  <c r="AP70" i="4"/>
  <c r="AQ70" i="4" s="1"/>
  <c r="AT1" i="19" l="1"/>
  <c r="AT6" i="19" s="1"/>
  <c r="AT3" i="19"/>
  <c r="AU4" i="19"/>
  <c r="L68" i="17"/>
  <c r="M68" i="17" s="1"/>
  <c r="K69" i="17"/>
  <c r="R41" i="17"/>
  <c r="O41" i="17"/>
  <c r="P41" i="17"/>
  <c r="Q41" i="17"/>
  <c r="S41" i="17"/>
  <c r="T41" i="17"/>
  <c r="U41" i="17" s="1"/>
  <c r="N42" i="17"/>
  <c r="F41" i="17"/>
  <c r="H40" i="17"/>
  <c r="J55" i="17"/>
  <c r="M55" i="17" s="1"/>
  <c r="I56" i="17"/>
  <c r="L53" i="18"/>
  <c r="M53" i="18" s="1"/>
  <c r="K54" i="18"/>
  <c r="R41" i="18"/>
  <c r="P41" i="18"/>
  <c r="T41" i="18"/>
  <c r="U41" i="18" s="1"/>
  <c r="O41" i="18"/>
  <c r="Q41" i="18"/>
  <c r="S41" i="18"/>
  <c r="N42" i="18"/>
  <c r="F41" i="18"/>
  <c r="H40" i="18"/>
  <c r="J56" i="18"/>
  <c r="I57" i="18"/>
  <c r="AM45" i="13"/>
  <c r="AM82" i="13"/>
  <c r="AM173" i="13"/>
  <c r="AL196" i="13"/>
  <c r="AL212" i="13" s="1"/>
  <c r="AM204" i="13" s="1"/>
  <c r="AL144" i="13"/>
  <c r="AL145" i="13"/>
  <c r="AM128" i="13"/>
  <c r="AK216" i="13"/>
  <c r="AL201" i="13"/>
  <c r="AL106" i="13"/>
  <c r="AZ203" i="13"/>
  <c r="AZ211" i="13" s="1"/>
  <c r="B106" i="6"/>
  <c r="C106" i="6"/>
  <c r="A107" i="6"/>
  <c r="B106" i="1"/>
  <c r="C106" i="1"/>
  <c r="A107" i="1"/>
  <c r="A101" i="3"/>
  <c r="N73" i="4"/>
  <c r="B100" i="3"/>
  <c r="C100" i="3"/>
  <c r="AA72" i="4"/>
  <c r="O72" i="4"/>
  <c r="A72" i="4"/>
  <c r="B72" i="4" s="1"/>
  <c r="AP71" i="4"/>
  <c r="AQ71" i="4" s="1"/>
  <c r="AD71" i="4"/>
  <c r="AU1" i="19" l="1"/>
  <c r="AU6" i="19" s="1"/>
  <c r="AU3" i="19"/>
  <c r="AV4" i="19"/>
  <c r="L69" i="17"/>
  <c r="M69" i="17" s="1"/>
  <c r="K70" i="17"/>
  <c r="R42" i="17"/>
  <c r="O42" i="17"/>
  <c r="P42" i="17"/>
  <c r="Q42" i="17"/>
  <c r="S42" i="17"/>
  <c r="T42" i="17"/>
  <c r="U42" i="17" s="1"/>
  <c r="N43" i="17"/>
  <c r="F42" i="17"/>
  <c r="H41" i="17"/>
  <c r="J56" i="17"/>
  <c r="M56" i="17" s="1"/>
  <c r="I57" i="17"/>
  <c r="L54" i="18"/>
  <c r="M54" i="18" s="1"/>
  <c r="K55" i="18"/>
  <c r="R42" i="18"/>
  <c r="P42" i="18"/>
  <c r="S42" i="18"/>
  <c r="O42" i="18"/>
  <c r="Q42" i="18"/>
  <c r="T42" i="18"/>
  <c r="U42" i="18" s="1"/>
  <c r="N43" i="18"/>
  <c r="F42" i="18"/>
  <c r="H41" i="18"/>
  <c r="J57" i="18"/>
  <c r="I58" i="18"/>
  <c r="AM46" i="13"/>
  <c r="AM47" i="13"/>
  <c r="AM83" i="13"/>
  <c r="AM99" i="13"/>
  <c r="AN76" i="13" s="1"/>
  <c r="AM148" i="13"/>
  <c r="AL158" i="13"/>
  <c r="AL102" i="13"/>
  <c r="AL193" i="13"/>
  <c r="AM170" i="13"/>
  <c r="AL194" i="13"/>
  <c r="AL210" i="13" s="1"/>
  <c r="AM202" i="13" s="1"/>
  <c r="AM171" i="13"/>
  <c r="AM133" i="13"/>
  <c r="AJ134" i="13"/>
  <c r="BA203" i="13"/>
  <c r="BA211" i="13" s="1"/>
  <c r="B107" i="6"/>
  <c r="C107" i="6"/>
  <c r="A108" i="6"/>
  <c r="B107" i="1"/>
  <c r="C107" i="1"/>
  <c r="A108" i="1"/>
  <c r="A102" i="3"/>
  <c r="B101" i="3"/>
  <c r="C101" i="3"/>
  <c r="N74" i="4"/>
  <c r="AA73" i="4"/>
  <c r="A73" i="4"/>
  <c r="B73" i="4" s="1"/>
  <c r="O73" i="4"/>
  <c r="AD72" i="4"/>
  <c r="AP72" i="4"/>
  <c r="AQ72" i="4" s="1"/>
  <c r="AV1" i="19" l="1"/>
  <c r="AV6" i="19" s="1"/>
  <c r="AV3" i="19"/>
  <c r="AW4" i="19"/>
  <c r="L70" i="17"/>
  <c r="M70" i="17" s="1"/>
  <c r="K71" i="17"/>
  <c r="R43" i="17"/>
  <c r="O43" i="17"/>
  <c r="P43" i="17"/>
  <c r="Q43" i="17"/>
  <c r="S43" i="17"/>
  <c r="T43" i="17"/>
  <c r="U43" i="17" s="1"/>
  <c r="N44" i="17"/>
  <c r="F43" i="17"/>
  <c r="H42" i="17"/>
  <c r="J57" i="17"/>
  <c r="M57" i="17" s="1"/>
  <c r="I58" i="17"/>
  <c r="L55" i="18"/>
  <c r="M55" i="18" s="1"/>
  <c r="K56" i="18"/>
  <c r="R43" i="18"/>
  <c r="P43" i="18"/>
  <c r="S43" i="18"/>
  <c r="T43" i="18"/>
  <c r="U43" i="18" s="1"/>
  <c r="N44" i="18"/>
  <c r="O43" i="18"/>
  <c r="Q43" i="18"/>
  <c r="F43" i="18"/>
  <c r="H42" i="18"/>
  <c r="J58" i="18"/>
  <c r="I59" i="18"/>
  <c r="J59" i="18" s="1"/>
  <c r="AM104" i="13" a="1"/>
  <c r="AM103" i="13" a="1"/>
  <c r="AL151" i="13"/>
  <c r="AL163" i="13" s="1"/>
  <c r="AL184" i="13" s="1"/>
  <c r="AL154" i="13"/>
  <c r="AL166" i="13" s="1"/>
  <c r="AL187" i="13" s="1"/>
  <c r="AL155" i="13"/>
  <c r="AL167" i="13" s="1"/>
  <c r="AL188" i="13" s="1"/>
  <c r="AL156" i="13"/>
  <c r="AL168" i="13" s="1"/>
  <c r="AL189" i="13" s="1"/>
  <c r="AN78" i="13"/>
  <c r="AN126" i="13"/>
  <c r="AM197" i="13"/>
  <c r="AM213" i="13" s="1"/>
  <c r="AN205" i="13" s="1"/>
  <c r="AN174" i="13"/>
  <c r="AM147" i="13"/>
  <c r="AL153" i="13"/>
  <c r="AL165" i="13" s="1"/>
  <c r="AL186" i="13" s="1"/>
  <c r="AL152" i="13"/>
  <c r="AL164" i="13" s="1"/>
  <c r="AL185" i="13" s="1"/>
  <c r="AL209" i="13"/>
  <c r="AK218" i="13"/>
  <c r="AK217" i="13"/>
  <c r="AJ136" i="13"/>
  <c r="AJ139" i="13"/>
  <c r="A109" i="6"/>
  <c r="C108" i="6"/>
  <c r="B108" i="6"/>
  <c r="B108" i="1"/>
  <c r="C108" i="1"/>
  <c r="A109" i="1"/>
  <c r="A103" i="3"/>
  <c r="B102" i="3"/>
  <c r="C102" i="3"/>
  <c r="N75" i="4"/>
  <c r="O74" i="4"/>
  <c r="AA74" i="4"/>
  <c r="A74" i="4"/>
  <c r="B74" i="4" s="1"/>
  <c r="AP73" i="4"/>
  <c r="AQ73" i="4" s="1"/>
  <c r="AD73" i="4"/>
  <c r="AW1" i="19" l="1"/>
  <c r="AW6" i="19" s="1"/>
  <c r="AW3" i="19"/>
  <c r="AX4" i="19"/>
  <c r="L71" i="17"/>
  <c r="M71" i="17" s="1"/>
  <c r="K72" i="17"/>
  <c r="R44" i="17"/>
  <c r="O44" i="17"/>
  <c r="P44" i="17"/>
  <c r="Q44" i="17"/>
  <c r="S44" i="17"/>
  <c r="T44" i="17"/>
  <c r="U44" i="17" s="1"/>
  <c r="N45" i="17"/>
  <c r="F44" i="17"/>
  <c r="H43" i="17"/>
  <c r="J58" i="17"/>
  <c r="M58" i="17" s="1"/>
  <c r="I59" i="17"/>
  <c r="J59" i="17" s="1"/>
  <c r="M59" i="17" s="1"/>
  <c r="L56" i="18"/>
  <c r="M56" i="18" s="1"/>
  <c r="K57" i="18"/>
  <c r="R44" i="18"/>
  <c r="P44" i="18"/>
  <c r="T44" i="18"/>
  <c r="U44" i="18" s="1"/>
  <c r="N45" i="18"/>
  <c r="O44" i="18"/>
  <c r="Q44" i="18"/>
  <c r="S44" i="18"/>
  <c r="F44" i="18"/>
  <c r="H43" i="18"/>
  <c r="AM106" i="13"/>
  <c r="AN128" i="13"/>
  <c r="AN173" i="13"/>
  <c r="AM196" i="13"/>
  <c r="AM212" i="13" s="1"/>
  <c r="AN204" i="13" s="1"/>
  <c r="AM144" i="13"/>
  <c r="AM145" i="13"/>
  <c r="AN82" i="13"/>
  <c r="AN45" i="13"/>
  <c r="AJ140" i="13"/>
  <c r="AM201" i="13"/>
  <c r="AL216" i="13"/>
  <c r="A110" i="6"/>
  <c r="B109" i="6"/>
  <c r="C109" i="6"/>
  <c r="B109" i="1"/>
  <c r="C109" i="1"/>
  <c r="A110" i="1"/>
  <c r="A104" i="3"/>
  <c r="B103" i="3"/>
  <c r="C103" i="3"/>
  <c r="N76" i="4"/>
  <c r="O75" i="4"/>
  <c r="AA75" i="4"/>
  <c r="A75" i="4"/>
  <c r="B75" i="4" s="1"/>
  <c r="AD74" i="4"/>
  <c r="AP74" i="4"/>
  <c r="AQ74" i="4" s="1"/>
  <c r="AX1" i="19" l="1"/>
  <c r="AX3" i="19"/>
  <c r="AY4" i="19"/>
  <c r="L72" i="17"/>
  <c r="M72" i="17" s="1"/>
  <c r="K73" i="17"/>
  <c r="O45" i="17"/>
  <c r="P45" i="17"/>
  <c r="Q45" i="17"/>
  <c r="R45" i="17"/>
  <c r="S45" i="17"/>
  <c r="T45" i="17"/>
  <c r="U45" i="17" s="1"/>
  <c r="N46" i="17"/>
  <c r="F45" i="17"/>
  <c r="H44" i="17"/>
  <c r="L57" i="18"/>
  <c r="M57" i="18" s="1"/>
  <c r="K58" i="18"/>
  <c r="R45" i="18"/>
  <c r="O45" i="18"/>
  <c r="P45" i="18"/>
  <c r="Q45" i="18"/>
  <c r="S45" i="18"/>
  <c r="T45" i="18"/>
  <c r="U45" i="18" s="1"/>
  <c r="N46" i="18"/>
  <c r="H44" i="18"/>
  <c r="F45" i="18"/>
  <c r="AM102" i="13"/>
  <c r="AM158" i="13"/>
  <c r="AN170" i="13"/>
  <c r="AM193" i="13"/>
  <c r="AM194" i="13"/>
  <c r="AM210" i="13" s="1"/>
  <c r="AN202" i="13" s="1"/>
  <c r="AN171" i="13"/>
  <c r="AN83" i="13"/>
  <c r="AN148" i="13"/>
  <c r="AN99" i="13"/>
  <c r="AO76" i="13" s="1"/>
  <c r="AN46" i="13"/>
  <c r="AN47" i="13"/>
  <c r="AN133" i="13"/>
  <c r="AK134" i="13"/>
  <c r="C110" i="6"/>
  <c r="A111" i="6"/>
  <c r="B110" i="6"/>
  <c r="B110" i="1"/>
  <c r="C110" i="1"/>
  <c r="A111" i="1"/>
  <c r="A105" i="3"/>
  <c r="B104" i="3"/>
  <c r="C104" i="3"/>
  <c r="N77" i="4"/>
  <c r="A76" i="4"/>
  <c r="B76" i="4" s="1"/>
  <c r="O76" i="4"/>
  <c r="AA76" i="4"/>
  <c r="AD75" i="4"/>
  <c r="AP75" i="4"/>
  <c r="AQ75" i="4" s="1"/>
  <c r="AY1" i="19" l="1"/>
  <c r="AY3" i="19"/>
  <c r="AZ4" i="19"/>
  <c r="L73" i="17"/>
  <c r="M73" i="17" s="1"/>
  <c r="K74" i="17"/>
  <c r="R46" i="17"/>
  <c r="O46" i="17"/>
  <c r="P46" i="17"/>
  <c r="Q46" i="17"/>
  <c r="S46" i="17"/>
  <c r="T46" i="17"/>
  <c r="U46" i="17" s="1"/>
  <c r="N47" i="17"/>
  <c r="F46" i="17"/>
  <c r="H45" i="17"/>
  <c r="L58" i="18"/>
  <c r="M58" i="18" s="1"/>
  <c r="K59" i="18"/>
  <c r="R46" i="18"/>
  <c r="O46" i="18"/>
  <c r="P46" i="18"/>
  <c r="Q46" i="18"/>
  <c r="S46" i="18"/>
  <c r="T46" i="18"/>
  <c r="U46" i="18" s="1"/>
  <c r="N47" i="18"/>
  <c r="F46" i="18"/>
  <c r="H45" i="18"/>
  <c r="AM156" i="13"/>
  <c r="AM168" i="13" s="1"/>
  <c r="AM189" i="13" s="1"/>
  <c r="AM152" i="13"/>
  <c r="AM164" i="13" s="1"/>
  <c r="AM185" i="13" s="1"/>
  <c r="AM153" i="13"/>
  <c r="AM165" i="13" s="1"/>
  <c r="AM186" i="13" s="1"/>
  <c r="AM155" i="13"/>
  <c r="AM167" i="13" s="1"/>
  <c r="AM188" i="13" s="1"/>
  <c r="AM151" i="13"/>
  <c r="AM163" i="13" s="1"/>
  <c r="AM184" i="13" s="1"/>
  <c r="AM154" i="13"/>
  <c r="AM166" i="13" s="1"/>
  <c r="AM187" i="13" s="1"/>
  <c r="AL217" i="13"/>
  <c r="AL218" i="13"/>
  <c r="AM209" i="13"/>
  <c r="AN197" i="13"/>
  <c r="AN213" i="13" s="1"/>
  <c r="AO205" i="13" s="1"/>
  <c r="AO174" i="13"/>
  <c r="AN147" i="13"/>
  <c r="AO126" i="13"/>
  <c r="AO78" i="13"/>
  <c r="AN103" i="13" a="1"/>
  <c r="AN104" i="13" a="1"/>
  <c r="AK139" i="13"/>
  <c r="AK140" i="13" s="1"/>
  <c r="AK136" i="13"/>
  <c r="C111" i="6"/>
  <c r="A112" i="6"/>
  <c r="B111" i="6"/>
  <c r="B111" i="1"/>
  <c r="C111" i="1"/>
  <c r="A112" i="1"/>
  <c r="A106" i="3"/>
  <c r="B105" i="3"/>
  <c r="C105" i="3"/>
  <c r="N78" i="4"/>
  <c r="AA77" i="4"/>
  <c r="O77" i="4"/>
  <c r="A77" i="4"/>
  <c r="B77" i="4" s="1"/>
  <c r="AD76" i="4"/>
  <c r="AP76" i="4"/>
  <c r="AQ76" i="4" s="1"/>
  <c r="AZ1" i="19" l="1"/>
  <c r="AZ3" i="19"/>
  <c r="BA4" i="19"/>
  <c r="L74" i="17"/>
  <c r="M74" i="17" s="1"/>
  <c r="K75" i="17"/>
  <c r="O47" i="17"/>
  <c r="P47" i="17"/>
  <c r="Q47" i="17"/>
  <c r="R47" i="17"/>
  <c r="S47" i="17"/>
  <c r="T47" i="17"/>
  <c r="U47" i="17" s="1"/>
  <c r="N48" i="17"/>
  <c r="F47" i="17"/>
  <c r="H46" i="17"/>
  <c r="L59" i="18"/>
  <c r="M59" i="18" s="1"/>
  <c r="K60" i="18"/>
  <c r="O47" i="18"/>
  <c r="P47" i="18"/>
  <c r="Q47" i="18"/>
  <c r="R47" i="18"/>
  <c r="S47" i="18"/>
  <c r="T47" i="18"/>
  <c r="U47" i="18" s="1"/>
  <c r="N48" i="18"/>
  <c r="F47" i="18"/>
  <c r="H46" i="18"/>
  <c r="AM216" i="13"/>
  <c r="AN201" i="13"/>
  <c r="AO173" i="13"/>
  <c r="AN196" i="13"/>
  <c r="AN212" i="13" s="1"/>
  <c r="AO204" i="13" s="1"/>
  <c r="AN144" i="13"/>
  <c r="AN145" i="13"/>
  <c r="AO128" i="13"/>
  <c r="AO82" i="13"/>
  <c r="AO45" i="13"/>
  <c r="AN106" i="13"/>
  <c r="B112" i="6"/>
  <c r="A113" i="6"/>
  <c r="C112" i="6"/>
  <c r="B112" i="1"/>
  <c r="C112" i="1"/>
  <c r="A113" i="1"/>
  <c r="A107" i="3"/>
  <c r="B106" i="3"/>
  <c r="C106" i="3"/>
  <c r="N79" i="4"/>
  <c r="O78" i="4"/>
  <c r="AA78" i="4"/>
  <c r="A78" i="4"/>
  <c r="B78" i="4" s="1"/>
  <c r="AD77" i="4"/>
  <c r="AP77" i="4"/>
  <c r="AQ77" i="4" s="1"/>
  <c r="BA1" i="19" l="1"/>
  <c r="BA3" i="19"/>
  <c r="BB4" i="19"/>
  <c r="L75" i="17"/>
  <c r="M75" i="17" s="1"/>
  <c r="K76" i="17"/>
  <c r="R48" i="17"/>
  <c r="O48" i="17"/>
  <c r="P48" i="17"/>
  <c r="Q48" i="17"/>
  <c r="S48" i="17"/>
  <c r="T48" i="17"/>
  <c r="U48" i="17" s="1"/>
  <c r="N49" i="17"/>
  <c r="F48" i="17"/>
  <c r="H47" i="17"/>
  <c r="L60" i="18"/>
  <c r="M60" i="18" s="1"/>
  <c r="K61" i="18"/>
  <c r="R48" i="18"/>
  <c r="O48" i="18"/>
  <c r="P48" i="18"/>
  <c r="Q48" i="18"/>
  <c r="S48" i="18"/>
  <c r="T48" i="18"/>
  <c r="U48" i="18" s="1"/>
  <c r="N49" i="18"/>
  <c r="F48" i="18"/>
  <c r="H47" i="18"/>
  <c r="AN102" i="13"/>
  <c r="AN158" i="13"/>
  <c r="AN193" i="13"/>
  <c r="AO170" i="13"/>
  <c r="AN194" i="13"/>
  <c r="AN210" i="13" s="1"/>
  <c r="AO202" i="13" s="1"/>
  <c r="AO171" i="13"/>
  <c r="AO99" i="13"/>
  <c r="AP76" i="13" s="1"/>
  <c r="AO83" i="13"/>
  <c r="AO148" i="13"/>
  <c r="AO147" i="13" s="1"/>
  <c r="AO47" i="13"/>
  <c r="AO46" i="13"/>
  <c r="AL134" i="13"/>
  <c r="AO133" i="13"/>
  <c r="C113" i="6"/>
  <c r="B113" i="6"/>
  <c r="A114" i="6"/>
  <c r="B113" i="1"/>
  <c r="C113" i="1"/>
  <c r="A114" i="1"/>
  <c r="A108" i="3"/>
  <c r="B107" i="3"/>
  <c r="C107" i="3"/>
  <c r="N80" i="4"/>
  <c r="O79" i="4"/>
  <c r="AA79" i="4"/>
  <c r="A79" i="4"/>
  <c r="B79" i="4" s="1"/>
  <c r="AD78" i="4"/>
  <c r="AP78" i="4"/>
  <c r="AQ78" i="4" s="1"/>
  <c r="BB1" i="19" l="1"/>
  <c r="BB3" i="19"/>
  <c r="BC4" i="19"/>
  <c r="L76" i="17"/>
  <c r="M76" i="17" s="1"/>
  <c r="K77" i="17"/>
  <c r="R49" i="17"/>
  <c r="O49" i="17"/>
  <c r="P49" i="17"/>
  <c r="Q49" i="17"/>
  <c r="S49" i="17"/>
  <c r="T49" i="17"/>
  <c r="U49" i="17" s="1"/>
  <c r="N50" i="17"/>
  <c r="F49" i="17"/>
  <c r="H48" i="17"/>
  <c r="L61" i="18"/>
  <c r="M61" i="18" s="1"/>
  <c r="K62" i="18"/>
  <c r="R49" i="18"/>
  <c r="O49" i="18"/>
  <c r="P49" i="18"/>
  <c r="Q49" i="18"/>
  <c r="S49" i="18"/>
  <c r="T49" i="18"/>
  <c r="U49" i="18" s="1"/>
  <c r="N50" i="18"/>
  <c r="F49" i="18"/>
  <c r="H48" i="18"/>
  <c r="AN152" i="13"/>
  <c r="AN151" i="13"/>
  <c r="AN153" i="13"/>
  <c r="AN155" i="13"/>
  <c r="AN167" i="13" s="1"/>
  <c r="AN188" i="13" s="1"/>
  <c r="AN154" i="13"/>
  <c r="AN166" i="13" s="1"/>
  <c r="AN187" i="13" s="1"/>
  <c r="AN156" i="13"/>
  <c r="AN168" i="13" s="1"/>
  <c r="AN189" i="13" s="1"/>
  <c r="AN209" i="13"/>
  <c r="AO201" i="13" s="1"/>
  <c r="AM217" i="13"/>
  <c r="AM218" i="13"/>
  <c r="AP78" i="13"/>
  <c r="AP126" i="13"/>
  <c r="AP173" i="13"/>
  <c r="AO196" i="13"/>
  <c r="AO212" i="13" s="1"/>
  <c r="AP204" i="13" s="1"/>
  <c r="AO197" i="13"/>
  <c r="AO213" i="13" s="1"/>
  <c r="AP205" i="13" s="1"/>
  <c r="AP174" i="13"/>
  <c r="AO103" i="13" a="1"/>
  <c r="AO104" i="13" a="1"/>
  <c r="AL136" i="13"/>
  <c r="AL139" i="13"/>
  <c r="AL140" i="13" s="1"/>
  <c r="AO145" i="13"/>
  <c r="AO144" i="13"/>
  <c r="A115" i="6"/>
  <c r="C114" i="6"/>
  <c r="B114" i="6"/>
  <c r="B114" i="1"/>
  <c r="C114" i="1"/>
  <c r="A115" i="1"/>
  <c r="A109" i="3"/>
  <c r="B108" i="3"/>
  <c r="C108" i="3"/>
  <c r="N81" i="4"/>
  <c r="AA80" i="4"/>
  <c r="O80" i="4"/>
  <c r="A80" i="4"/>
  <c r="B80" i="4" s="1"/>
  <c r="AD79" i="4"/>
  <c r="AP79" i="4"/>
  <c r="AQ79" i="4" s="1"/>
  <c r="BC1" i="19" l="1"/>
  <c r="BC3" i="19"/>
  <c r="BD4" i="19"/>
  <c r="L77" i="17"/>
  <c r="M77" i="17" s="1"/>
  <c r="K78" i="17"/>
  <c r="R50" i="17"/>
  <c r="O50" i="17"/>
  <c r="P50" i="17"/>
  <c r="Q50" i="17"/>
  <c r="S50" i="17"/>
  <c r="T50" i="17"/>
  <c r="U50" i="17" s="1"/>
  <c r="N51" i="17"/>
  <c r="F50" i="17"/>
  <c r="H49" i="17"/>
  <c r="L62" i="18"/>
  <c r="M62" i="18" s="1"/>
  <c r="K63" i="18"/>
  <c r="R50" i="18"/>
  <c r="O50" i="18"/>
  <c r="P50" i="18"/>
  <c r="Q50" i="18"/>
  <c r="S50" i="18"/>
  <c r="T50" i="18"/>
  <c r="U50" i="18" s="1"/>
  <c r="N51" i="18"/>
  <c r="F50" i="18"/>
  <c r="H49" i="18"/>
  <c r="AP171" i="13"/>
  <c r="AO194" i="13"/>
  <c r="AO210" i="13" s="1"/>
  <c r="AP202" i="13" s="1"/>
  <c r="AP170" i="13"/>
  <c r="AO193" i="13"/>
  <c r="AO106" i="13"/>
  <c r="AP45" i="13"/>
  <c r="AP82" i="13"/>
  <c r="AP128" i="13"/>
  <c r="B115" i="6"/>
  <c r="A116" i="6"/>
  <c r="C115" i="6"/>
  <c r="B115" i="1"/>
  <c r="C115" i="1"/>
  <c r="A116" i="1"/>
  <c r="A110" i="3"/>
  <c r="B109" i="3"/>
  <c r="C109" i="3"/>
  <c r="N82" i="4"/>
  <c r="O81" i="4"/>
  <c r="AA81" i="4"/>
  <c r="A81" i="4"/>
  <c r="B81" i="4" s="1"/>
  <c r="AD80" i="4"/>
  <c r="AP80" i="4"/>
  <c r="AQ80" i="4" s="1"/>
  <c r="BD1" i="19" l="1"/>
  <c r="BD3" i="19"/>
  <c r="BE4" i="19"/>
  <c r="L78" i="17"/>
  <c r="M78" i="17" s="1"/>
  <c r="K79" i="17"/>
  <c r="R51" i="17"/>
  <c r="O51" i="17"/>
  <c r="P51" i="17"/>
  <c r="Q51" i="17"/>
  <c r="S51" i="17"/>
  <c r="T51" i="17"/>
  <c r="U51" i="17" s="1"/>
  <c r="N52" i="17"/>
  <c r="F51" i="17"/>
  <c r="H50" i="17"/>
  <c r="L63" i="18"/>
  <c r="M63" i="18" s="1"/>
  <c r="K64" i="18"/>
  <c r="R51" i="18"/>
  <c r="O51" i="18"/>
  <c r="P51" i="18"/>
  <c r="Q51" i="18"/>
  <c r="S51" i="18"/>
  <c r="T51" i="18"/>
  <c r="U51" i="18" s="1"/>
  <c r="N52" i="18"/>
  <c r="F51" i="18"/>
  <c r="H50" i="18"/>
  <c r="AM134" i="13"/>
  <c r="AP133" i="13"/>
  <c r="AN217" i="13"/>
  <c r="AO209" i="13"/>
  <c r="AN218" i="13"/>
  <c r="AP47" i="13"/>
  <c r="AP46" i="13"/>
  <c r="AP83" i="13"/>
  <c r="AP99" i="13"/>
  <c r="AQ76" i="13" s="1"/>
  <c r="AP148" i="13"/>
  <c r="AO158" i="13"/>
  <c r="AO102" i="13"/>
  <c r="A117" i="6"/>
  <c r="C116" i="6"/>
  <c r="B116" i="6"/>
  <c r="B116" i="1"/>
  <c r="C116" i="1"/>
  <c r="A117" i="1"/>
  <c r="A111" i="3"/>
  <c r="B110" i="3"/>
  <c r="C110" i="3"/>
  <c r="N83" i="4"/>
  <c r="O82" i="4"/>
  <c r="AA82" i="4"/>
  <c r="A82" i="4"/>
  <c r="B82" i="4" s="1"/>
  <c r="AD81" i="4"/>
  <c r="AP81" i="4"/>
  <c r="AQ81" i="4" s="1"/>
  <c r="BE1" i="19" l="1"/>
  <c r="BE3" i="19"/>
  <c r="BF4" i="19"/>
  <c r="L79" i="17"/>
  <c r="M79" i="17" s="1"/>
  <c r="K80" i="17"/>
  <c r="O52" i="17"/>
  <c r="P52" i="17"/>
  <c r="Q52" i="17"/>
  <c r="R52" i="17"/>
  <c r="S52" i="17"/>
  <c r="T52" i="17"/>
  <c r="U52" i="17" s="1"/>
  <c r="N53" i="17"/>
  <c r="F52" i="17"/>
  <c r="H51" i="17"/>
  <c r="L64" i="18"/>
  <c r="M64" i="18" s="1"/>
  <c r="K65" i="18"/>
  <c r="O52" i="18"/>
  <c r="P52" i="18"/>
  <c r="Q52" i="18"/>
  <c r="R52" i="18"/>
  <c r="S52" i="18"/>
  <c r="T52" i="18"/>
  <c r="U52" i="18" s="1"/>
  <c r="N53" i="18"/>
  <c r="F52" i="18"/>
  <c r="H51" i="18"/>
  <c r="AM139" i="13"/>
  <c r="AM140" i="13" s="1"/>
  <c r="AM136" i="13"/>
  <c r="AP103" i="13" a="1"/>
  <c r="AP104" i="13" a="1"/>
  <c r="AQ78" i="13"/>
  <c r="AQ126" i="13"/>
  <c r="AP197" i="13"/>
  <c r="AP213" i="13" s="1"/>
  <c r="AQ205" i="13" s="1"/>
  <c r="AQ174" i="13"/>
  <c r="AP147" i="13"/>
  <c r="AO151" i="13"/>
  <c r="AO154" i="13"/>
  <c r="AO166" i="13" s="1"/>
  <c r="AO187" i="13" s="1"/>
  <c r="AO152" i="13"/>
  <c r="AO153" i="13"/>
  <c r="AO155" i="13"/>
  <c r="AO167" i="13" s="1"/>
  <c r="AO188" i="13" s="1"/>
  <c r="AO156" i="13"/>
  <c r="AO168" i="13" s="1"/>
  <c r="AO189" i="13" s="1"/>
  <c r="AP201" i="13"/>
  <c r="C117" i="6"/>
  <c r="B117" i="6"/>
  <c r="A118" i="6"/>
  <c r="B117" i="1"/>
  <c r="C117" i="1"/>
  <c r="A118" i="1"/>
  <c r="A112" i="3"/>
  <c r="C111" i="3"/>
  <c r="B111" i="3"/>
  <c r="N84" i="4"/>
  <c r="O83" i="4"/>
  <c r="AA83" i="4"/>
  <c r="A83" i="4"/>
  <c r="B83" i="4" s="1"/>
  <c r="AD82" i="4"/>
  <c r="AP82" i="4"/>
  <c r="AQ82" i="4" s="1"/>
  <c r="BF1" i="19" l="1"/>
  <c r="BF3" i="19"/>
  <c r="BG4" i="19"/>
  <c r="L80" i="17"/>
  <c r="M80" i="17" s="1"/>
  <c r="K81" i="17"/>
  <c r="R53" i="17"/>
  <c r="O53" i="17"/>
  <c r="P53" i="17"/>
  <c r="Q53" i="17"/>
  <c r="S53" i="17"/>
  <c r="T53" i="17"/>
  <c r="U53" i="17" s="1"/>
  <c r="N54" i="17"/>
  <c r="F53" i="17"/>
  <c r="H52" i="17"/>
  <c r="L65" i="18"/>
  <c r="M65" i="18" s="1"/>
  <c r="K66" i="18"/>
  <c r="R53" i="18"/>
  <c r="O53" i="18"/>
  <c r="P53" i="18"/>
  <c r="Q53" i="18"/>
  <c r="S53" i="18"/>
  <c r="T53" i="18"/>
  <c r="U53" i="18" s="1"/>
  <c r="N54" i="18"/>
  <c r="F53" i="18"/>
  <c r="H52" i="18"/>
  <c r="AQ45" i="13"/>
  <c r="AQ82" i="13"/>
  <c r="AP144" i="13"/>
  <c r="AP145" i="13"/>
  <c r="AQ173" i="13"/>
  <c r="AP196" i="13"/>
  <c r="AP212" i="13" s="1"/>
  <c r="AQ204" i="13" s="1"/>
  <c r="AP106" i="13"/>
  <c r="AQ128" i="13"/>
  <c r="B118" i="6"/>
  <c r="A119" i="6"/>
  <c r="C118" i="6"/>
  <c r="B118" i="1"/>
  <c r="C118" i="1"/>
  <c r="A119" i="1"/>
  <c r="A113" i="3"/>
  <c r="B112" i="3"/>
  <c r="C112" i="3"/>
  <c r="N85" i="4"/>
  <c r="O84" i="4"/>
  <c r="AA84" i="4"/>
  <c r="A84" i="4"/>
  <c r="B84" i="4" s="1"/>
  <c r="AD83" i="4"/>
  <c r="AP83" i="4"/>
  <c r="AQ83" i="4" s="1"/>
  <c r="BG1" i="19" l="1"/>
  <c r="BG3" i="19"/>
  <c r="BH4" i="19"/>
  <c r="L81" i="17"/>
  <c r="M81" i="17" s="1"/>
  <c r="K82" i="17"/>
  <c r="O54" i="17"/>
  <c r="P54" i="17"/>
  <c r="Q54" i="17"/>
  <c r="R54" i="17"/>
  <c r="S54" i="17"/>
  <c r="T54" i="17"/>
  <c r="U54" i="17" s="1"/>
  <c r="N55" i="17"/>
  <c r="F54" i="17"/>
  <c r="H53" i="17"/>
  <c r="L66" i="18"/>
  <c r="M66" i="18" s="1"/>
  <c r="K67" i="18"/>
  <c r="O54" i="18"/>
  <c r="P54" i="18"/>
  <c r="Q54" i="18"/>
  <c r="R54" i="18"/>
  <c r="S54" i="18"/>
  <c r="T54" i="18"/>
  <c r="U54" i="18" s="1"/>
  <c r="N55" i="18"/>
  <c r="F54" i="18"/>
  <c r="H53" i="18"/>
  <c r="AQ133" i="13"/>
  <c r="AN134" i="13"/>
  <c r="AP158" i="13"/>
  <c r="AP151" i="13" s="1"/>
  <c r="AP102" i="13"/>
  <c r="AQ47" i="13"/>
  <c r="AQ46" i="13"/>
  <c r="AQ148" i="13"/>
  <c r="AQ83" i="13"/>
  <c r="AQ99" i="13"/>
  <c r="AR76" i="13" s="1"/>
  <c r="AP193" i="13"/>
  <c r="AQ170" i="13"/>
  <c r="AQ171" i="13"/>
  <c r="AP194" i="13"/>
  <c r="AP210" i="13" s="1"/>
  <c r="AQ202" i="13" s="1"/>
  <c r="A120" i="6"/>
  <c r="C119" i="6"/>
  <c r="B119" i="6"/>
  <c r="B119" i="1"/>
  <c r="C119" i="1"/>
  <c r="A120" i="1"/>
  <c r="A114" i="3"/>
  <c r="N86" i="4"/>
  <c r="B113" i="3"/>
  <c r="C113" i="3"/>
  <c r="O85" i="4"/>
  <c r="AA85" i="4"/>
  <c r="A85" i="4"/>
  <c r="B85" i="4" s="1"/>
  <c r="AD84" i="4"/>
  <c r="AP84" i="4"/>
  <c r="AQ84" i="4" s="1"/>
  <c r="BH1" i="19" l="1"/>
  <c r="BH3" i="19"/>
  <c r="BI4" i="19"/>
  <c r="L82" i="17"/>
  <c r="M82" i="17" s="1"/>
  <c r="K83" i="17"/>
  <c r="R55" i="17"/>
  <c r="O55" i="17"/>
  <c r="P55" i="17"/>
  <c r="Q55" i="17"/>
  <c r="S55" i="17"/>
  <c r="T55" i="17"/>
  <c r="U55" i="17" s="1"/>
  <c r="N56" i="17"/>
  <c r="F55" i="17"/>
  <c r="H54" i="17"/>
  <c r="L67" i="18"/>
  <c r="M67" i="18" s="1"/>
  <c r="K68" i="18"/>
  <c r="R55" i="18"/>
  <c r="O55" i="18"/>
  <c r="P55" i="18"/>
  <c r="Q55" i="18"/>
  <c r="S55" i="18"/>
  <c r="T55" i="18"/>
  <c r="U55" i="18" s="1"/>
  <c r="N56" i="18"/>
  <c r="F55" i="18"/>
  <c r="H54" i="18"/>
  <c r="AN139" i="13"/>
  <c r="AN140" i="13" s="1"/>
  <c r="AN136" i="13"/>
  <c r="AP156" i="13"/>
  <c r="AP168" i="13" s="1"/>
  <c r="AP189" i="13" s="1"/>
  <c r="AP155" i="13"/>
  <c r="AP167" i="13" s="1"/>
  <c r="AP188" i="13" s="1"/>
  <c r="AP153" i="13"/>
  <c r="AP152" i="13"/>
  <c r="AP154" i="13"/>
  <c r="AP166" i="13" s="1"/>
  <c r="AP187" i="13" s="1"/>
  <c r="AQ103" i="13" a="1"/>
  <c r="AQ104" i="13" a="1"/>
  <c r="AQ147" i="13"/>
  <c r="AR174" i="13"/>
  <c r="AQ197" i="13"/>
  <c r="AQ213" i="13" s="1"/>
  <c r="AR205" i="13" s="1"/>
  <c r="AR78" i="13"/>
  <c r="AR126" i="13"/>
  <c r="AP209" i="13"/>
  <c r="AQ201" i="13" s="1"/>
  <c r="AO218" i="13"/>
  <c r="AO217" i="13"/>
  <c r="C120" i="6"/>
  <c r="B120" i="6"/>
  <c r="A121" i="6"/>
  <c r="B120" i="1"/>
  <c r="C120" i="1"/>
  <c r="A121" i="1"/>
  <c r="A115" i="3"/>
  <c r="N87" i="4"/>
  <c r="B114" i="3"/>
  <c r="C114" i="3"/>
  <c r="O86" i="4"/>
  <c r="AA86" i="4"/>
  <c r="A86" i="4"/>
  <c r="B86" i="4" s="1"/>
  <c r="AD85" i="4"/>
  <c r="AP85" i="4"/>
  <c r="AQ85" i="4" s="1"/>
  <c r="BI1" i="19" l="1"/>
  <c r="BI3" i="19"/>
  <c r="BJ4" i="19"/>
  <c r="L83" i="17"/>
  <c r="M83" i="17" s="1"/>
  <c r="K84" i="17"/>
  <c r="R56" i="17"/>
  <c r="O56" i="17"/>
  <c r="P56" i="17"/>
  <c r="Q56" i="17"/>
  <c r="S56" i="17"/>
  <c r="T56" i="17"/>
  <c r="U56" i="17" s="1"/>
  <c r="N57" i="17"/>
  <c r="F56" i="17"/>
  <c r="H55" i="17"/>
  <c r="L68" i="18"/>
  <c r="M68" i="18" s="1"/>
  <c r="K69" i="18"/>
  <c r="R56" i="18"/>
  <c r="S56" i="18"/>
  <c r="O56" i="18"/>
  <c r="P56" i="18"/>
  <c r="Q56" i="18"/>
  <c r="T56" i="18"/>
  <c r="U56" i="18" s="1"/>
  <c r="N57" i="18"/>
  <c r="F56" i="18"/>
  <c r="H55" i="18"/>
  <c r="AQ106" i="13"/>
  <c r="AR173" i="13"/>
  <c r="AQ196" i="13"/>
  <c r="AQ212" i="13" s="1"/>
  <c r="AR204" i="13" s="1"/>
  <c r="AQ145" i="13"/>
  <c r="AQ144" i="13"/>
  <c r="AR45" i="13"/>
  <c r="AR82" i="13"/>
  <c r="AR128" i="13"/>
  <c r="A122" i="6"/>
  <c r="C121" i="6"/>
  <c r="B121" i="6"/>
  <c r="B121" i="1"/>
  <c r="C121" i="1"/>
  <c r="A122" i="1"/>
  <c r="A116" i="3"/>
  <c r="B115" i="3"/>
  <c r="C115" i="3"/>
  <c r="N88" i="4"/>
  <c r="O87" i="4"/>
  <c r="AA87" i="4"/>
  <c r="A87" i="4"/>
  <c r="B87" i="4" s="1"/>
  <c r="AD86" i="4"/>
  <c r="AP86" i="4"/>
  <c r="AQ86" i="4" s="1"/>
  <c r="BJ1" i="19" l="1"/>
  <c r="BJ3" i="19"/>
  <c r="BK4" i="19"/>
  <c r="L84" i="17"/>
  <c r="M84" i="17" s="1"/>
  <c r="K85" i="17"/>
  <c r="R57" i="17"/>
  <c r="O57" i="17"/>
  <c r="P57" i="17"/>
  <c r="Q57" i="17"/>
  <c r="S57" i="17"/>
  <c r="T57" i="17"/>
  <c r="U57" i="17" s="1"/>
  <c r="N58" i="17"/>
  <c r="F57" i="17"/>
  <c r="H56" i="17"/>
  <c r="L69" i="18"/>
  <c r="M69" i="18" s="1"/>
  <c r="K70" i="18"/>
  <c r="R57" i="18"/>
  <c r="S57" i="18"/>
  <c r="O57" i="18"/>
  <c r="P57" i="18"/>
  <c r="Q57" i="18"/>
  <c r="T57" i="18"/>
  <c r="U57" i="18" s="1"/>
  <c r="N58" i="18"/>
  <c r="F57" i="18"/>
  <c r="H56" i="18"/>
  <c r="AQ158" i="13"/>
  <c r="AQ156" i="13" s="1"/>
  <c r="AQ168" i="13" s="1"/>
  <c r="AQ189" i="13" s="1"/>
  <c r="AQ102" i="13"/>
  <c r="AQ194" i="13"/>
  <c r="AQ210" i="13" s="1"/>
  <c r="AR202" i="13" s="1"/>
  <c r="AR171" i="13"/>
  <c r="AQ193" i="13"/>
  <c r="AR170" i="13"/>
  <c r="AR46" i="13"/>
  <c r="AR47" i="13"/>
  <c r="AR148" i="13"/>
  <c r="AR83" i="13"/>
  <c r="AR99" i="13"/>
  <c r="AS76" i="13" s="1"/>
  <c r="AO134" i="13"/>
  <c r="AR133" i="13"/>
  <c r="A123" i="6"/>
  <c r="C122" i="6"/>
  <c r="B122" i="6"/>
  <c r="B122" i="1"/>
  <c r="C122" i="1"/>
  <c r="A123" i="1"/>
  <c r="A117" i="3"/>
  <c r="B116" i="3"/>
  <c r="C116" i="3"/>
  <c r="N89" i="4"/>
  <c r="O88" i="4"/>
  <c r="AA88" i="4"/>
  <c r="A88" i="4"/>
  <c r="B88" i="4" s="1"/>
  <c r="AD87" i="4"/>
  <c r="AP87" i="4"/>
  <c r="AQ87" i="4" s="1"/>
  <c r="BK1" i="19" l="1"/>
  <c r="BK3" i="19"/>
  <c r="BL4" i="19"/>
  <c r="L85" i="17"/>
  <c r="M85" i="17" s="1"/>
  <c r="K86" i="17"/>
  <c r="R58" i="17"/>
  <c r="O58" i="17"/>
  <c r="P58" i="17"/>
  <c r="Q58" i="17"/>
  <c r="S58" i="17"/>
  <c r="T58" i="17"/>
  <c r="U58" i="17" s="1"/>
  <c r="N59" i="17"/>
  <c r="F58" i="17"/>
  <c r="H57" i="17"/>
  <c r="L70" i="18"/>
  <c r="M70" i="18" s="1"/>
  <c r="K71" i="18"/>
  <c r="R58" i="18"/>
  <c r="S58" i="18"/>
  <c r="O58" i="18"/>
  <c r="P58" i="18"/>
  <c r="Q58" i="18"/>
  <c r="T58" i="18"/>
  <c r="U58" i="18" s="1"/>
  <c r="N59" i="18"/>
  <c r="F58" i="18"/>
  <c r="H57" i="18"/>
  <c r="AQ153" i="13"/>
  <c r="AQ152" i="13"/>
  <c r="AQ154" i="13"/>
  <c r="AQ166" i="13" s="1"/>
  <c r="AQ187" i="13" s="1"/>
  <c r="AQ151" i="13"/>
  <c r="AQ155" i="13"/>
  <c r="AQ167" i="13" s="1"/>
  <c r="AQ188" i="13" s="1"/>
  <c r="AR103" i="13" a="1"/>
  <c r="AR104" i="13" a="1"/>
  <c r="AP218" i="13"/>
  <c r="AQ209" i="13"/>
  <c r="AR201" i="13" s="1"/>
  <c r="AP217" i="13"/>
  <c r="AR147" i="13"/>
  <c r="AS174" i="13"/>
  <c r="AR197" i="13"/>
  <c r="AR213" i="13" s="1"/>
  <c r="AS205" i="13" s="1"/>
  <c r="AS126" i="13"/>
  <c r="AT76" i="13"/>
  <c r="AS45" i="13"/>
  <c r="AS82" i="13"/>
  <c r="AO136" i="13"/>
  <c r="AO139" i="13"/>
  <c r="AO140" i="13" s="1"/>
  <c r="A124" i="6"/>
  <c r="B123" i="6"/>
  <c r="C123" i="6"/>
  <c r="B123" i="1"/>
  <c r="C123" i="1"/>
  <c r="A124" i="1"/>
  <c r="A118" i="3"/>
  <c r="B117" i="3"/>
  <c r="C117" i="3"/>
  <c r="N90" i="4"/>
  <c r="AA89" i="4"/>
  <c r="A89" i="4"/>
  <c r="B89" i="4" s="1"/>
  <c r="O89" i="4"/>
  <c r="AD88" i="4"/>
  <c r="AP88" i="4"/>
  <c r="AQ88" i="4" s="1"/>
  <c r="BL1" i="19" l="1"/>
  <c r="BL3" i="19"/>
  <c r="BM4" i="19"/>
  <c r="L86" i="17"/>
  <c r="M86" i="17" s="1"/>
  <c r="K87" i="17"/>
  <c r="O59" i="17"/>
  <c r="P59" i="17"/>
  <c r="Q59" i="17"/>
  <c r="R59" i="17"/>
  <c r="S59" i="17"/>
  <c r="T59" i="17"/>
  <c r="U59" i="17" s="1"/>
  <c r="N60" i="17"/>
  <c r="F59" i="17"/>
  <c r="H58" i="17"/>
  <c r="L71" i="18"/>
  <c r="M71" i="18" s="1"/>
  <c r="K72" i="18"/>
  <c r="O59" i="18"/>
  <c r="P59" i="18"/>
  <c r="Q59" i="18"/>
  <c r="R59" i="18"/>
  <c r="S59" i="18"/>
  <c r="T59" i="18"/>
  <c r="U59" i="18" s="1"/>
  <c r="N60" i="18"/>
  <c r="F59" i="18"/>
  <c r="H58" i="18"/>
  <c r="AR106" i="13"/>
  <c r="AS128" i="13"/>
  <c r="AR196" i="13"/>
  <c r="AR212" i="13" s="1"/>
  <c r="AS204" i="13" s="1"/>
  <c r="AR145" i="13"/>
  <c r="AR144" i="13"/>
  <c r="AS173" i="13"/>
  <c r="AT78" i="13"/>
  <c r="AT126" i="13"/>
  <c r="AS47" i="13"/>
  <c r="AS46" i="13"/>
  <c r="AS83" i="13"/>
  <c r="AS148" i="13"/>
  <c r="AS99" i="13"/>
  <c r="C124" i="6"/>
  <c r="A125" i="6"/>
  <c r="B124" i="6"/>
  <c r="B124" i="1"/>
  <c r="C124" i="1"/>
  <c r="A125" i="1"/>
  <c r="A119" i="3"/>
  <c r="B118" i="3"/>
  <c r="C118" i="3"/>
  <c r="N91" i="4"/>
  <c r="O90" i="4"/>
  <c r="AA90" i="4"/>
  <c r="A90" i="4"/>
  <c r="B90" i="4" s="1"/>
  <c r="AD89" i="4"/>
  <c r="AP89" i="4"/>
  <c r="AQ89" i="4" s="1"/>
  <c r="BM1" i="19" l="1"/>
  <c r="BM3" i="19"/>
  <c r="BN4" i="19"/>
  <c r="L87" i="17"/>
  <c r="M87" i="17" s="1"/>
  <c r="K88" i="17"/>
  <c r="R60" i="17"/>
  <c r="O60" i="17"/>
  <c r="P60" i="17"/>
  <c r="Q60" i="17"/>
  <c r="S60" i="17"/>
  <c r="T60" i="17"/>
  <c r="U60" i="17" s="1"/>
  <c r="N61" i="17"/>
  <c r="F60" i="17"/>
  <c r="H59" i="17"/>
  <c r="L72" i="18"/>
  <c r="M72" i="18" s="1"/>
  <c r="K73" i="18"/>
  <c r="R60" i="18"/>
  <c r="O60" i="18"/>
  <c r="P60" i="18"/>
  <c r="Q60" i="18"/>
  <c r="S60" i="18"/>
  <c r="T60" i="18"/>
  <c r="U60" i="18" s="1"/>
  <c r="N61" i="18"/>
  <c r="F60" i="18"/>
  <c r="H59" i="18"/>
  <c r="AR158" i="13"/>
  <c r="AR152" i="13" s="1"/>
  <c r="AR102" i="13"/>
  <c r="AS133" i="13"/>
  <c r="AP134" i="13"/>
  <c r="AR194" i="13"/>
  <c r="AR210" i="13" s="1"/>
  <c r="AS202" i="13" s="1"/>
  <c r="AS171" i="13"/>
  <c r="AS170" i="13"/>
  <c r="AR193" i="13"/>
  <c r="AS103" i="13" a="1"/>
  <c r="AS104" i="13" a="1"/>
  <c r="AS147" i="13"/>
  <c r="AS197" i="13"/>
  <c r="AS213" i="13" s="1"/>
  <c r="AT205" i="13" s="1"/>
  <c r="AT174" i="13"/>
  <c r="AU76" i="13"/>
  <c r="AT82" i="13"/>
  <c r="AT45" i="13"/>
  <c r="AT128" i="13"/>
  <c r="C125" i="6"/>
  <c r="B125" i="6"/>
  <c r="A126" i="6"/>
  <c r="B125" i="1"/>
  <c r="C125" i="1"/>
  <c r="A126" i="1"/>
  <c r="A120" i="3"/>
  <c r="B119" i="3"/>
  <c r="C119" i="3"/>
  <c r="N92" i="4"/>
  <c r="O91" i="4"/>
  <c r="AA91" i="4"/>
  <c r="A91" i="4"/>
  <c r="B91" i="4" s="1"/>
  <c r="AD90" i="4"/>
  <c r="AP90" i="4"/>
  <c r="AQ90" i="4" s="1"/>
  <c r="BN1" i="19" l="1"/>
  <c r="BN3" i="19"/>
  <c r="BO4" i="19"/>
  <c r="L88" i="17"/>
  <c r="M88" i="17" s="1"/>
  <c r="K89" i="17"/>
  <c r="O61" i="17"/>
  <c r="P61" i="17"/>
  <c r="Q61" i="17"/>
  <c r="R61" i="17"/>
  <c r="S61" i="17"/>
  <c r="T61" i="17"/>
  <c r="U61" i="17" s="1"/>
  <c r="N62" i="17"/>
  <c r="F61" i="17"/>
  <c r="H60" i="17"/>
  <c r="L73" i="18"/>
  <c r="M73" i="18" s="1"/>
  <c r="K74" i="18"/>
  <c r="O61" i="18"/>
  <c r="P61" i="18"/>
  <c r="Q61" i="18"/>
  <c r="R61" i="18"/>
  <c r="S61" i="18"/>
  <c r="T61" i="18"/>
  <c r="U61" i="18" s="1"/>
  <c r="N62" i="18"/>
  <c r="F61" i="18"/>
  <c r="H60" i="18"/>
  <c r="AR151" i="13"/>
  <c r="AR156" i="13"/>
  <c r="AR168" i="13" s="1"/>
  <c r="AR189" i="13" s="1"/>
  <c r="AR155" i="13"/>
  <c r="AR167" i="13" s="1"/>
  <c r="AR188" i="13" s="1"/>
  <c r="AR154" i="13"/>
  <c r="AR166" i="13" s="1"/>
  <c r="AR187" i="13" s="1"/>
  <c r="AR153" i="13"/>
  <c r="AP136" i="13"/>
  <c r="AP139" i="13"/>
  <c r="AP140" i="13" s="1"/>
  <c r="AQ134" i="13"/>
  <c r="AT133" i="13"/>
  <c r="AR209" i="13"/>
  <c r="AQ218" i="13"/>
  <c r="AQ217" i="13"/>
  <c r="AS145" i="13"/>
  <c r="AS196" i="13"/>
  <c r="AS212" i="13" s="1"/>
  <c r="AT204" i="13" s="1"/>
  <c r="AS144" i="13"/>
  <c r="AT173" i="13"/>
  <c r="AU126" i="13"/>
  <c r="AU78" i="13"/>
  <c r="AT148" i="13"/>
  <c r="AT99" i="13"/>
  <c r="AT83" i="13"/>
  <c r="AT46" i="13"/>
  <c r="AT47" i="13"/>
  <c r="AS106" i="13"/>
  <c r="A127" i="6"/>
  <c r="B126" i="6"/>
  <c r="C126" i="6"/>
  <c r="B126" i="1"/>
  <c r="C126" i="1"/>
  <c r="A127" i="1"/>
  <c r="A121" i="3"/>
  <c r="C120" i="3"/>
  <c r="N93" i="4"/>
  <c r="B120" i="3"/>
  <c r="O92" i="4"/>
  <c r="AA92" i="4"/>
  <c r="A92" i="4"/>
  <c r="B92" i="4" s="1"/>
  <c r="AD91" i="4"/>
  <c r="AP91" i="4"/>
  <c r="AQ91" i="4" s="1"/>
  <c r="BO1" i="19" l="1"/>
  <c r="BO3" i="19"/>
  <c r="BP4" i="19"/>
  <c r="L89" i="17"/>
  <c r="M89" i="17" s="1"/>
  <c r="K90" i="17"/>
  <c r="L90" i="17" s="1"/>
  <c r="M90" i="17" s="1"/>
  <c r="R62" i="17"/>
  <c r="O62" i="17"/>
  <c r="P62" i="17"/>
  <c r="Q62" i="17"/>
  <c r="S62" i="17"/>
  <c r="T62" i="17"/>
  <c r="U62" i="17" s="1"/>
  <c r="N63" i="17"/>
  <c r="F62" i="17"/>
  <c r="H61" i="17"/>
  <c r="L74" i="18"/>
  <c r="M74" i="18" s="1"/>
  <c r="K75" i="18"/>
  <c r="R62" i="18"/>
  <c r="O62" i="18"/>
  <c r="P62" i="18"/>
  <c r="Q62" i="18"/>
  <c r="S62" i="18"/>
  <c r="T62" i="18"/>
  <c r="U62" i="18" s="1"/>
  <c r="N63" i="18"/>
  <c r="F62" i="18"/>
  <c r="H61" i="18"/>
  <c r="AT104" i="13" a="1"/>
  <c r="AQ136" i="13"/>
  <c r="AQ139" i="13"/>
  <c r="AQ140" i="13" s="1"/>
  <c r="AS158" i="13"/>
  <c r="AS152" i="13" s="1"/>
  <c r="AS102" i="13"/>
  <c r="AT103" i="13" a="1"/>
  <c r="AT171" i="13"/>
  <c r="AS194" i="13"/>
  <c r="AS210" i="13" s="1"/>
  <c r="AT202" i="13" s="1"/>
  <c r="AT170" i="13"/>
  <c r="AS193" i="13"/>
  <c r="AU128" i="13"/>
  <c r="AU82" i="13"/>
  <c r="AU45" i="13"/>
  <c r="AV76" i="13"/>
  <c r="AT147" i="13"/>
  <c r="AU174" i="13"/>
  <c r="AT197" i="13"/>
  <c r="AT213" i="13" s="1"/>
  <c r="AU205" i="13" s="1"/>
  <c r="AS201" i="13"/>
  <c r="C127" i="6"/>
  <c r="B127" i="6"/>
  <c r="A128" i="6"/>
  <c r="B127" i="1"/>
  <c r="C127" i="1"/>
  <c r="A128" i="1"/>
  <c r="A122" i="3"/>
  <c r="B121" i="3"/>
  <c r="C121" i="3"/>
  <c r="N94" i="4"/>
  <c r="A93" i="4"/>
  <c r="B93" i="4" s="1"/>
  <c r="O93" i="4"/>
  <c r="AA93" i="4"/>
  <c r="AD92" i="4"/>
  <c r="AP92" i="4"/>
  <c r="AQ92" i="4" s="1"/>
  <c r="BP1" i="19" l="1"/>
  <c r="BP3" i="19"/>
  <c r="BQ4" i="19"/>
  <c r="R63" i="17"/>
  <c r="S63" i="17"/>
  <c r="O63" i="17"/>
  <c r="P63" i="17"/>
  <c r="Q63" i="17"/>
  <c r="T63" i="17"/>
  <c r="U63" i="17" s="1"/>
  <c r="N64" i="17"/>
  <c r="F63" i="17"/>
  <c r="H62" i="17"/>
  <c r="L75" i="18"/>
  <c r="M75" i="18" s="1"/>
  <c r="K76" i="18"/>
  <c r="R63" i="18"/>
  <c r="O63" i="18"/>
  <c r="P63" i="18"/>
  <c r="Q63" i="18"/>
  <c r="S63" i="18"/>
  <c r="T63" i="18"/>
  <c r="U63" i="18" s="1"/>
  <c r="N64" i="18"/>
  <c r="F63" i="18"/>
  <c r="H62" i="18"/>
  <c r="AT106" i="13"/>
  <c r="AS156" i="13"/>
  <c r="AS168" i="13" s="1"/>
  <c r="AS189" i="13" s="1"/>
  <c r="AS154" i="13"/>
  <c r="AS166" i="13" s="1"/>
  <c r="AS187" i="13" s="1"/>
  <c r="AS153" i="13"/>
  <c r="AS151" i="13"/>
  <c r="AS155" i="13"/>
  <c r="AS167" i="13" s="1"/>
  <c r="AS188" i="13" s="1"/>
  <c r="AS209" i="13"/>
  <c r="AT201" i="13" s="1"/>
  <c r="AR218" i="13"/>
  <c r="AR217" i="13"/>
  <c r="AU148" i="13"/>
  <c r="AU99" i="13"/>
  <c r="AU83" i="13"/>
  <c r="AU46" i="13"/>
  <c r="AU47" i="13"/>
  <c r="AV78" i="13"/>
  <c r="AV126" i="13"/>
  <c r="AT144" i="13"/>
  <c r="AT196" i="13"/>
  <c r="AT212" i="13" s="1"/>
  <c r="AU204" i="13" s="1"/>
  <c r="AT145" i="13"/>
  <c r="AU173" i="13"/>
  <c r="AU133" i="13"/>
  <c r="AR134" i="13"/>
  <c r="A129" i="6"/>
  <c r="B128" i="6"/>
  <c r="C128" i="6"/>
  <c r="B128" i="1"/>
  <c r="C128" i="1"/>
  <c r="A129" i="1"/>
  <c r="A123" i="3"/>
  <c r="B122" i="3"/>
  <c r="C122" i="3"/>
  <c r="N95" i="4"/>
  <c r="O94" i="4"/>
  <c r="AA94" i="4"/>
  <c r="A94" i="4"/>
  <c r="B94" i="4" s="1"/>
  <c r="AD93" i="4"/>
  <c r="AP93" i="4"/>
  <c r="AQ93" i="4" s="1"/>
  <c r="BQ1" i="19" l="1"/>
  <c r="BQ3" i="19"/>
  <c r="BR4" i="19"/>
  <c r="R64" i="17"/>
  <c r="S64" i="17"/>
  <c r="O64" i="17"/>
  <c r="P64" i="17"/>
  <c r="Q64" i="17"/>
  <c r="T64" i="17"/>
  <c r="U64" i="17" s="1"/>
  <c r="N65" i="17"/>
  <c r="F64" i="17"/>
  <c r="H63" i="17"/>
  <c r="L76" i="18"/>
  <c r="M76" i="18" s="1"/>
  <c r="K77" i="18"/>
  <c r="R64" i="18"/>
  <c r="O64" i="18"/>
  <c r="P64" i="18"/>
  <c r="Q64" i="18"/>
  <c r="S64" i="18"/>
  <c r="T64" i="18"/>
  <c r="U64" i="18" s="1"/>
  <c r="N65" i="18"/>
  <c r="F64" i="18"/>
  <c r="H63" i="18"/>
  <c r="AT102" i="13"/>
  <c r="AT158" i="13"/>
  <c r="AU147" i="13"/>
  <c r="AV174" i="13"/>
  <c r="AU197" i="13"/>
  <c r="AU213" i="13" s="1"/>
  <c r="AV205" i="13" s="1"/>
  <c r="AU103" i="13" a="1"/>
  <c r="AU104" i="13" a="1"/>
  <c r="AV45" i="13"/>
  <c r="AV82" i="13"/>
  <c r="AT193" i="13"/>
  <c r="AU170" i="13"/>
  <c r="AT194" i="13"/>
  <c r="AT210" i="13" s="1"/>
  <c r="AU202" i="13" s="1"/>
  <c r="AU171" i="13"/>
  <c r="AR139" i="13"/>
  <c r="AR140" i="13" s="1"/>
  <c r="AR136" i="13"/>
  <c r="AV128" i="13"/>
  <c r="A130" i="6"/>
  <c r="C129" i="6"/>
  <c r="B129" i="6"/>
  <c r="B129" i="1"/>
  <c r="C129" i="1"/>
  <c r="A130" i="1"/>
  <c r="A124" i="3"/>
  <c r="B123" i="3"/>
  <c r="C123" i="3"/>
  <c r="N96" i="4"/>
  <c r="AA95" i="4"/>
  <c r="A95" i="4"/>
  <c r="B95" i="4" s="1"/>
  <c r="O95" i="4"/>
  <c r="AP94" i="4"/>
  <c r="AQ94" i="4" s="1"/>
  <c r="AD94" i="4"/>
  <c r="BR1" i="19" l="1"/>
  <c r="BR3" i="19"/>
  <c r="BS4" i="19"/>
  <c r="R65" i="17"/>
  <c r="S65" i="17"/>
  <c r="O65" i="17"/>
  <c r="P65" i="17"/>
  <c r="Q65" i="17"/>
  <c r="T65" i="17"/>
  <c r="U65" i="17" s="1"/>
  <c r="N66" i="17"/>
  <c r="F65" i="17"/>
  <c r="H64" i="17"/>
  <c r="L77" i="18"/>
  <c r="M77" i="18" s="1"/>
  <c r="K78" i="18"/>
  <c r="R65" i="18"/>
  <c r="O65" i="18"/>
  <c r="P65" i="18"/>
  <c r="Q65" i="18"/>
  <c r="S65" i="18"/>
  <c r="T65" i="18"/>
  <c r="U65" i="18" s="1"/>
  <c r="N66" i="18"/>
  <c r="F65" i="18"/>
  <c r="H64" i="18"/>
  <c r="AT155" i="13"/>
  <c r="AT167" i="13" s="1"/>
  <c r="AT188" i="13" s="1"/>
  <c r="AT153" i="13"/>
  <c r="AT152" i="13"/>
  <c r="AT156" i="13"/>
  <c r="AT168" i="13" s="1"/>
  <c r="AT189" i="13" s="1"/>
  <c r="AT151" i="13"/>
  <c r="AT154" i="13"/>
  <c r="AT166" i="13" s="1"/>
  <c r="AT187" i="13" s="1"/>
  <c r="AV133" i="13"/>
  <c r="AS134" i="13"/>
  <c r="AU196" i="13"/>
  <c r="AU212" i="13" s="1"/>
  <c r="AV204" i="13" s="1"/>
  <c r="AU144" i="13"/>
  <c r="AU145" i="13"/>
  <c r="AV173" i="13"/>
  <c r="AV47" i="13"/>
  <c r="AV46" i="13"/>
  <c r="AV148" i="13"/>
  <c r="AV83" i="13"/>
  <c r="AV99" i="13"/>
  <c r="AW76" i="13" s="1"/>
  <c r="AS217" i="13"/>
  <c r="AS218" i="13"/>
  <c r="AT209" i="13"/>
  <c r="AU201" i="13" s="1"/>
  <c r="AU106" i="13"/>
  <c r="C130" i="6"/>
  <c r="A131" i="6"/>
  <c r="B130" i="6"/>
  <c r="B130" i="1"/>
  <c r="C130" i="1"/>
  <c r="A131" i="1"/>
  <c r="A125" i="3"/>
  <c r="B124" i="3"/>
  <c r="C124" i="3"/>
  <c r="N97" i="4"/>
  <c r="A96" i="4"/>
  <c r="B96" i="4" s="1"/>
  <c r="O96" i="4"/>
  <c r="AA96" i="4"/>
  <c r="AP95" i="4"/>
  <c r="AQ95" i="4" s="1"/>
  <c r="AD95" i="4"/>
  <c r="BS1" i="19" l="1"/>
  <c r="BS3" i="19"/>
  <c r="BT4" i="19"/>
  <c r="O66" i="17"/>
  <c r="P66" i="17"/>
  <c r="Q66" i="17"/>
  <c r="R66" i="17"/>
  <c r="S66" i="17"/>
  <c r="T66" i="17"/>
  <c r="U66" i="17" s="1"/>
  <c r="N67" i="17"/>
  <c r="F66" i="17"/>
  <c r="H65" i="17"/>
  <c r="L78" i="18"/>
  <c r="M78" i="18" s="1"/>
  <c r="K79" i="18"/>
  <c r="O66" i="18"/>
  <c r="P66" i="18"/>
  <c r="Q66" i="18"/>
  <c r="R66" i="18"/>
  <c r="S66" i="18"/>
  <c r="T66" i="18"/>
  <c r="U66" i="18" s="1"/>
  <c r="N67" i="18"/>
  <c r="F66" i="18"/>
  <c r="H65" i="18"/>
  <c r="AU102" i="13"/>
  <c r="AU158" i="13"/>
  <c r="AS136" i="13"/>
  <c r="AS139" i="13"/>
  <c r="AS140" i="13" s="1"/>
  <c r="AU193" i="13"/>
  <c r="AV170" i="13"/>
  <c r="AV171" i="13"/>
  <c r="AU194" i="13"/>
  <c r="AU210" i="13" s="1"/>
  <c r="AV202" i="13" s="1"/>
  <c r="AV103" i="13" a="1"/>
  <c r="AV104" i="13" a="1"/>
  <c r="AW174" i="13"/>
  <c r="AV197" i="13"/>
  <c r="AV213" i="13" s="1"/>
  <c r="AW205" i="13" s="1"/>
  <c r="AV147" i="13"/>
  <c r="AW126" i="13"/>
  <c r="AW78" i="13"/>
  <c r="A132" i="6"/>
  <c r="B131" i="6"/>
  <c r="C131" i="6"/>
  <c r="B131" i="1"/>
  <c r="C131" i="1"/>
  <c r="A132" i="1"/>
  <c r="A126" i="3"/>
  <c r="B125" i="3"/>
  <c r="C125" i="3"/>
  <c r="N98" i="4"/>
  <c r="A97" i="4"/>
  <c r="B97" i="4" s="1"/>
  <c r="O97" i="4"/>
  <c r="AA97" i="4"/>
  <c r="AP96" i="4"/>
  <c r="AQ96" i="4" s="1"/>
  <c r="AD96" i="4"/>
  <c r="BT1" i="19" l="1"/>
  <c r="BT3" i="19"/>
  <c r="BU4" i="19"/>
  <c r="R67" i="17"/>
  <c r="O67" i="17"/>
  <c r="P67" i="17"/>
  <c r="Q67" i="17"/>
  <c r="S67" i="17"/>
  <c r="T67" i="17"/>
  <c r="U67" i="17" s="1"/>
  <c r="N68" i="17"/>
  <c r="F67" i="17"/>
  <c r="H66" i="17"/>
  <c r="L79" i="18"/>
  <c r="M79" i="18" s="1"/>
  <c r="K80" i="18"/>
  <c r="R67" i="18"/>
  <c r="O67" i="18"/>
  <c r="P67" i="18"/>
  <c r="Q67" i="18"/>
  <c r="S67" i="18"/>
  <c r="T67" i="18"/>
  <c r="U67" i="18" s="1"/>
  <c r="N68" i="18"/>
  <c r="F67" i="18"/>
  <c r="H66" i="18"/>
  <c r="AU152" i="13"/>
  <c r="AU154" i="13"/>
  <c r="AU166" i="13" s="1"/>
  <c r="AU187" i="13" s="1"/>
  <c r="AU156" i="13"/>
  <c r="AU168" i="13" s="1"/>
  <c r="AU189" i="13" s="1"/>
  <c r="AU155" i="13"/>
  <c r="AU167" i="13" s="1"/>
  <c r="AU188" i="13" s="1"/>
  <c r="AU151" i="13"/>
  <c r="AU153" i="13"/>
  <c r="AT217" i="13"/>
  <c r="AT218" i="13"/>
  <c r="AU209" i="13"/>
  <c r="AV196" i="13"/>
  <c r="AV212" i="13" s="1"/>
  <c r="AW204" i="13" s="1"/>
  <c r="AV145" i="13"/>
  <c r="AV144" i="13"/>
  <c r="AW173" i="13"/>
  <c r="AV106" i="13"/>
  <c r="AW128" i="13"/>
  <c r="AW82" i="13"/>
  <c r="AW45" i="13"/>
  <c r="A133" i="6"/>
  <c r="C132" i="6"/>
  <c r="B132" i="6"/>
  <c r="B132" i="1"/>
  <c r="C132" i="1"/>
  <c r="A133" i="1"/>
  <c r="A127" i="3"/>
  <c r="B126" i="3"/>
  <c r="C126" i="3"/>
  <c r="N99" i="4"/>
  <c r="AA98" i="4"/>
  <c r="O98" i="4"/>
  <c r="A98" i="4"/>
  <c r="B98" i="4" s="1"/>
  <c r="AP97" i="4"/>
  <c r="AQ97" i="4" s="1"/>
  <c r="AD97" i="4"/>
  <c r="BU1" i="19" l="1"/>
  <c r="BU3" i="19"/>
  <c r="BV4" i="19"/>
  <c r="O68" i="17"/>
  <c r="P68" i="17"/>
  <c r="Q68" i="17"/>
  <c r="R68" i="17"/>
  <c r="S68" i="17"/>
  <c r="T68" i="17"/>
  <c r="U68" i="17" s="1"/>
  <c r="N69" i="17"/>
  <c r="F68" i="17"/>
  <c r="H67" i="17"/>
  <c r="L80" i="18"/>
  <c r="M80" i="18" s="1"/>
  <c r="K81" i="18"/>
  <c r="O68" i="18"/>
  <c r="P68" i="18"/>
  <c r="Q68" i="18"/>
  <c r="R68" i="18"/>
  <c r="S68" i="18"/>
  <c r="T68" i="18"/>
  <c r="U68" i="18" s="1"/>
  <c r="N69" i="18"/>
  <c r="F68" i="18"/>
  <c r="H67" i="18"/>
  <c r="AV102" i="13"/>
  <c r="AV158" i="13"/>
  <c r="AT134" i="13"/>
  <c r="AW133" i="13"/>
  <c r="AV201" i="13"/>
  <c r="AW171" i="13"/>
  <c r="AV194" i="13"/>
  <c r="AV210" i="13" s="1"/>
  <c r="AW202" i="13" s="1"/>
  <c r="AW170" i="13"/>
  <c r="AV193" i="13"/>
  <c r="AW148" i="13"/>
  <c r="AW83" i="13"/>
  <c r="AW99" i="13"/>
  <c r="AX76" i="13" s="1"/>
  <c r="AW46" i="13"/>
  <c r="AW47" i="13"/>
  <c r="C133" i="6"/>
  <c r="B133" i="6"/>
  <c r="A134" i="6"/>
  <c r="B133" i="1"/>
  <c r="C133" i="1"/>
  <c r="A134" i="1"/>
  <c r="A128" i="3"/>
  <c r="B127" i="3"/>
  <c r="C127" i="3"/>
  <c r="N100" i="4"/>
  <c r="O99" i="4"/>
  <c r="AA99" i="4"/>
  <c r="A99" i="4"/>
  <c r="B99" i="4" s="1"/>
  <c r="AD98" i="4"/>
  <c r="AP98" i="4"/>
  <c r="AQ98" i="4" s="1"/>
  <c r="BV1" i="19" l="1"/>
  <c r="BV3" i="19"/>
  <c r="BW4" i="19"/>
  <c r="R69" i="17"/>
  <c r="O69" i="17"/>
  <c r="P69" i="17"/>
  <c r="Q69" i="17"/>
  <c r="S69" i="17"/>
  <c r="T69" i="17"/>
  <c r="U69" i="17" s="1"/>
  <c r="N70" i="17"/>
  <c r="F69" i="17"/>
  <c r="H68" i="17"/>
  <c r="L81" i="18"/>
  <c r="M81" i="18" s="1"/>
  <c r="K82" i="18"/>
  <c r="R69" i="18"/>
  <c r="O69" i="18"/>
  <c r="P69" i="18"/>
  <c r="Q69" i="18"/>
  <c r="S69" i="18"/>
  <c r="T69" i="18"/>
  <c r="U69" i="18" s="1"/>
  <c r="N70" i="18"/>
  <c r="F69" i="18"/>
  <c r="H68" i="18"/>
  <c r="AV152" i="13"/>
  <c r="AV151" i="13"/>
  <c r="AV155" i="13"/>
  <c r="AV167" i="13" s="1"/>
  <c r="AV188" i="13" s="1"/>
  <c r="AV156" i="13"/>
  <c r="AV168" i="13" s="1"/>
  <c r="AV189" i="13" s="1"/>
  <c r="AV154" i="13"/>
  <c r="AV166" i="13" s="1"/>
  <c r="AV187" i="13" s="1"/>
  <c r="AV153" i="13"/>
  <c r="AW104" i="13" a="1"/>
  <c r="AT139" i="13"/>
  <c r="AT140" i="13" s="1"/>
  <c r="AT136" i="13"/>
  <c r="AV209" i="13"/>
  <c r="AW201" i="13" s="1"/>
  <c r="AW103" i="13" a="1"/>
  <c r="AU218" i="13"/>
  <c r="AU217" i="13"/>
  <c r="AW147" i="13"/>
  <c r="AX174" i="13"/>
  <c r="AW197" i="13"/>
  <c r="AW213" i="13" s="1"/>
  <c r="AX205" i="13" s="1"/>
  <c r="AX126" i="13"/>
  <c r="AX78" i="13"/>
  <c r="C134" i="6"/>
  <c r="A135" i="6"/>
  <c r="B134" i="6"/>
  <c r="B134" i="1"/>
  <c r="C134" i="1"/>
  <c r="A135" i="1"/>
  <c r="A129" i="3"/>
  <c r="B128" i="3"/>
  <c r="C128" i="3"/>
  <c r="N101" i="4"/>
  <c r="O100" i="4"/>
  <c r="AA100" i="4"/>
  <c r="A100" i="4"/>
  <c r="B100" i="4" s="1"/>
  <c r="AD99" i="4"/>
  <c r="AP99" i="4"/>
  <c r="AQ99" i="4" s="1"/>
  <c r="BW1" i="19" l="1"/>
  <c r="BW3" i="19"/>
  <c r="BX4" i="19"/>
  <c r="R70" i="17"/>
  <c r="O70" i="17"/>
  <c r="P70" i="17"/>
  <c r="Q70" i="17"/>
  <c r="S70" i="17"/>
  <c r="T70" i="17"/>
  <c r="U70" i="17" s="1"/>
  <c r="N71" i="17"/>
  <c r="F70" i="17"/>
  <c r="H69" i="17"/>
  <c r="L82" i="18"/>
  <c r="M82" i="18" s="1"/>
  <c r="K83" i="18"/>
  <c r="R70" i="18"/>
  <c r="O70" i="18"/>
  <c r="P70" i="18"/>
  <c r="Q70" i="18"/>
  <c r="S70" i="18"/>
  <c r="T70" i="18"/>
  <c r="U70" i="18" s="1"/>
  <c r="N71" i="18"/>
  <c r="F70" i="18"/>
  <c r="H69" i="18"/>
  <c r="AW106" i="13"/>
  <c r="AW145" i="13"/>
  <c r="AW196" i="13"/>
  <c r="AW212" i="13" s="1"/>
  <c r="AX204" i="13" s="1"/>
  <c r="AX173" i="13"/>
  <c r="AW144" i="13"/>
  <c r="AX128" i="13"/>
  <c r="AX45" i="13"/>
  <c r="AX82" i="13"/>
  <c r="B135" i="6"/>
  <c r="C135" i="6"/>
  <c r="A136" i="6"/>
  <c r="B135" i="1"/>
  <c r="C135" i="1"/>
  <c r="A136" i="1"/>
  <c r="A130" i="3"/>
  <c r="B129" i="3"/>
  <c r="C129" i="3"/>
  <c r="N102" i="4"/>
  <c r="O101" i="4"/>
  <c r="AA101" i="4"/>
  <c r="A101" i="4"/>
  <c r="B101" i="4" s="1"/>
  <c r="AD100" i="4"/>
  <c r="AP100" i="4"/>
  <c r="AQ100" i="4" s="1"/>
  <c r="BX1" i="19" l="1"/>
  <c r="BX3" i="19"/>
  <c r="BY4" i="19"/>
  <c r="R71" i="17"/>
  <c r="S71" i="17"/>
  <c r="O71" i="17"/>
  <c r="P71" i="17"/>
  <c r="Q71" i="17"/>
  <c r="T71" i="17"/>
  <c r="U71" i="17" s="1"/>
  <c r="N72" i="17"/>
  <c r="F71" i="17"/>
  <c r="H70" i="17"/>
  <c r="L83" i="18"/>
  <c r="M83" i="18" s="1"/>
  <c r="K84" i="18"/>
  <c r="R71" i="18"/>
  <c r="O71" i="18"/>
  <c r="P71" i="18"/>
  <c r="Q71" i="18"/>
  <c r="S71" i="18"/>
  <c r="T71" i="18"/>
  <c r="U71" i="18" s="1"/>
  <c r="N72" i="18"/>
  <c r="F71" i="18"/>
  <c r="H70" i="18"/>
  <c r="AW102" i="13"/>
  <c r="AW158" i="13"/>
  <c r="AW194" i="13"/>
  <c r="AW210" i="13" s="1"/>
  <c r="AX202" i="13" s="1"/>
  <c r="AX171" i="13"/>
  <c r="AW193" i="13"/>
  <c r="AX170" i="13"/>
  <c r="AX47" i="13"/>
  <c r="AX46" i="13"/>
  <c r="AX83" i="13"/>
  <c r="AX99" i="13"/>
  <c r="AY76" i="13" s="1"/>
  <c r="AX148" i="13"/>
  <c r="AX147" i="13" s="1"/>
  <c r="AU134" i="13"/>
  <c r="AX133" i="13"/>
  <c r="A137" i="6"/>
  <c r="B136" i="6"/>
  <c r="C136" i="6"/>
  <c r="B136" i="1"/>
  <c r="C136" i="1"/>
  <c r="A137" i="1"/>
  <c r="A131" i="3"/>
  <c r="B130" i="3"/>
  <c r="C130" i="3"/>
  <c r="N103" i="4"/>
  <c r="O102" i="4"/>
  <c r="AA102" i="4"/>
  <c r="A102" i="4"/>
  <c r="B102" i="4" s="1"/>
  <c r="AD101" i="4"/>
  <c r="AP101" i="4"/>
  <c r="AQ101" i="4" s="1"/>
  <c r="BY1" i="19" l="1"/>
  <c r="BY3" i="19"/>
  <c r="BZ4" i="19"/>
  <c r="R72" i="17"/>
  <c r="S72" i="17"/>
  <c r="O72" i="17"/>
  <c r="P72" i="17"/>
  <c r="Q72" i="17"/>
  <c r="T72" i="17"/>
  <c r="U72" i="17" s="1"/>
  <c r="N73" i="17"/>
  <c r="F72" i="17"/>
  <c r="H71" i="17"/>
  <c r="L84" i="18"/>
  <c r="M84" i="18" s="1"/>
  <c r="K85" i="18"/>
  <c r="R72" i="18"/>
  <c r="O72" i="18"/>
  <c r="P72" i="18"/>
  <c r="Q72" i="18"/>
  <c r="S72" i="18"/>
  <c r="T72" i="18"/>
  <c r="U72" i="18" s="1"/>
  <c r="N73" i="18"/>
  <c r="F72" i="18"/>
  <c r="H71" i="18"/>
  <c r="AW153" i="13"/>
  <c r="AW151" i="13"/>
  <c r="AW154" i="13"/>
  <c r="AW166" i="13" s="1"/>
  <c r="AW187" i="13" s="1"/>
  <c r="AW155" i="13"/>
  <c r="AW167" i="13" s="1"/>
  <c r="AW188" i="13" s="1"/>
  <c r="AW156" i="13"/>
  <c r="AW168" i="13" s="1"/>
  <c r="AW189" i="13" s="1"/>
  <c r="AW152" i="13"/>
  <c r="AW209" i="13"/>
  <c r="AX201" i="13" s="1"/>
  <c r="AV217" i="13"/>
  <c r="AV218" i="13"/>
  <c r="AX104" i="13" a="1"/>
  <c r="AX103" i="13" a="1"/>
  <c r="AY173" i="13"/>
  <c r="AX196" i="13"/>
  <c r="AX212" i="13" s="1"/>
  <c r="AY204" i="13" s="1"/>
  <c r="AY78" i="13"/>
  <c r="AY126" i="13"/>
  <c r="AX197" i="13"/>
  <c r="AX213" i="13" s="1"/>
  <c r="AY205" i="13" s="1"/>
  <c r="AY174" i="13"/>
  <c r="AU139" i="13"/>
  <c r="AU140" i="13" s="1"/>
  <c r="AU136" i="13"/>
  <c r="AX144" i="13"/>
  <c r="AX145" i="13"/>
  <c r="C137" i="6"/>
  <c r="A138" i="6"/>
  <c r="B137" i="6"/>
  <c r="B137" i="1"/>
  <c r="C137" i="1"/>
  <c r="A138" i="1"/>
  <c r="A132" i="3"/>
  <c r="B131" i="3"/>
  <c r="C131" i="3"/>
  <c r="N104" i="4"/>
  <c r="O103" i="4"/>
  <c r="AA103" i="4"/>
  <c r="A103" i="4"/>
  <c r="B103" i="4" s="1"/>
  <c r="AD102" i="4"/>
  <c r="AP102" i="4"/>
  <c r="AQ102" i="4" s="1"/>
  <c r="BZ1" i="19" l="1"/>
  <c r="BZ3" i="19"/>
  <c r="CA4" i="19"/>
  <c r="O73" i="17"/>
  <c r="P73" i="17"/>
  <c r="Q73" i="17"/>
  <c r="R73" i="17"/>
  <c r="S73" i="17"/>
  <c r="T73" i="17"/>
  <c r="U73" i="17" s="1"/>
  <c r="N74" i="17"/>
  <c r="F73" i="17"/>
  <c r="H72" i="17"/>
  <c r="L85" i="18"/>
  <c r="M85" i="18" s="1"/>
  <c r="K86" i="18"/>
  <c r="O73" i="18"/>
  <c r="P73" i="18"/>
  <c r="Q73" i="18"/>
  <c r="R73" i="18"/>
  <c r="S73" i="18"/>
  <c r="T73" i="18"/>
  <c r="U73" i="18" s="1"/>
  <c r="N74" i="18"/>
  <c r="F73" i="18"/>
  <c r="H72" i="18"/>
  <c r="AY128" i="13"/>
  <c r="AY170" i="13"/>
  <c r="AX193" i="13"/>
  <c r="AX194" i="13"/>
  <c r="AX210" i="13" s="1"/>
  <c r="AY202" i="13" s="1"/>
  <c r="AY171" i="13"/>
  <c r="AX106" i="13"/>
  <c r="AY45" i="13"/>
  <c r="AY82" i="13"/>
  <c r="C138" i="6"/>
  <c r="A139" i="6"/>
  <c r="B138" i="6"/>
  <c r="B138" i="1"/>
  <c r="C138" i="1"/>
  <c r="A139" i="1"/>
  <c r="A133" i="3"/>
  <c r="B132" i="3"/>
  <c r="C132" i="3"/>
  <c r="N105" i="4"/>
  <c r="O104" i="4"/>
  <c r="AA104" i="4"/>
  <c r="A104" i="4"/>
  <c r="B104" i="4" s="1"/>
  <c r="AD103" i="4"/>
  <c r="AP103" i="4"/>
  <c r="AQ103" i="4" s="1"/>
  <c r="CA1" i="19" l="1"/>
  <c r="CA3" i="19"/>
  <c r="CB4" i="19"/>
  <c r="R74" i="17"/>
  <c r="O74" i="17"/>
  <c r="P74" i="17"/>
  <c r="Q74" i="17"/>
  <c r="S74" i="17"/>
  <c r="T74" i="17"/>
  <c r="U74" i="17" s="1"/>
  <c r="N75" i="17"/>
  <c r="F74" i="17"/>
  <c r="H73" i="17"/>
  <c r="L86" i="18"/>
  <c r="M86" i="18" s="1"/>
  <c r="K87" i="18"/>
  <c r="R74" i="18"/>
  <c r="O74" i="18"/>
  <c r="P74" i="18"/>
  <c r="Q74" i="18"/>
  <c r="S74" i="18"/>
  <c r="T74" i="18"/>
  <c r="U74" i="18" s="1"/>
  <c r="N75" i="18"/>
  <c r="F74" i="18"/>
  <c r="H73" i="18"/>
  <c r="AX102" i="13"/>
  <c r="AX158" i="13"/>
  <c r="AW217" i="13"/>
  <c r="AW218" i="13"/>
  <c r="AX209" i="13"/>
  <c r="AY201" i="13" s="1"/>
  <c r="AY46" i="13"/>
  <c r="AY47" i="13"/>
  <c r="AY83" i="13"/>
  <c r="AY148" i="13"/>
  <c r="AY99" i="13"/>
  <c r="AZ76" i="13" s="1"/>
  <c r="AY133" i="13"/>
  <c r="AY136" i="13" s="1"/>
  <c r="AV134" i="13"/>
  <c r="A140" i="6"/>
  <c r="C139" i="6"/>
  <c r="B139" i="6"/>
  <c r="B139" i="1"/>
  <c r="C139" i="1"/>
  <c r="A140" i="1"/>
  <c r="A134" i="3"/>
  <c r="B133" i="3"/>
  <c r="C133" i="3"/>
  <c r="N106" i="4"/>
  <c r="O105" i="4"/>
  <c r="AA105" i="4"/>
  <c r="A105" i="4"/>
  <c r="B105" i="4" s="1"/>
  <c r="AD104" i="4"/>
  <c r="AP104" i="4"/>
  <c r="AQ104" i="4" s="1"/>
  <c r="CB1" i="19" l="1"/>
  <c r="CB3" i="19"/>
  <c r="CC4" i="19"/>
  <c r="O75" i="17"/>
  <c r="P75" i="17"/>
  <c r="Q75" i="17"/>
  <c r="R75" i="17"/>
  <c r="S75" i="17"/>
  <c r="T75" i="17"/>
  <c r="U75" i="17" s="1"/>
  <c r="N76" i="17"/>
  <c r="F75" i="17"/>
  <c r="H74" i="17"/>
  <c r="L87" i="18"/>
  <c r="M87" i="18" s="1"/>
  <c r="K88" i="18"/>
  <c r="O75" i="18"/>
  <c r="P75" i="18"/>
  <c r="Q75" i="18"/>
  <c r="R75" i="18"/>
  <c r="S75" i="18"/>
  <c r="T75" i="18"/>
  <c r="U75" i="18" s="1"/>
  <c r="N76" i="18"/>
  <c r="F75" i="18"/>
  <c r="H74" i="18"/>
  <c r="AX156" i="13"/>
  <c r="AX168" i="13" s="1"/>
  <c r="AX189" i="13" s="1"/>
  <c r="AX155" i="13"/>
  <c r="AX167" i="13" s="1"/>
  <c r="AX188" i="13" s="1"/>
  <c r="AX153" i="13"/>
  <c r="AY103" i="13" a="1"/>
  <c r="AY104" i="13" a="1"/>
  <c r="AX152" i="13"/>
  <c r="AX151" i="13"/>
  <c r="AX154" i="13"/>
  <c r="AX166" i="13" s="1"/>
  <c r="AX187" i="13" s="1"/>
  <c r="AY147" i="13"/>
  <c r="AZ174" i="13"/>
  <c r="AY197" i="13"/>
  <c r="AY213" i="13" s="1"/>
  <c r="AZ205" i="13" s="1"/>
  <c r="AZ78" i="13"/>
  <c r="AZ126" i="13"/>
  <c r="AV136" i="13"/>
  <c r="AV139" i="13"/>
  <c r="AV140" i="13" s="1"/>
  <c r="B140" i="6"/>
  <c r="C140" i="6"/>
  <c r="A141" i="6"/>
  <c r="B140" i="1"/>
  <c r="C140" i="1"/>
  <c r="A141" i="1"/>
  <c r="A135" i="3"/>
  <c r="B134" i="3"/>
  <c r="C134" i="3"/>
  <c r="N107" i="4"/>
  <c r="O106" i="4"/>
  <c r="AA106" i="4"/>
  <c r="A106" i="4"/>
  <c r="B106" i="4" s="1"/>
  <c r="AD105" i="4"/>
  <c r="AP105" i="4"/>
  <c r="AQ105" i="4" s="1"/>
  <c r="CC1" i="19" l="1"/>
  <c r="CC3" i="19"/>
  <c r="CD4" i="19"/>
  <c r="R76" i="17"/>
  <c r="O76" i="17"/>
  <c r="P76" i="17"/>
  <c r="Q76" i="17"/>
  <c r="S76" i="17"/>
  <c r="T76" i="17"/>
  <c r="U76" i="17" s="1"/>
  <c r="N77" i="17"/>
  <c r="F76" i="17"/>
  <c r="H75" i="17"/>
  <c r="L88" i="18"/>
  <c r="M88" i="18" s="1"/>
  <c r="K89" i="18"/>
  <c r="R76" i="18"/>
  <c r="O76" i="18"/>
  <c r="P76" i="18"/>
  <c r="Q76" i="18"/>
  <c r="S76" i="18"/>
  <c r="T76" i="18"/>
  <c r="U76" i="18" s="1"/>
  <c r="N77" i="18"/>
  <c r="F76" i="18"/>
  <c r="H75" i="18"/>
  <c r="AY106" i="13"/>
  <c r="AY144" i="13"/>
  <c r="AY196" i="13"/>
  <c r="AY212" i="13" s="1"/>
  <c r="AZ204" i="13" s="1"/>
  <c r="AZ173" i="13"/>
  <c r="AY145" i="13"/>
  <c r="AZ45" i="13"/>
  <c r="AZ82" i="13"/>
  <c r="AZ128" i="13"/>
  <c r="C141" i="6"/>
  <c r="A142" i="6"/>
  <c r="B141" i="6"/>
  <c r="B141" i="1"/>
  <c r="C141" i="1"/>
  <c r="A142" i="1"/>
  <c r="A136" i="3"/>
  <c r="B135" i="3"/>
  <c r="C135" i="3"/>
  <c r="N108" i="4"/>
  <c r="O107" i="4"/>
  <c r="AA107" i="4"/>
  <c r="A107" i="4"/>
  <c r="B107" i="4" s="1"/>
  <c r="AD106" i="4"/>
  <c r="AP106" i="4"/>
  <c r="AQ106" i="4" s="1"/>
  <c r="CD1" i="19" l="1"/>
  <c r="CD3" i="19"/>
  <c r="CE4" i="19"/>
  <c r="R77" i="17"/>
  <c r="O77" i="17"/>
  <c r="P77" i="17"/>
  <c r="Q77" i="17"/>
  <c r="S77" i="17"/>
  <c r="T77" i="17"/>
  <c r="U77" i="17" s="1"/>
  <c r="N78" i="17"/>
  <c r="F77" i="17"/>
  <c r="H76" i="17"/>
  <c r="L89" i="18"/>
  <c r="M89" i="18" s="1"/>
  <c r="K90" i="18"/>
  <c r="L90" i="18" s="1"/>
  <c r="R77" i="18"/>
  <c r="O77" i="18"/>
  <c r="P77" i="18"/>
  <c r="Q77" i="18"/>
  <c r="S77" i="18"/>
  <c r="T77" i="18"/>
  <c r="U77" i="18" s="1"/>
  <c r="N78" i="18"/>
  <c r="F77" i="18"/>
  <c r="H76" i="18"/>
  <c r="AY158" i="13"/>
  <c r="AY102" i="13"/>
  <c r="AY160" i="13"/>
  <c r="AV160" i="13"/>
  <c r="AN160" i="13"/>
  <c r="AU160" i="13"/>
  <c r="AQ160" i="13"/>
  <c r="AW160" i="13"/>
  <c r="AT160" i="13"/>
  <c r="AP160" i="13"/>
  <c r="AZ170" i="13"/>
  <c r="AY193" i="13"/>
  <c r="AS160" i="13"/>
  <c r="AX160" i="13"/>
  <c r="AR160" i="13"/>
  <c r="BA160" i="13"/>
  <c r="AO160" i="13"/>
  <c r="AZ160" i="13"/>
  <c r="AZ171" i="13"/>
  <c r="AY194" i="13"/>
  <c r="AY210" i="13" s="1"/>
  <c r="AZ202" i="13" s="1"/>
  <c r="AZ46" i="13"/>
  <c r="AZ47" i="13"/>
  <c r="AZ83" i="13"/>
  <c r="AZ99" i="13"/>
  <c r="BA76" i="13" s="1"/>
  <c r="AZ148" i="13"/>
  <c r="AZ147" i="13" s="1"/>
  <c r="AW134" i="13"/>
  <c r="AZ133" i="13"/>
  <c r="AZ136" i="13" s="1"/>
  <c r="B142" i="6"/>
  <c r="A143" i="6"/>
  <c r="C142" i="6"/>
  <c r="B142" i="1"/>
  <c r="C142" i="1"/>
  <c r="A143" i="1"/>
  <c r="A137" i="3"/>
  <c r="B136" i="3"/>
  <c r="C136" i="3"/>
  <c r="N109" i="4"/>
  <c r="O108" i="4"/>
  <c r="AA108" i="4"/>
  <c r="A108" i="4"/>
  <c r="B108" i="4" s="1"/>
  <c r="AD107" i="4"/>
  <c r="AP107" i="4"/>
  <c r="AQ107" i="4" s="1"/>
  <c r="CE1" i="19" l="1"/>
  <c r="CE3" i="19"/>
  <c r="CF4" i="19"/>
  <c r="O78" i="17"/>
  <c r="P78" i="17"/>
  <c r="Q78" i="17"/>
  <c r="R78" i="17"/>
  <c r="S78" i="17"/>
  <c r="T78" i="17"/>
  <c r="U78" i="17" s="1"/>
  <c r="N79" i="17"/>
  <c r="F78" i="17"/>
  <c r="H77" i="17"/>
  <c r="L213" i="18"/>
  <c r="M90" i="18"/>
  <c r="R78" i="18"/>
  <c r="O78" i="18"/>
  <c r="P78" i="18"/>
  <c r="Q78" i="18"/>
  <c r="S78" i="18"/>
  <c r="T78" i="18"/>
  <c r="U78" i="18" s="1"/>
  <c r="N79" i="18"/>
  <c r="F78" i="18"/>
  <c r="H77" i="18"/>
  <c r="AY156" i="13"/>
  <c r="AY168" i="13" s="1"/>
  <c r="AY189" i="13" s="1"/>
  <c r="AY154" i="13"/>
  <c r="AY166" i="13" s="1"/>
  <c r="AY187" i="13" s="1"/>
  <c r="AY151" i="13"/>
  <c r="AY163" i="13" s="1"/>
  <c r="AY184" i="13" s="1"/>
  <c r="AY152" i="13"/>
  <c r="AY164" i="13" s="1"/>
  <c r="AY185" i="13" s="1"/>
  <c r="AY155" i="13"/>
  <c r="AY167" i="13" s="1"/>
  <c r="AY188" i="13" s="1"/>
  <c r="AY153" i="13"/>
  <c r="AY165" i="13" s="1"/>
  <c r="AY186" i="13" s="1"/>
  <c r="AV164" i="13"/>
  <c r="AV185" i="13" s="1"/>
  <c r="AV163" i="13"/>
  <c r="AV165" i="13"/>
  <c r="AV186" i="13" s="1"/>
  <c r="AN163" i="13"/>
  <c r="AN164" i="13"/>
  <c r="AN185" i="13" s="1"/>
  <c r="AN165" i="13"/>
  <c r="AN186" i="13" s="1"/>
  <c r="AU163" i="13"/>
  <c r="AU165" i="13"/>
  <c r="AU186" i="13" s="1"/>
  <c r="AU164" i="13"/>
  <c r="AU185" i="13" s="1"/>
  <c r="AQ163" i="13"/>
  <c r="AQ165" i="13"/>
  <c r="AQ186" i="13" s="1"/>
  <c r="AQ164" i="13"/>
  <c r="AQ185" i="13" s="1"/>
  <c r="AW164" i="13"/>
  <c r="AW185" i="13" s="1"/>
  <c r="AW165" i="13"/>
  <c r="AW186" i="13" s="1"/>
  <c r="AW163" i="13"/>
  <c r="AT164" i="13"/>
  <c r="AT185" i="13" s="1"/>
  <c r="AT165" i="13"/>
  <c r="AT186" i="13" s="1"/>
  <c r="AT163" i="13"/>
  <c r="AP165" i="13"/>
  <c r="AP186" i="13" s="1"/>
  <c r="AP163" i="13"/>
  <c r="AP164" i="13"/>
  <c r="AP185" i="13" s="1"/>
  <c r="AX218" i="13"/>
  <c r="AX217" i="13"/>
  <c r="AY209" i="13"/>
  <c r="AS163" i="13"/>
  <c r="AS164" i="13"/>
  <c r="AS185" i="13" s="1"/>
  <c r="AS165" i="13"/>
  <c r="AS186" i="13" s="1"/>
  <c r="AX163" i="13"/>
  <c r="AX164" i="13"/>
  <c r="AX185" i="13" s="1"/>
  <c r="AX165" i="13"/>
  <c r="AX186" i="13" s="1"/>
  <c r="AR165" i="13"/>
  <c r="AR186" i="13" s="1"/>
  <c r="AR163" i="13"/>
  <c r="AR164" i="13"/>
  <c r="AR185" i="13" s="1"/>
  <c r="AO165" i="13"/>
  <c r="AO186" i="13" s="1"/>
  <c r="AO164" i="13"/>
  <c r="AO185" i="13" s="1"/>
  <c r="AO163" i="13"/>
  <c r="AZ104" i="13" a="1"/>
  <c r="AZ103" i="13" a="1"/>
  <c r="AZ145" i="13"/>
  <c r="AZ196" i="13"/>
  <c r="AZ212" i="13" s="1"/>
  <c r="BA204" i="13" s="1"/>
  <c r="AZ144" i="13"/>
  <c r="BA173" i="13"/>
  <c r="BA78" i="13"/>
  <c r="BA126" i="13"/>
  <c r="BA174" i="13"/>
  <c r="AZ197" i="13"/>
  <c r="AZ213" i="13" s="1"/>
  <c r="BA205" i="13" s="1"/>
  <c r="AW139" i="13"/>
  <c r="AW140" i="13" s="1"/>
  <c r="AW136" i="13"/>
  <c r="C143" i="6"/>
  <c r="A144" i="6"/>
  <c r="B143" i="6"/>
  <c r="B143" i="1"/>
  <c r="C143" i="1"/>
  <c r="A144" i="1"/>
  <c r="A138" i="3"/>
  <c r="B137" i="3"/>
  <c r="C137" i="3"/>
  <c r="N110" i="4"/>
  <c r="AA109" i="4"/>
  <c r="O109" i="4"/>
  <c r="A109" i="4"/>
  <c r="B109" i="4" s="1"/>
  <c r="AD108" i="4"/>
  <c r="AP108" i="4"/>
  <c r="AQ108" i="4" s="1"/>
  <c r="CF1" i="19" l="1"/>
  <c r="CF3" i="19"/>
  <c r="CG4" i="19"/>
  <c r="O79" i="17"/>
  <c r="P79" i="17"/>
  <c r="Q79" i="17"/>
  <c r="R79" i="17"/>
  <c r="S79" i="17"/>
  <c r="T79" i="17"/>
  <c r="U79" i="17" s="1"/>
  <c r="N80" i="17"/>
  <c r="H78" i="17"/>
  <c r="F79" i="17"/>
  <c r="R79" i="18"/>
  <c r="O79" i="18"/>
  <c r="P79" i="18"/>
  <c r="Q79" i="18"/>
  <c r="S79" i="18"/>
  <c r="T79" i="18"/>
  <c r="U79" i="18" s="1"/>
  <c r="N80" i="18"/>
  <c r="F79" i="18"/>
  <c r="H78" i="18"/>
  <c r="AV184" i="13"/>
  <c r="AV216" i="13"/>
  <c r="AN184" i="13"/>
  <c r="AN216" i="13"/>
  <c r="AU216" i="13"/>
  <c r="AU184" i="13"/>
  <c r="AQ216" i="13"/>
  <c r="AQ184" i="13"/>
  <c r="AW216" i="13"/>
  <c r="AW184" i="13"/>
  <c r="AT216" i="13"/>
  <c r="AT184" i="13"/>
  <c r="AP184" i="13"/>
  <c r="AP216" i="13"/>
  <c r="AY216" i="13"/>
  <c r="AZ201" i="13"/>
  <c r="AS216" i="13"/>
  <c r="AS184" i="13"/>
  <c r="AX216" i="13"/>
  <c r="AX184" i="13"/>
  <c r="AR216" i="13"/>
  <c r="AR184" i="13"/>
  <c r="AO184" i="13"/>
  <c r="AO216" i="13"/>
  <c r="BA171" i="13"/>
  <c r="AZ194" i="13"/>
  <c r="AZ210" i="13" s="1"/>
  <c r="BA202" i="13" s="1"/>
  <c r="AZ193" i="13"/>
  <c r="BA170" i="13"/>
  <c r="BA45" i="13"/>
  <c r="BA82" i="13"/>
  <c r="BA128" i="13"/>
  <c r="AZ106" i="13"/>
  <c r="C144" i="6"/>
  <c r="A145" i="6"/>
  <c r="B144" i="6"/>
  <c r="B144" i="1"/>
  <c r="C144" i="1"/>
  <c r="A145" i="1"/>
  <c r="A139" i="3"/>
  <c r="B138" i="3"/>
  <c r="C138" i="3"/>
  <c r="N111" i="4"/>
  <c r="AA110" i="4"/>
  <c r="A110" i="4"/>
  <c r="B110" i="4" s="1"/>
  <c r="O110" i="4"/>
  <c r="AP109" i="4"/>
  <c r="AQ109" i="4" s="1"/>
  <c r="AD109" i="4"/>
  <c r="CG1" i="19" l="1"/>
  <c r="CG3" i="19"/>
  <c r="CH4" i="19"/>
  <c r="O80" i="17"/>
  <c r="P80" i="17"/>
  <c r="Q80" i="17"/>
  <c r="R80" i="17"/>
  <c r="S80" i="17"/>
  <c r="T80" i="17"/>
  <c r="U80" i="17" s="1"/>
  <c r="N81" i="17"/>
  <c r="H79" i="17"/>
  <c r="F80" i="17"/>
  <c r="O80" i="18"/>
  <c r="P80" i="18"/>
  <c r="Q80" i="18"/>
  <c r="R80" i="18"/>
  <c r="S80" i="18"/>
  <c r="T80" i="18"/>
  <c r="U80" i="18" s="1"/>
  <c r="N81" i="18"/>
  <c r="F80" i="18"/>
  <c r="H79" i="18"/>
  <c r="AZ102" i="13"/>
  <c r="AZ158" i="13"/>
  <c r="AZ209" i="13"/>
  <c r="AY217" i="13"/>
  <c r="AY218" i="13"/>
  <c r="BA46" i="13"/>
  <c r="BA47" i="13"/>
  <c r="BA148" i="13"/>
  <c r="BA99" i="13"/>
  <c r="BA83" i="13"/>
  <c r="AX134" i="13"/>
  <c r="BA133" i="13"/>
  <c r="BA136" i="13" s="1"/>
  <c r="A146" i="6"/>
  <c r="B145" i="6"/>
  <c r="C145" i="6"/>
  <c r="B145" i="1"/>
  <c r="C145" i="1"/>
  <c r="A146" i="1"/>
  <c r="A140" i="3"/>
  <c r="B139" i="3"/>
  <c r="C139" i="3"/>
  <c r="N112" i="4"/>
  <c r="O111" i="4"/>
  <c r="AA111" i="4"/>
  <c r="A111" i="4"/>
  <c r="B111" i="4" s="1"/>
  <c r="AD110" i="4"/>
  <c r="AP110" i="4"/>
  <c r="AQ110" i="4" s="1"/>
  <c r="CH1" i="19" l="1"/>
  <c r="CH3" i="19"/>
  <c r="CI4" i="19"/>
  <c r="R81" i="17"/>
  <c r="O81" i="17"/>
  <c r="P81" i="17"/>
  <c r="Q81" i="17"/>
  <c r="S81" i="17"/>
  <c r="T81" i="17"/>
  <c r="U81" i="17" s="1"/>
  <c r="N82" i="17"/>
  <c r="F81" i="17"/>
  <c r="H80" i="17"/>
  <c r="R81" i="18"/>
  <c r="O81" i="18"/>
  <c r="P81" i="18"/>
  <c r="Q81" i="18"/>
  <c r="S81" i="18"/>
  <c r="T81" i="18"/>
  <c r="U81" i="18" s="1"/>
  <c r="N82" i="18"/>
  <c r="F81" i="18"/>
  <c r="H80" i="18"/>
  <c r="BA104" i="13" a="1"/>
  <c r="BA103" i="13" a="1"/>
  <c r="AZ153" i="13"/>
  <c r="AZ165" i="13" s="1"/>
  <c r="AZ186" i="13" s="1"/>
  <c r="AZ151" i="13"/>
  <c r="AZ163" i="13" s="1"/>
  <c r="AZ154" i="13"/>
  <c r="AZ166" i="13" s="1"/>
  <c r="AZ187" i="13" s="1"/>
  <c r="AZ152" i="13"/>
  <c r="AZ164" i="13" s="1"/>
  <c r="AZ185" i="13" s="1"/>
  <c r="AZ156" i="13"/>
  <c r="AZ168" i="13" s="1"/>
  <c r="AZ189" i="13" s="1"/>
  <c r="AZ155" i="13"/>
  <c r="AZ167" i="13" s="1"/>
  <c r="AZ188" i="13" s="1"/>
  <c r="BA197" i="13"/>
  <c r="BA213" i="13" s="1"/>
  <c r="BA147" i="13"/>
  <c r="AX139" i="13"/>
  <c r="AX136" i="13"/>
  <c r="BA201" i="13"/>
  <c r="C146" i="6"/>
  <c r="B146" i="6"/>
  <c r="A147" i="6"/>
  <c r="B146" i="1"/>
  <c r="C146" i="1"/>
  <c r="A147" i="1"/>
  <c r="A141" i="3"/>
  <c r="B140" i="3"/>
  <c r="C140" i="3"/>
  <c r="N113" i="4"/>
  <c r="A112" i="4"/>
  <c r="B112" i="4" s="1"/>
  <c r="O112" i="4"/>
  <c r="AA112" i="4"/>
  <c r="AP111" i="4"/>
  <c r="AQ111" i="4" s="1"/>
  <c r="AD111" i="4"/>
  <c r="CI1" i="19" l="1"/>
  <c r="CI3" i="19"/>
  <c r="CJ4" i="19"/>
  <c r="O82" i="17"/>
  <c r="P82" i="17"/>
  <c r="Q82" i="17"/>
  <c r="R82" i="17"/>
  <c r="S82" i="17"/>
  <c r="T82" i="17"/>
  <c r="U82" i="17" s="1"/>
  <c r="N83" i="17"/>
  <c r="F82" i="17"/>
  <c r="H81" i="17"/>
  <c r="O82" i="18"/>
  <c r="P82" i="18"/>
  <c r="Q82" i="18"/>
  <c r="R82" i="18"/>
  <c r="S82" i="18"/>
  <c r="T82" i="18"/>
  <c r="U82" i="18" s="1"/>
  <c r="N83" i="18"/>
  <c r="F82" i="18"/>
  <c r="H81" i="18"/>
  <c r="BA106" i="13"/>
  <c r="AZ184" i="13"/>
  <c r="AZ216" i="13"/>
  <c r="BA145" i="13"/>
  <c r="BA144" i="13"/>
  <c r="BA196" i="13"/>
  <c r="BA212" i="13" s="1"/>
  <c r="AX140" i="13"/>
  <c r="AY139" i="13"/>
  <c r="A148" i="6"/>
  <c r="C147" i="6"/>
  <c r="B147" i="6"/>
  <c r="B147" i="1"/>
  <c r="C147" i="1"/>
  <c r="A148" i="1"/>
  <c r="A142" i="3"/>
  <c r="B141" i="3"/>
  <c r="C141" i="3"/>
  <c r="N114" i="4"/>
  <c r="AA113" i="4"/>
  <c r="A113" i="4"/>
  <c r="B113" i="4" s="1"/>
  <c r="O113" i="4"/>
  <c r="AP112" i="4"/>
  <c r="AQ112" i="4" s="1"/>
  <c r="AD112" i="4"/>
  <c r="CJ1" i="19" l="1"/>
  <c r="CJ3" i="19"/>
  <c r="CK4" i="19"/>
  <c r="R83" i="17"/>
  <c r="O83" i="17"/>
  <c r="P83" i="17"/>
  <c r="Q83" i="17"/>
  <c r="S83" i="17"/>
  <c r="T83" i="17"/>
  <c r="U83" i="17" s="1"/>
  <c r="N84" i="17"/>
  <c r="F83" i="17"/>
  <c r="H82" i="17"/>
  <c r="R83" i="18"/>
  <c r="O83" i="18"/>
  <c r="P83" i="18"/>
  <c r="Q83" i="18"/>
  <c r="S83" i="18"/>
  <c r="T83" i="18"/>
  <c r="U83" i="18" s="1"/>
  <c r="N84" i="18"/>
  <c r="F83" i="18"/>
  <c r="H82" i="18"/>
  <c r="BA102" i="13"/>
  <c r="BA158" i="13"/>
  <c r="BA194" i="13"/>
  <c r="BA210" i="13" s="1"/>
  <c r="BA193" i="13"/>
  <c r="BA209" i="13" s="1"/>
  <c r="AZ139" i="13"/>
  <c r="AY140" i="13"/>
  <c r="C148" i="6"/>
  <c r="B148" i="6"/>
  <c r="A149" i="6"/>
  <c r="B148" i="1"/>
  <c r="C148" i="1"/>
  <c r="A149" i="1"/>
  <c r="A143" i="3"/>
  <c r="B142" i="3"/>
  <c r="C142" i="3"/>
  <c r="N115" i="4"/>
  <c r="AA114" i="4"/>
  <c r="A114" i="4"/>
  <c r="B114" i="4" s="1"/>
  <c r="O114" i="4"/>
  <c r="AP113" i="4"/>
  <c r="AQ113" i="4" s="1"/>
  <c r="AD113" i="4"/>
  <c r="CK1" i="19" l="1"/>
  <c r="CK3" i="19"/>
  <c r="CL4" i="19"/>
  <c r="R84" i="17"/>
  <c r="S84" i="17"/>
  <c r="O84" i="17"/>
  <c r="P84" i="17"/>
  <c r="Q84" i="17"/>
  <c r="T84" i="17"/>
  <c r="U84" i="17" s="1"/>
  <c r="N85" i="17"/>
  <c r="F84" i="17"/>
  <c r="H83" i="17"/>
  <c r="R84" i="18"/>
  <c r="O84" i="18"/>
  <c r="P84" i="18"/>
  <c r="Q84" i="18"/>
  <c r="S84" i="18"/>
  <c r="T84" i="18"/>
  <c r="U84" i="18" s="1"/>
  <c r="N85" i="18"/>
  <c r="F84" i="18"/>
  <c r="H83" i="18"/>
  <c r="AZ217" i="13"/>
  <c r="BA152" i="13"/>
  <c r="BA164" i="13" s="1"/>
  <c r="BA185" i="13" s="1"/>
  <c r="BA155" i="13"/>
  <c r="BA167" i="13" s="1"/>
  <c r="BA188" i="13" s="1"/>
  <c r="BA153" i="13"/>
  <c r="BA165" i="13" s="1"/>
  <c r="BA186" i="13" s="1"/>
  <c r="BA154" i="13"/>
  <c r="BA166" i="13" s="1"/>
  <c r="BA187" i="13" s="1"/>
  <c r="BA151" i="13"/>
  <c r="BA163" i="13" s="1"/>
  <c r="BA156" i="13"/>
  <c r="BA168" i="13" s="1"/>
  <c r="BA189" i="13" s="1"/>
  <c r="AZ218" i="13"/>
  <c r="BA139" i="13"/>
  <c r="AZ140" i="13"/>
  <c r="B149" i="6"/>
  <c r="C149" i="6"/>
  <c r="A150" i="6"/>
  <c r="B149" i="1"/>
  <c r="C149" i="1"/>
  <c r="A150" i="1"/>
  <c r="A144" i="3"/>
  <c r="B143" i="3"/>
  <c r="C143" i="3"/>
  <c r="N116" i="4"/>
  <c r="A115" i="4"/>
  <c r="B115" i="4" s="1"/>
  <c r="O115" i="4"/>
  <c r="AA115" i="4"/>
  <c r="AP114" i="4"/>
  <c r="AQ114" i="4" s="1"/>
  <c r="AD114" i="4"/>
  <c r="CL1" i="19" l="1"/>
  <c r="CL3" i="19"/>
  <c r="CM4" i="19"/>
  <c r="R85" i="17"/>
  <c r="S85" i="17"/>
  <c r="O85" i="17"/>
  <c r="P85" i="17"/>
  <c r="Q85" i="17"/>
  <c r="T85" i="17"/>
  <c r="U85" i="17" s="1"/>
  <c r="N86" i="17"/>
  <c r="F85" i="17"/>
  <c r="H84" i="17"/>
  <c r="R85" i="18"/>
  <c r="O85" i="18"/>
  <c r="P85" i="18"/>
  <c r="Q85" i="18"/>
  <c r="S85" i="18"/>
  <c r="T85" i="18"/>
  <c r="U85" i="18" s="1"/>
  <c r="N86" i="18"/>
  <c r="F85" i="18"/>
  <c r="H84" i="18"/>
  <c r="BA184" i="13"/>
  <c r="BA216" i="13"/>
  <c r="BA140" i="13"/>
  <c r="B150" i="6"/>
  <c r="A151" i="6"/>
  <c r="C150" i="6"/>
  <c r="B150" i="1"/>
  <c r="C150" i="1"/>
  <c r="A151" i="1"/>
  <c r="A145" i="3"/>
  <c r="B144" i="3"/>
  <c r="C144" i="3"/>
  <c r="N117" i="4"/>
  <c r="O116" i="4"/>
  <c r="AA116" i="4"/>
  <c r="A116" i="4"/>
  <c r="B116" i="4" s="1"/>
  <c r="AD115" i="4"/>
  <c r="AP115" i="4"/>
  <c r="AQ115" i="4" s="1"/>
  <c r="CM1" i="19" l="1"/>
  <c r="CM3" i="19"/>
  <c r="CN4" i="19"/>
  <c r="R86" i="17"/>
  <c r="S86" i="17"/>
  <c r="O86" i="17"/>
  <c r="P86" i="17"/>
  <c r="Q86" i="17"/>
  <c r="T86" i="17"/>
  <c r="U86" i="17" s="1"/>
  <c r="N87" i="17"/>
  <c r="F86" i="17"/>
  <c r="H85" i="17"/>
  <c r="R86" i="18"/>
  <c r="O86" i="18"/>
  <c r="P86" i="18"/>
  <c r="Q86" i="18"/>
  <c r="S86" i="18"/>
  <c r="T86" i="18"/>
  <c r="U86" i="18" s="1"/>
  <c r="N87" i="18"/>
  <c r="F86" i="18"/>
  <c r="H85" i="18"/>
  <c r="A152" i="6"/>
  <c r="C151" i="6"/>
  <c r="B151" i="6"/>
  <c r="B151" i="1"/>
  <c r="C151" i="1"/>
  <c r="A152" i="1"/>
  <c r="A146" i="3"/>
  <c r="B145" i="3"/>
  <c r="C145" i="3"/>
  <c r="N118" i="4"/>
  <c r="O117" i="4"/>
  <c r="AA117" i="4"/>
  <c r="A117" i="4"/>
  <c r="B117" i="4" s="1"/>
  <c r="AD116" i="4"/>
  <c r="AP116" i="4"/>
  <c r="AQ116" i="4" s="1"/>
  <c r="CN23" i="19" l="1"/>
  <c r="CN1" i="19"/>
  <c r="CN3" i="19"/>
  <c r="CO4" i="19"/>
  <c r="O87" i="17"/>
  <c r="P87" i="17"/>
  <c r="Q87" i="17"/>
  <c r="R87" i="17"/>
  <c r="S87" i="17"/>
  <c r="T87" i="17"/>
  <c r="U87" i="17" s="1"/>
  <c r="N88" i="17"/>
  <c r="F87" i="17"/>
  <c r="H86" i="17"/>
  <c r="O87" i="18"/>
  <c r="P87" i="18"/>
  <c r="Q87" i="18"/>
  <c r="R87" i="18"/>
  <c r="S87" i="18"/>
  <c r="T87" i="18"/>
  <c r="U87" i="18" s="1"/>
  <c r="N88" i="18"/>
  <c r="F87" i="18"/>
  <c r="H86" i="18"/>
  <c r="A153" i="6"/>
  <c r="B152" i="6"/>
  <c r="C152" i="6"/>
  <c r="B152" i="1"/>
  <c r="C152" i="1"/>
  <c r="A153" i="1"/>
  <c r="A147" i="3"/>
  <c r="B146" i="3"/>
  <c r="C146" i="3"/>
  <c r="N119" i="4"/>
  <c r="AA118" i="4"/>
  <c r="A118" i="4"/>
  <c r="B118" i="4" s="1"/>
  <c r="O118" i="4"/>
  <c r="AP117" i="4"/>
  <c r="AQ117" i="4" s="1"/>
  <c r="AD117" i="4"/>
  <c r="CO23" i="19" l="1"/>
  <c r="CO1" i="19"/>
  <c r="CO3" i="19"/>
  <c r="CP4" i="19"/>
  <c r="R88" i="17"/>
  <c r="O88" i="17"/>
  <c r="P88" i="17"/>
  <c r="Q88" i="17"/>
  <c r="S88" i="17"/>
  <c r="T88" i="17"/>
  <c r="U88" i="17" s="1"/>
  <c r="N89" i="17"/>
  <c r="F88" i="17"/>
  <c r="H87" i="17"/>
  <c r="R88" i="18"/>
  <c r="O88" i="18"/>
  <c r="P88" i="18"/>
  <c r="Q88" i="18"/>
  <c r="S88" i="18"/>
  <c r="T88" i="18"/>
  <c r="U88" i="18" s="1"/>
  <c r="N89" i="18"/>
  <c r="F88" i="18"/>
  <c r="H87" i="18"/>
  <c r="B153" i="6"/>
  <c r="A154" i="6"/>
  <c r="C153" i="6"/>
  <c r="B153" i="1"/>
  <c r="C153" i="1"/>
  <c r="A154" i="1"/>
  <c r="A148" i="3"/>
  <c r="B147" i="3"/>
  <c r="C147" i="3"/>
  <c r="N120" i="4"/>
  <c r="AA119" i="4"/>
  <c r="A119" i="4"/>
  <c r="B119" i="4" s="1"/>
  <c r="O119" i="4"/>
  <c r="AP118" i="4"/>
  <c r="AQ118" i="4" s="1"/>
  <c r="AD118" i="4"/>
  <c r="CP23" i="19" l="1"/>
  <c r="CP7" i="19"/>
  <c r="CP1" i="19"/>
  <c r="CP3" i="19"/>
  <c r="CQ4" i="19"/>
  <c r="O89" i="17"/>
  <c r="P89" i="17"/>
  <c r="Q89" i="17"/>
  <c r="R89" i="17"/>
  <c r="S89" i="17"/>
  <c r="T89" i="17"/>
  <c r="U89" i="17" s="1"/>
  <c r="N90" i="17"/>
  <c r="F89" i="17"/>
  <c r="H88" i="17"/>
  <c r="O89" i="18"/>
  <c r="P89" i="18"/>
  <c r="Q89" i="18"/>
  <c r="R89" i="18"/>
  <c r="S89" i="18"/>
  <c r="T89" i="18"/>
  <c r="U89" i="18" s="1"/>
  <c r="N90" i="18"/>
  <c r="F89" i="18"/>
  <c r="H88" i="18"/>
  <c r="C154" i="6"/>
  <c r="B154" i="6"/>
  <c r="A155" i="6"/>
  <c r="B154" i="1"/>
  <c r="C154" i="1"/>
  <c r="A155" i="1"/>
  <c r="A149" i="3"/>
  <c r="B148" i="3"/>
  <c r="C148" i="3"/>
  <c r="N121" i="4"/>
  <c r="AA120" i="4"/>
  <c r="A120" i="4"/>
  <c r="B120" i="4" s="1"/>
  <c r="O120" i="4"/>
  <c r="AD119" i="4"/>
  <c r="AP119" i="4"/>
  <c r="AQ119" i="4" s="1"/>
  <c r="CQ23" i="19" l="1"/>
  <c r="CQ7" i="19"/>
  <c r="CQ1" i="19"/>
  <c r="CQ3" i="19"/>
  <c r="CR4" i="19"/>
  <c r="R90" i="17"/>
  <c r="O90" i="17"/>
  <c r="P90" i="17"/>
  <c r="Q90" i="17"/>
  <c r="S90" i="17"/>
  <c r="T90" i="17"/>
  <c r="U90" i="17" s="1"/>
  <c r="N91" i="17"/>
  <c r="F90" i="17"/>
  <c r="H89" i="17"/>
  <c r="R90" i="18"/>
  <c r="O90" i="18"/>
  <c r="P90" i="18"/>
  <c r="Q90" i="18"/>
  <c r="S90" i="18"/>
  <c r="T90" i="18"/>
  <c r="U90" i="18" s="1"/>
  <c r="N91" i="18"/>
  <c r="F90" i="18"/>
  <c r="H89" i="18"/>
  <c r="B155" i="6"/>
  <c r="A156" i="6"/>
  <c r="C155" i="6"/>
  <c r="B155" i="1"/>
  <c r="C155" i="1"/>
  <c r="A156" i="1"/>
  <c r="A150" i="3"/>
  <c r="B149" i="3"/>
  <c r="C149" i="3"/>
  <c r="N122" i="4"/>
  <c r="O121" i="4"/>
  <c r="AA121" i="4"/>
  <c r="A121" i="4"/>
  <c r="B121" i="4" s="1"/>
  <c r="AD120" i="4"/>
  <c r="AP120" i="4"/>
  <c r="AQ120" i="4" s="1"/>
  <c r="CR23" i="19" l="1"/>
  <c r="CR7" i="19"/>
  <c r="CR1" i="19"/>
  <c r="CR3" i="19"/>
  <c r="CS4" i="19"/>
  <c r="R91" i="17"/>
  <c r="O91" i="17"/>
  <c r="P91" i="17"/>
  <c r="Q91" i="17"/>
  <c r="S91" i="17"/>
  <c r="T91" i="17"/>
  <c r="U91" i="17" s="1"/>
  <c r="N92" i="17"/>
  <c r="H90" i="17"/>
  <c r="F91" i="17"/>
  <c r="R91" i="18"/>
  <c r="S91" i="18"/>
  <c r="O91" i="18"/>
  <c r="P91" i="18"/>
  <c r="Q91" i="18"/>
  <c r="T91" i="18"/>
  <c r="U91" i="18" s="1"/>
  <c r="N92" i="18"/>
  <c r="H90" i="18"/>
  <c r="F91" i="18"/>
  <c r="B156" i="6"/>
  <c r="A157" i="6"/>
  <c r="C156" i="6"/>
  <c r="B156" i="1"/>
  <c r="C156" i="1"/>
  <c r="A157" i="1"/>
  <c r="A151" i="3"/>
  <c r="B150" i="3"/>
  <c r="C150" i="3"/>
  <c r="N123" i="4"/>
  <c r="A122" i="4"/>
  <c r="B122" i="4" s="1"/>
  <c r="O122" i="4"/>
  <c r="AA122" i="4"/>
  <c r="AD121" i="4"/>
  <c r="AP121" i="4"/>
  <c r="AQ121" i="4" s="1"/>
  <c r="CS23" i="19" l="1"/>
  <c r="CS7" i="19"/>
  <c r="CS1" i="19"/>
  <c r="CS3" i="19"/>
  <c r="CT4" i="19"/>
  <c r="R92" i="17"/>
  <c r="S92" i="17"/>
  <c r="O92" i="17"/>
  <c r="P92" i="17"/>
  <c r="Q92" i="17"/>
  <c r="T92" i="17"/>
  <c r="U92" i="17" s="1"/>
  <c r="N93" i="17"/>
  <c r="F92" i="17"/>
  <c r="H91" i="17"/>
  <c r="R92" i="18"/>
  <c r="S92" i="18"/>
  <c r="O92" i="18"/>
  <c r="P92" i="18"/>
  <c r="Q92" i="18"/>
  <c r="T92" i="18"/>
  <c r="U92" i="18" s="1"/>
  <c r="N93" i="18"/>
  <c r="F92" i="18"/>
  <c r="H91" i="18"/>
  <c r="C157" i="6"/>
  <c r="A158" i="6"/>
  <c r="B157" i="6"/>
  <c r="B157" i="1"/>
  <c r="C157" i="1"/>
  <c r="A158" i="1"/>
  <c r="A152" i="3"/>
  <c r="B151" i="3"/>
  <c r="C151" i="3"/>
  <c r="N124" i="4"/>
  <c r="A123" i="4"/>
  <c r="B123" i="4" s="1"/>
  <c r="O123" i="4"/>
  <c r="AA123" i="4"/>
  <c r="AD122" i="4"/>
  <c r="AP122" i="4"/>
  <c r="AQ122" i="4" s="1"/>
  <c r="CT23" i="19" l="1"/>
  <c r="CT7" i="19"/>
  <c r="CT1" i="19"/>
  <c r="CT3" i="19"/>
  <c r="CU4" i="19"/>
  <c r="R93" i="17"/>
  <c r="S93" i="17"/>
  <c r="O93" i="17"/>
  <c r="P93" i="17"/>
  <c r="Q93" i="17"/>
  <c r="T93" i="17"/>
  <c r="U93" i="17" s="1"/>
  <c r="N94" i="17"/>
  <c r="F93" i="17"/>
  <c r="H92" i="17"/>
  <c r="R93" i="18"/>
  <c r="S93" i="18"/>
  <c r="O93" i="18"/>
  <c r="P93" i="18"/>
  <c r="Q93" i="18"/>
  <c r="T93" i="18"/>
  <c r="U93" i="18" s="1"/>
  <c r="N94" i="18"/>
  <c r="F93" i="18"/>
  <c r="H92" i="18"/>
  <c r="C158" i="6"/>
  <c r="B158" i="6"/>
  <c r="A159" i="6"/>
  <c r="B158" i="1"/>
  <c r="C158" i="1"/>
  <c r="A159" i="1"/>
  <c r="A153" i="3"/>
  <c r="B152" i="3"/>
  <c r="C152" i="3"/>
  <c r="N125" i="4"/>
  <c r="O124" i="4"/>
  <c r="AA124" i="4"/>
  <c r="A124" i="4"/>
  <c r="B124" i="4" s="1"/>
  <c r="AD123" i="4"/>
  <c r="AP123" i="4"/>
  <c r="AQ123" i="4" s="1"/>
  <c r="CU23" i="19" l="1"/>
  <c r="CU7" i="19"/>
  <c r="CU1" i="19"/>
  <c r="CU3" i="19"/>
  <c r="CV4" i="19"/>
  <c r="O94" i="17"/>
  <c r="P94" i="17"/>
  <c r="Q94" i="17"/>
  <c r="R94" i="17"/>
  <c r="S94" i="17"/>
  <c r="T94" i="17"/>
  <c r="U94" i="17" s="1"/>
  <c r="N95" i="17"/>
  <c r="F94" i="17"/>
  <c r="H93" i="17"/>
  <c r="O94" i="18"/>
  <c r="P94" i="18"/>
  <c r="Q94" i="18"/>
  <c r="R94" i="18"/>
  <c r="S94" i="18"/>
  <c r="T94" i="18"/>
  <c r="U94" i="18" s="1"/>
  <c r="N95" i="18"/>
  <c r="F94" i="18"/>
  <c r="H93" i="18"/>
  <c r="B159" i="6"/>
  <c r="C159" i="6"/>
  <c r="A160" i="6"/>
  <c r="B159" i="1"/>
  <c r="C159" i="1"/>
  <c r="A160" i="1"/>
  <c r="A154" i="3"/>
  <c r="B153" i="3"/>
  <c r="C153" i="3"/>
  <c r="N126" i="4"/>
  <c r="AA125" i="4"/>
  <c r="O125" i="4"/>
  <c r="A125" i="4"/>
  <c r="B125" i="4" s="1"/>
  <c r="AD124" i="4"/>
  <c r="AP124" i="4"/>
  <c r="AQ124" i="4" s="1"/>
  <c r="CV23" i="19" l="1"/>
  <c r="CV7" i="19"/>
  <c r="CV1" i="19"/>
  <c r="CV3" i="19"/>
  <c r="CW4" i="19"/>
  <c r="R95" i="17"/>
  <c r="O95" i="17"/>
  <c r="P95" i="17"/>
  <c r="Q95" i="17"/>
  <c r="S95" i="17"/>
  <c r="T95" i="17"/>
  <c r="U95" i="17" s="1"/>
  <c r="N96" i="17"/>
  <c r="F95" i="17"/>
  <c r="H94" i="17"/>
  <c r="R95" i="18"/>
  <c r="O95" i="18"/>
  <c r="P95" i="18"/>
  <c r="Q95" i="18"/>
  <c r="S95" i="18"/>
  <c r="T95" i="18"/>
  <c r="U95" i="18" s="1"/>
  <c r="N96" i="18"/>
  <c r="F95" i="18"/>
  <c r="H94" i="18"/>
  <c r="A161" i="6"/>
  <c r="C160" i="6"/>
  <c r="B160" i="6"/>
  <c r="B160" i="1"/>
  <c r="C160" i="1"/>
  <c r="A161" i="1"/>
  <c r="A155" i="3"/>
  <c r="B154" i="3"/>
  <c r="C154" i="3"/>
  <c r="N127" i="4"/>
  <c r="A126" i="4"/>
  <c r="B126" i="4" s="1"/>
  <c r="O126" i="4"/>
  <c r="AA126" i="4"/>
  <c r="AD125" i="4"/>
  <c r="AP125" i="4"/>
  <c r="AQ125" i="4" s="1"/>
  <c r="CW23" i="19" l="1"/>
  <c r="CW7" i="19"/>
  <c r="CW1" i="19"/>
  <c r="CW3" i="19"/>
  <c r="CX4" i="19"/>
  <c r="O96" i="17"/>
  <c r="P96" i="17"/>
  <c r="Q96" i="17"/>
  <c r="R96" i="17"/>
  <c r="S96" i="17"/>
  <c r="T96" i="17"/>
  <c r="U96" i="17" s="1"/>
  <c r="N97" i="17"/>
  <c r="F96" i="17"/>
  <c r="H95" i="17"/>
  <c r="O96" i="18"/>
  <c r="P96" i="18"/>
  <c r="Q96" i="18"/>
  <c r="R96" i="18"/>
  <c r="S96" i="18"/>
  <c r="T96" i="18"/>
  <c r="U96" i="18" s="1"/>
  <c r="N97" i="18"/>
  <c r="F96" i="18"/>
  <c r="H95" i="18"/>
  <c r="B161" i="6"/>
  <c r="A162" i="6"/>
  <c r="C161" i="6"/>
  <c r="B161" i="1"/>
  <c r="C161" i="1"/>
  <c r="A162" i="1"/>
  <c r="A156" i="3"/>
  <c r="B155" i="3"/>
  <c r="C155" i="3"/>
  <c r="N128" i="4"/>
  <c r="AA127" i="4"/>
  <c r="O127" i="4"/>
  <c r="A127" i="4"/>
  <c r="B127" i="4" s="1"/>
  <c r="AP126" i="4"/>
  <c r="AQ126" i="4" s="1"/>
  <c r="AD126" i="4"/>
  <c r="CX23" i="19" l="1"/>
  <c r="CX7" i="19"/>
  <c r="CX1" i="19"/>
  <c r="CX3" i="19"/>
  <c r="CY4" i="19"/>
  <c r="O97" i="17"/>
  <c r="P97" i="17"/>
  <c r="Q97" i="17"/>
  <c r="R97" i="17"/>
  <c r="S97" i="17"/>
  <c r="T97" i="17"/>
  <c r="U97" i="17" s="1"/>
  <c r="N98" i="17"/>
  <c r="H96" i="17"/>
  <c r="F97" i="17"/>
  <c r="O97" i="18"/>
  <c r="P97" i="18"/>
  <c r="Q97" i="18"/>
  <c r="R97" i="18"/>
  <c r="S97" i="18"/>
  <c r="T97" i="18"/>
  <c r="U97" i="18" s="1"/>
  <c r="N98" i="18"/>
  <c r="H96" i="18"/>
  <c r="F97" i="18"/>
  <c r="C162" i="6"/>
  <c r="B162" i="6"/>
  <c r="A163" i="6"/>
  <c r="B162" i="1"/>
  <c r="C162" i="1"/>
  <c r="A163" i="1"/>
  <c r="A157" i="3"/>
  <c r="B156" i="3"/>
  <c r="C156" i="3"/>
  <c r="N129" i="4"/>
  <c r="AA128" i="4"/>
  <c r="A128" i="4"/>
  <c r="B128" i="4" s="1"/>
  <c r="O128" i="4"/>
  <c r="AP127" i="4"/>
  <c r="AQ127" i="4" s="1"/>
  <c r="AD127" i="4"/>
  <c r="CY23" i="19" l="1"/>
  <c r="CY7" i="19"/>
  <c r="CY1" i="19"/>
  <c r="CY3" i="19"/>
  <c r="CZ4" i="19"/>
  <c r="R98" i="17"/>
  <c r="S98" i="17"/>
  <c r="O98" i="17"/>
  <c r="P98" i="17"/>
  <c r="Q98" i="17"/>
  <c r="T98" i="17"/>
  <c r="U98" i="17" s="1"/>
  <c r="N99" i="17"/>
  <c r="F98" i="17"/>
  <c r="H97" i="17"/>
  <c r="R98" i="18"/>
  <c r="S98" i="18"/>
  <c r="O98" i="18"/>
  <c r="P98" i="18"/>
  <c r="Q98" i="18"/>
  <c r="T98" i="18"/>
  <c r="U98" i="18" s="1"/>
  <c r="N99" i="18"/>
  <c r="F98" i="18"/>
  <c r="H97" i="18"/>
  <c r="C163" i="6"/>
  <c r="A164" i="6"/>
  <c r="B163" i="6"/>
  <c r="B163" i="1"/>
  <c r="C163" i="1"/>
  <c r="A164" i="1"/>
  <c r="A158" i="3"/>
  <c r="B157" i="3"/>
  <c r="C157" i="3"/>
  <c r="N130" i="4"/>
  <c r="AA129" i="4"/>
  <c r="A129" i="4"/>
  <c r="B129" i="4" s="1"/>
  <c r="O129" i="4"/>
  <c r="AP128" i="4"/>
  <c r="AQ128" i="4" s="1"/>
  <c r="AD128" i="4"/>
  <c r="CZ23" i="19" l="1"/>
  <c r="CZ7" i="19"/>
  <c r="CZ1" i="19"/>
  <c r="CZ3" i="19"/>
  <c r="DA4" i="19"/>
  <c r="R99" i="17"/>
  <c r="S99" i="17"/>
  <c r="O99" i="17"/>
  <c r="P99" i="17"/>
  <c r="Q99" i="17"/>
  <c r="T99" i="17"/>
  <c r="U99" i="17" s="1"/>
  <c r="N100" i="17"/>
  <c r="F99" i="17"/>
  <c r="H98" i="17"/>
  <c r="R99" i="18"/>
  <c r="S99" i="18"/>
  <c r="O99" i="18"/>
  <c r="P99" i="18"/>
  <c r="Q99" i="18"/>
  <c r="T99" i="18"/>
  <c r="U99" i="18" s="1"/>
  <c r="N100" i="18"/>
  <c r="F99" i="18"/>
  <c r="H98" i="18"/>
  <c r="B164" i="6"/>
  <c r="C164" i="6"/>
  <c r="A165" i="6"/>
  <c r="B164" i="1"/>
  <c r="C164" i="1"/>
  <c r="A165" i="1"/>
  <c r="A159" i="3"/>
  <c r="B158" i="3"/>
  <c r="C158" i="3"/>
  <c r="N131" i="4"/>
  <c r="AA130" i="4"/>
  <c r="O130" i="4"/>
  <c r="A130" i="4"/>
  <c r="B130" i="4" s="1"/>
  <c r="AD129" i="4"/>
  <c r="AP129" i="4"/>
  <c r="AQ129" i="4" s="1"/>
  <c r="DA23" i="19" l="1"/>
  <c r="DA7" i="19"/>
  <c r="DA1" i="19"/>
  <c r="DA3" i="19"/>
  <c r="DB4" i="19"/>
  <c r="R100" i="17"/>
  <c r="S100" i="17"/>
  <c r="O100" i="17"/>
  <c r="P100" i="17"/>
  <c r="Q100" i="17"/>
  <c r="T100" i="17"/>
  <c r="U100" i="17" s="1"/>
  <c r="N101" i="17"/>
  <c r="F100" i="17"/>
  <c r="H99" i="17"/>
  <c r="R100" i="18"/>
  <c r="S100" i="18"/>
  <c r="O100" i="18"/>
  <c r="P100" i="18"/>
  <c r="Q100" i="18"/>
  <c r="T100" i="18"/>
  <c r="U100" i="18" s="1"/>
  <c r="N101" i="18"/>
  <c r="F100" i="18"/>
  <c r="H99" i="18"/>
  <c r="C165" i="6"/>
  <c r="A166" i="6"/>
  <c r="B165" i="6"/>
  <c r="B165" i="1"/>
  <c r="C165" i="1"/>
  <c r="A166" i="1"/>
  <c r="A160" i="3"/>
  <c r="B159" i="3"/>
  <c r="C159" i="3"/>
  <c r="N132" i="4"/>
  <c r="O131" i="4"/>
  <c r="AA131" i="4"/>
  <c r="A131" i="4"/>
  <c r="B131" i="4" s="1"/>
  <c r="AP130" i="4"/>
  <c r="AQ130" i="4" s="1"/>
  <c r="AD130" i="4"/>
  <c r="DB23" i="19" l="1"/>
  <c r="DB7" i="19"/>
  <c r="DB1" i="19"/>
  <c r="DB3" i="19"/>
  <c r="DC4" i="19"/>
  <c r="O101" i="17"/>
  <c r="P101" i="17"/>
  <c r="Q101" i="17"/>
  <c r="R101" i="17"/>
  <c r="S101" i="17"/>
  <c r="T101" i="17"/>
  <c r="U101" i="17" s="1"/>
  <c r="N102" i="17"/>
  <c r="F101" i="17"/>
  <c r="H100" i="17"/>
  <c r="S101" i="18"/>
  <c r="O101" i="18"/>
  <c r="P101" i="18"/>
  <c r="Q101" i="18"/>
  <c r="R101" i="18"/>
  <c r="T101" i="18"/>
  <c r="U101" i="18" s="1"/>
  <c r="N102" i="18"/>
  <c r="F101" i="18"/>
  <c r="H100" i="18"/>
  <c r="A167" i="6"/>
  <c r="C166" i="6"/>
  <c r="B166" i="6"/>
  <c r="B166" i="1"/>
  <c r="C166" i="1"/>
  <c r="A167" i="1"/>
  <c r="A161" i="3"/>
  <c r="B160" i="3"/>
  <c r="C160" i="3"/>
  <c r="N133" i="4"/>
  <c r="AA132" i="4"/>
  <c r="A132" i="4"/>
  <c r="B132" i="4" s="1"/>
  <c r="O132" i="4"/>
  <c r="AP131" i="4"/>
  <c r="AQ131" i="4" s="1"/>
  <c r="AD131" i="4"/>
  <c r="DC23" i="19" l="1"/>
  <c r="DC7" i="19"/>
  <c r="DC1" i="19"/>
  <c r="DC3" i="19"/>
  <c r="DD4" i="19"/>
  <c r="R102" i="17"/>
  <c r="O102" i="17"/>
  <c r="P102" i="17"/>
  <c r="Q102" i="17"/>
  <c r="S102" i="17"/>
  <c r="T102" i="17"/>
  <c r="U102" i="17" s="1"/>
  <c r="N103" i="17"/>
  <c r="F102" i="17"/>
  <c r="H101" i="17"/>
  <c r="R102" i="18"/>
  <c r="O102" i="18"/>
  <c r="P102" i="18"/>
  <c r="Q102" i="18"/>
  <c r="S102" i="18"/>
  <c r="T102" i="18"/>
  <c r="U102" i="18" s="1"/>
  <c r="N103" i="18"/>
  <c r="F102" i="18"/>
  <c r="H101" i="18"/>
  <c r="C167" i="6"/>
  <c r="B167" i="6"/>
  <c r="A168" i="6"/>
  <c r="B167" i="1"/>
  <c r="C167" i="1"/>
  <c r="A168" i="1"/>
  <c r="A162" i="3"/>
  <c r="B161" i="3"/>
  <c r="C161" i="3"/>
  <c r="N134" i="4"/>
  <c r="AA133" i="4"/>
  <c r="A133" i="4"/>
  <c r="B133" i="4" s="1"/>
  <c r="O133" i="4"/>
  <c r="AP132" i="4"/>
  <c r="AQ132" i="4" s="1"/>
  <c r="AD132" i="4"/>
  <c r="DD23" i="19" l="1"/>
  <c r="DD7" i="19"/>
  <c r="DD1" i="19"/>
  <c r="DD3" i="19"/>
  <c r="DE4" i="19"/>
  <c r="O103" i="17"/>
  <c r="P103" i="17"/>
  <c r="Q103" i="17"/>
  <c r="R103" i="17"/>
  <c r="S103" i="17"/>
  <c r="T103" i="17"/>
  <c r="U103" i="17" s="1"/>
  <c r="N104" i="17"/>
  <c r="F103" i="17"/>
  <c r="H102" i="17"/>
  <c r="O103" i="18"/>
  <c r="P103" i="18"/>
  <c r="Q103" i="18"/>
  <c r="R103" i="18"/>
  <c r="S103" i="18"/>
  <c r="T103" i="18"/>
  <c r="U103" i="18" s="1"/>
  <c r="N104" i="18"/>
  <c r="F103" i="18"/>
  <c r="H102" i="18"/>
  <c r="C168" i="6"/>
  <c r="B168" i="6"/>
  <c r="A169" i="6"/>
  <c r="B168" i="1"/>
  <c r="C168" i="1"/>
  <c r="A169" i="1"/>
  <c r="A163" i="3"/>
  <c r="B162" i="3"/>
  <c r="C162" i="3"/>
  <c r="N135" i="4"/>
  <c r="O134" i="4"/>
  <c r="AA134" i="4"/>
  <c r="A134" i="4"/>
  <c r="B134" i="4" s="1"/>
  <c r="AP133" i="4"/>
  <c r="AQ133" i="4" s="1"/>
  <c r="AD133" i="4"/>
  <c r="DE23" i="19" l="1"/>
  <c r="DE7" i="19"/>
  <c r="DE1" i="19"/>
  <c r="DE3" i="19"/>
  <c r="DF4" i="19"/>
  <c r="R104" i="17"/>
  <c r="S104" i="17"/>
  <c r="O104" i="17"/>
  <c r="P104" i="17"/>
  <c r="Q104" i="17"/>
  <c r="T104" i="17"/>
  <c r="U104" i="17" s="1"/>
  <c r="N105" i="17"/>
  <c r="F104" i="17"/>
  <c r="H103" i="17"/>
  <c r="R104" i="18"/>
  <c r="S104" i="18"/>
  <c r="O104" i="18"/>
  <c r="P104" i="18"/>
  <c r="Q104" i="18"/>
  <c r="T104" i="18"/>
  <c r="U104" i="18" s="1"/>
  <c r="N105" i="18"/>
  <c r="F104" i="18"/>
  <c r="H103" i="18"/>
  <c r="C169" i="6"/>
  <c r="A170" i="6"/>
  <c r="B169" i="6"/>
  <c r="B169" i="1"/>
  <c r="C169" i="1"/>
  <c r="A170" i="1"/>
  <c r="A164" i="3"/>
  <c r="B163" i="3"/>
  <c r="C163" i="3"/>
  <c r="N136" i="4"/>
  <c r="AA135" i="4"/>
  <c r="O135" i="4"/>
  <c r="A135" i="4"/>
  <c r="B135" i="4" s="1"/>
  <c r="AP134" i="4"/>
  <c r="AQ134" i="4" s="1"/>
  <c r="AD134" i="4"/>
  <c r="DF23" i="19" l="1"/>
  <c r="DF1" i="19"/>
  <c r="DF7" i="19"/>
  <c r="DF3" i="19"/>
  <c r="DG4" i="19"/>
  <c r="R105" i="17"/>
  <c r="S105" i="17"/>
  <c r="O105" i="17"/>
  <c r="P105" i="17"/>
  <c r="Q105" i="17"/>
  <c r="T105" i="17"/>
  <c r="U105" i="17" s="1"/>
  <c r="N106" i="17"/>
  <c r="F105" i="17"/>
  <c r="H104" i="17"/>
  <c r="R105" i="18"/>
  <c r="S105" i="18"/>
  <c r="O105" i="18"/>
  <c r="P105" i="18"/>
  <c r="Q105" i="18"/>
  <c r="T105" i="18"/>
  <c r="U105" i="18" s="1"/>
  <c r="N106" i="18"/>
  <c r="F105" i="18"/>
  <c r="H104" i="18"/>
  <c r="A171" i="6"/>
  <c r="B170" i="6"/>
  <c r="C170" i="6"/>
  <c r="B170" i="1"/>
  <c r="C170" i="1"/>
  <c r="A171" i="1"/>
  <c r="A165" i="3"/>
  <c r="B164" i="3"/>
  <c r="C164" i="3"/>
  <c r="N137" i="4"/>
  <c r="AA136" i="4"/>
  <c r="A136" i="4"/>
  <c r="B136" i="4" s="1"/>
  <c r="O136" i="4"/>
  <c r="AP135" i="4"/>
  <c r="AQ135" i="4" s="1"/>
  <c r="AD135" i="4"/>
  <c r="DG23" i="19" l="1"/>
  <c r="DG1" i="19"/>
  <c r="DG7" i="19"/>
  <c r="DG3" i="19"/>
  <c r="DH4" i="19"/>
  <c r="R106" i="17"/>
  <c r="S106" i="17"/>
  <c r="O106" i="17"/>
  <c r="P106" i="17"/>
  <c r="Q106" i="17"/>
  <c r="T106" i="17"/>
  <c r="U106" i="17" s="1"/>
  <c r="N107" i="17"/>
  <c r="F106" i="17"/>
  <c r="H105" i="17"/>
  <c r="R106" i="18"/>
  <c r="S106" i="18"/>
  <c r="O106" i="18"/>
  <c r="P106" i="18"/>
  <c r="Q106" i="18"/>
  <c r="T106" i="18"/>
  <c r="U106" i="18" s="1"/>
  <c r="N107" i="18"/>
  <c r="F106" i="18"/>
  <c r="H105" i="18"/>
  <c r="A172" i="6"/>
  <c r="B171" i="6"/>
  <c r="C171" i="6"/>
  <c r="B171" i="1"/>
  <c r="C171" i="1"/>
  <c r="A172" i="1"/>
  <c r="A166" i="3"/>
  <c r="B165" i="3"/>
  <c r="C165" i="3"/>
  <c r="N138" i="4"/>
  <c r="A137" i="4"/>
  <c r="B137" i="4" s="1"/>
  <c r="O137" i="4"/>
  <c r="AA137" i="4"/>
  <c r="AP136" i="4"/>
  <c r="AQ136" i="4" s="1"/>
  <c r="AD136" i="4"/>
  <c r="DH23" i="19" l="1"/>
  <c r="DH1" i="19"/>
  <c r="DH7" i="19"/>
  <c r="DH3" i="19"/>
  <c r="DI4" i="19"/>
  <c r="R107" i="17"/>
  <c r="S107" i="17"/>
  <c r="O107" i="17"/>
  <c r="P107" i="17"/>
  <c r="Q107" i="17"/>
  <c r="T107" i="17"/>
  <c r="U107" i="17" s="1"/>
  <c r="N108" i="17"/>
  <c r="F107" i="17"/>
  <c r="H106" i="17"/>
  <c r="R107" i="18"/>
  <c r="S107" i="18"/>
  <c r="O107" i="18"/>
  <c r="P107" i="18"/>
  <c r="Q107" i="18"/>
  <c r="T107" i="18"/>
  <c r="U107" i="18" s="1"/>
  <c r="N108" i="18"/>
  <c r="F107" i="18"/>
  <c r="H106" i="18"/>
  <c r="B172" i="6"/>
  <c r="C172" i="6"/>
  <c r="A173" i="6"/>
  <c r="B172" i="1"/>
  <c r="C172" i="1"/>
  <c r="A173" i="1"/>
  <c r="A167" i="3"/>
  <c r="B166" i="3"/>
  <c r="C166" i="3"/>
  <c r="N139" i="4"/>
  <c r="AA138" i="4"/>
  <c r="O138" i="4"/>
  <c r="A138" i="4"/>
  <c r="B138" i="4" s="1"/>
  <c r="AP137" i="4"/>
  <c r="AQ137" i="4" s="1"/>
  <c r="AD137" i="4"/>
  <c r="DI23" i="19" l="1"/>
  <c r="DI1" i="19"/>
  <c r="DI7" i="19"/>
  <c r="DI3" i="19"/>
  <c r="DJ4" i="19"/>
  <c r="S108" i="17"/>
  <c r="O108" i="17"/>
  <c r="P108" i="17"/>
  <c r="Q108" i="17"/>
  <c r="R108" i="17"/>
  <c r="T108" i="17"/>
  <c r="U108" i="17" s="1"/>
  <c r="N109" i="17"/>
  <c r="F108" i="17"/>
  <c r="H107" i="17"/>
  <c r="S108" i="18"/>
  <c r="O108" i="18"/>
  <c r="P108" i="18"/>
  <c r="Q108" i="18"/>
  <c r="R108" i="18"/>
  <c r="T108" i="18"/>
  <c r="U108" i="18" s="1"/>
  <c r="N109" i="18"/>
  <c r="F108" i="18"/>
  <c r="H107" i="18"/>
  <c r="A174" i="6"/>
  <c r="B173" i="6"/>
  <c r="C173" i="6"/>
  <c r="B173" i="1"/>
  <c r="C173" i="1"/>
  <c r="A174" i="1"/>
  <c r="A168" i="3"/>
  <c r="B167" i="3"/>
  <c r="C167" i="3"/>
  <c r="N140" i="4"/>
  <c r="AA139" i="4"/>
  <c r="O139" i="4"/>
  <c r="A139" i="4"/>
  <c r="B139" i="4" s="1"/>
  <c r="AP138" i="4"/>
  <c r="AQ138" i="4" s="1"/>
  <c r="AD138" i="4"/>
  <c r="DJ23" i="19" l="1"/>
  <c r="DJ1" i="19"/>
  <c r="DJ7" i="19"/>
  <c r="DJ3" i="19"/>
  <c r="DK4" i="19"/>
  <c r="R109" i="17"/>
  <c r="O109" i="17"/>
  <c r="P109" i="17"/>
  <c r="Q109" i="17"/>
  <c r="S109" i="17"/>
  <c r="T109" i="17"/>
  <c r="U109" i="17" s="1"/>
  <c r="N110" i="17"/>
  <c r="F109" i="17"/>
  <c r="H108" i="17"/>
  <c r="R109" i="18"/>
  <c r="O109" i="18"/>
  <c r="P109" i="18"/>
  <c r="Q109" i="18"/>
  <c r="S109" i="18"/>
  <c r="T109" i="18"/>
  <c r="U109" i="18" s="1"/>
  <c r="N110" i="18"/>
  <c r="F109" i="18"/>
  <c r="H108" i="18"/>
  <c r="C174" i="6"/>
  <c r="B174" i="6"/>
  <c r="A175" i="6"/>
  <c r="B174" i="1"/>
  <c r="C174" i="1"/>
  <c r="A175" i="1"/>
  <c r="A169" i="3"/>
  <c r="B168" i="3"/>
  <c r="C168" i="3"/>
  <c r="N141" i="4"/>
  <c r="AA140" i="4"/>
  <c r="A140" i="4"/>
  <c r="B140" i="4" s="1"/>
  <c r="O140" i="4"/>
  <c r="AP139" i="4"/>
  <c r="AQ139" i="4" s="1"/>
  <c r="AD139" i="4"/>
  <c r="DK23" i="19" l="1"/>
  <c r="DK1" i="19"/>
  <c r="DK7" i="19"/>
  <c r="DK3" i="19"/>
  <c r="DL4" i="19"/>
  <c r="O110" i="17"/>
  <c r="P110" i="17"/>
  <c r="Q110" i="17"/>
  <c r="R110" i="17"/>
  <c r="S110" i="17"/>
  <c r="T110" i="17"/>
  <c r="U110" i="17" s="1"/>
  <c r="N111" i="17"/>
  <c r="F110" i="17"/>
  <c r="H109" i="17"/>
  <c r="O110" i="18"/>
  <c r="P110" i="18"/>
  <c r="Q110" i="18"/>
  <c r="R110" i="18"/>
  <c r="S110" i="18"/>
  <c r="T110" i="18"/>
  <c r="U110" i="18" s="1"/>
  <c r="N111" i="18"/>
  <c r="F110" i="18"/>
  <c r="H109" i="18"/>
  <c r="C175" i="6"/>
  <c r="B175" i="6"/>
  <c r="A176" i="6"/>
  <c r="B175" i="1"/>
  <c r="C175" i="1"/>
  <c r="A176" i="1"/>
  <c r="A170" i="3"/>
  <c r="B169" i="3"/>
  <c r="C169" i="3"/>
  <c r="N142" i="4"/>
  <c r="A141" i="4"/>
  <c r="B141" i="4" s="1"/>
  <c r="O141" i="4"/>
  <c r="AA141" i="4"/>
  <c r="AP140" i="4"/>
  <c r="AQ140" i="4" s="1"/>
  <c r="AD140" i="4"/>
  <c r="DL23" i="19" l="1"/>
  <c r="DL1" i="19"/>
  <c r="DL7" i="19"/>
  <c r="DL3" i="19"/>
  <c r="DM4" i="19"/>
  <c r="R111" i="17"/>
  <c r="S111" i="17"/>
  <c r="O111" i="17"/>
  <c r="P111" i="17"/>
  <c r="Q111" i="17"/>
  <c r="T111" i="17"/>
  <c r="U111" i="17" s="1"/>
  <c r="N112" i="17"/>
  <c r="F111" i="17"/>
  <c r="H110" i="17"/>
  <c r="R111" i="18"/>
  <c r="S111" i="18"/>
  <c r="O111" i="18"/>
  <c r="P111" i="18"/>
  <c r="Q111" i="18"/>
  <c r="T111" i="18"/>
  <c r="U111" i="18" s="1"/>
  <c r="N112" i="18"/>
  <c r="F111" i="18"/>
  <c r="H110" i="18"/>
  <c r="B176" i="6"/>
  <c r="C176" i="6"/>
  <c r="A177" i="6"/>
  <c r="B176" i="1"/>
  <c r="C176" i="1"/>
  <c r="A177" i="1"/>
  <c r="A171" i="3"/>
  <c r="B170" i="3"/>
  <c r="C170" i="3"/>
  <c r="N143" i="4"/>
  <c r="AA142" i="4"/>
  <c r="A142" i="4"/>
  <c r="B142" i="4" s="1"/>
  <c r="O142" i="4"/>
  <c r="AP141" i="4"/>
  <c r="AQ141" i="4" s="1"/>
  <c r="AD141" i="4"/>
  <c r="DM23" i="19" l="1"/>
  <c r="DM1" i="19"/>
  <c r="DM7" i="19"/>
  <c r="DM3" i="19"/>
  <c r="DN4" i="19"/>
  <c r="DN23" i="19" s="1"/>
  <c r="R112" i="17"/>
  <c r="S112" i="17"/>
  <c r="O112" i="17"/>
  <c r="P112" i="17"/>
  <c r="Q112" i="17"/>
  <c r="T112" i="17"/>
  <c r="U112" i="17" s="1"/>
  <c r="N113" i="17"/>
  <c r="F112" i="17"/>
  <c r="H111" i="17"/>
  <c r="R112" i="18"/>
  <c r="S112" i="18"/>
  <c r="O112" i="18"/>
  <c r="P112" i="18"/>
  <c r="Q112" i="18"/>
  <c r="T112" i="18"/>
  <c r="U112" i="18" s="1"/>
  <c r="N113" i="18"/>
  <c r="F112" i="18"/>
  <c r="H111" i="18"/>
  <c r="C177" i="6"/>
  <c r="B177" i="6"/>
  <c r="A178" i="6"/>
  <c r="B177" i="1"/>
  <c r="C177" i="1"/>
  <c r="A178" i="1"/>
  <c r="A172" i="3"/>
  <c r="B171" i="3"/>
  <c r="C171" i="3"/>
  <c r="N144" i="4"/>
  <c r="AA143" i="4"/>
  <c r="A143" i="4"/>
  <c r="B143" i="4" s="1"/>
  <c r="O143" i="4"/>
  <c r="AP142" i="4"/>
  <c r="AQ142" i="4" s="1"/>
  <c r="AD142" i="4"/>
  <c r="DN1" i="19" l="1"/>
  <c r="DN7" i="19"/>
  <c r="DN3" i="19"/>
  <c r="DO4" i="19"/>
  <c r="DO23" i="19" s="1"/>
  <c r="R113" i="17"/>
  <c r="S113" i="17"/>
  <c r="O113" i="17"/>
  <c r="P113" i="17"/>
  <c r="Q113" i="17"/>
  <c r="T113" i="17"/>
  <c r="U113" i="17" s="1"/>
  <c r="N114" i="17"/>
  <c r="F113" i="17"/>
  <c r="H112" i="17"/>
  <c r="R113" i="18"/>
  <c r="S113" i="18"/>
  <c r="O113" i="18"/>
  <c r="P113" i="18"/>
  <c r="Q113" i="18"/>
  <c r="T113" i="18"/>
  <c r="U113" i="18" s="1"/>
  <c r="N114" i="18"/>
  <c r="F113" i="18"/>
  <c r="H112" i="18"/>
  <c r="B178" i="6"/>
  <c r="A179" i="6"/>
  <c r="C178" i="6"/>
  <c r="B178" i="1"/>
  <c r="C178" i="1"/>
  <c r="A179" i="1"/>
  <c r="A173" i="3"/>
  <c r="B172" i="3"/>
  <c r="C172" i="3"/>
  <c r="N145" i="4"/>
  <c r="O144" i="4"/>
  <c r="AA144" i="4"/>
  <c r="A144" i="4"/>
  <c r="B144" i="4" s="1"/>
  <c r="AP143" i="4"/>
  <c r="AQ143" i="4" s="1"/>
  <c r="AD143" i="4"/>
  <c r="DO1" i="19" l="1"/>
  <c r="DO7" i="19"/>
  <c r="DO3" i="19"/>
  <c r="DP4" i="19"/>
  <c r="DP23" i="19" s="1"/>
  <c r="R114" i="17"/>
  <c r="S114" i="17"/>
  <c r="O114" i="17"/>
  <c r="P114" i="17"/>
  <c r="Q114" i="17"/>
  <c r="T114" i="17"/>
  <c r="U114" i="17" s="1"/>
  <c r="N115" i="17"/>
  <c r="F114" i="17"/>
  <c r="H113" i="17"/>
  <c r="R114" i="18"/>
  <c r="S114" i="18"/>
  <c r="O114" i="18"/>
  <c r="P114" i="18"/>
  <c r="Q114" i="18"/>
  <c r="T114" i="18"/>
  <c r="U114" i="18" s="1"/>
  <c r="N115" i="18"/>
  <c r="F114" i="18"/>
  <c r="H113" i="18"/>
  <c r="C179" i="6"/>
  <c r="B179" i="6"/>
  <c r="A180" i="6"/>
  <c r="B179" i="1"/>
  <c r="C179" i="1"/>
  <c r="A180" i="1"/>
  <c r="A174" i="3"/>
  <c r="N146" i="4"/>
  <c r="B173" i="3"/>
  <c r="C173" i="3"/>
  <c r="AA145" i="4"/>
  <c r="A145" i="4"/>
  <c r="B145" i="4" s="1"/>
  <c r="O145" i="4"/>
  <c r="AP144" i="4"/>
  <c r="AQ144" i="4" s="1"/>
  <c r="AD144" i="4"/>
  <c r="DP1" i="19" l="1"/>
  <c r="DP7" i="19"/>
  <c r="DP3" i="19"/>
  <c r="DQ4" i="19"/>
  <c r="DQ23" i="19" s="1"/>
  <c r="S115" i="17"/>
  <c r="O115" i="17"/>
  <c r="P115" i="17"/>
  <c r="Q115" i="17"/>
  <c r="R115" i="17"/>
  <c r="T115" i="17"/>
  <c r="U115" i="17" s="1"/>
  <c r="N116" i="17"/>
  <c r="F115" i="17"/>
  <c r="H114" i="17"/>
  <c r="S115" i="18"/>
  <c r="O115" i="18"/>
  <c r="P115" i="18"/>
  <c r="Q115" i="18"/>
  <c r="R115" i="18"/>
  <c r="T115" i="18"/>
  <c r="U115" i="18" s="1"/>
  <c r="N116" i="18"/>
  <c r="F115" i="18"/>
  <c r="H114" i="18"/>
  <c r="C180" i="6"/>
  <c r="A181" i="6"/>
  <c r="B180" i="6"/>
  <c r="B180" i="1"/>
  <c r="C180" i="1"/>
  <c r="A181" i="1"/>
  <c r="A175" i="3"/>
  <c r="B174" i="3"/>
  <c r="C174" i="3"/>
  <c r="N147" i="4"/>
  <c r="AA146" i="4"/>
  <c r="A146" i="4"/>
  <c r="B146" i="4" s="1"/>
  <c r="O146" i="4"/>
  <c r="AP145" i="4"/>
  <c r="AQ145" i="4" s="1"/>
  <c r="AD145" i="4"/>
  <c r="DQ1" i="19" l="1"/>
  <c r="DQ7" i="19"/>
  <c r="DQ3" i="19"/>
  <c r="DR4" i="19"/>
  <c r="DR23" i="19" s="1"/>
  <c r="R116" i="17"/>
  <c r="O116" i="17"/>
  <c r="P116" i="17"/>
  <c r="Q116" i="17"/>
  <c r="S116" i="17"/>
  <c r="T116" i="17"/>
  <c r="U116" i="17" s="1"/>
  <c r="N117" i="17"/>
  <c r="F116" i="17"/>
  <c r="H115" i="17"/>
  <c r="R116" i="18"/>
  <c r="O116" i="18"/>
  <c r="P116" i="18"/>
  <c r="Q116" i="18"/>
  <c r="S116" i="18"/>
  <c r="T116" i="18"/>
  <c r="U116" i="18" s="1"/>
  <c r="N117" i="18"/>
  <c r="F116" i="18"/>
  <c r="H115" i="18"/>
  <c r="A182" i="6"/>
  <c r="C181" i="6"/>
  <c r="B181" i="6"/>
  <c r="B181" i="1"/>
  <c r="C181" i="1"/>
  <c r="A182" i="1"/>
  <c r="A176" i="3"/>
  <c r="B175" i="3"/>
  <c r="C175" i="3"/>
  <c r="N148" i="4"/>
  <c r="AA147" i="4"/>
  <c r="A147" i="4"/>
  <c r="B147" i="4" s="1"/>
  <c r="O147" i="4"/>
  <c r="AP146" i="4"/>
  <c r="AQ146" i="4" s="1"/>
  <c r="AD146" i="4"/>
  <c r="DR1" i="19" l="1"/>
  <c r="DR7" i="19"/>
  <c r="DR3" i="19"/>
  <c r="DS4" i="19"/>
  <c r="DS23" i="19" s="1"/>
  <c r="O117" i="17"/>
  <c r="P117" i="17"/>
  <c r="Q117" i="17"/>
  <c r="R117" i="17"/>
  <c r="S117" i="17"/>
  <c r="T117" i="17"/>
  <c r="U117" i="17" s="1"/>
  <c r="N118" i="17"/>
  <c r="F117" i="17"/>
  <c r="H116" i="17"/>
  <c r="O117" i="18"/>
  <c r="P117" i="18"/>
  <c r="Q117" i="18"/>
  <c r="R117" i="18"/>
  <c r="S117" i="18"/>
  <c r="T117" i="18"/>
  <c r="U117" i="18" s="1"/>
  <c r="N118" i="18"/>
  <c r="F117" i="18"/>
  <c r="H116" i="18"/>
  <c r="A183" i="6"/>
  <c r="B182" i="6"/>
  <c r="C182" i="6"/>
  <c r="B182" i="1"/>
  <c r="C182" i="1"/>
  <c r="A183" i="1"/>
  <c r="A177" i="3"/>
  <c r="B176" i="3"/>
  <c r="C176" i="3"/>
  <c r="N149" i="4"/>
  <c r="AA148" i="4"/>
  <c r="A148" i="4"/>
  <c r="B148" i="4" s="1"/>
  <c r="O148" i="4"/>
  <c r="AP147" i="4"/>
  <c r="AQ147" i="4" s="1"/>
  <c r="AD147" i="4"/>
  <c r="DS1" i="19" l="1"/>
  <c r="DS7" i="19"/>
  <c r="DS3" i="19"/>
  <c r="DT4" i="19"/>
  <c r="DT23" i="19" s="1"/>
  <c r="R118" i="17"/>
  <c r="S118" i="17"/>
  <c r="O118" i="17"/>
  <c r="P118" i="17"/>
  <c r="Q118" i="17"/>
  <c r="T118" i="17"/>
  <c r="U118" i="17" s="1"/>
  <c r="N119" i="17"/>
  <c r="F118" i="17"/>
  <c r="H117" i="17"/>
  <c r="R118" i="18"/>
  <c r="S118" i="18"/>
  <c r="O118" i="18"/>
  <c r="P118" i="18"/>
  <c r="Q118" i="18"/>
  <c r="T118" i="18"/>
  <c r="U118" i="18" s="1"/>
  <c r="N119" i="18"/>
  <c r="F118" i="18"/>
  <c r="H117" i="18"/>
  <c r="A184" i="6"/>
  <c r="B183" i="6"/>
  <c r="C183" i="6"/>
  <c r="B183" i="1"/>
  <c r="C183" i="1"/>
  <c r="A184" i="1"/>
  <c r="A178" i="3"/>
  <c r="B177" i="3"/>
  <c r="C177" i="3"/>
  <c r="N150" i="4"/>
  <c r="AA149" i="4"/>
  <c r="A149" i="4"/>
  <c r="B149" i="4" s="1"/>
  <c r="O149" i="4"/>
  <c r="AP148" i="4"/>
  <c r="AQ148" i="4" s="1"/>
  <c r="AD148" i="4"/>
  <c r="DT1" i="19" l="1"/>
  <c r="DT7" i="19"/>
  <c r="DT3" i="19"/>
  <c r="DU4" i="19"/>
  <c r="DU23" i="19" s="1"/>
  <c r="R119" i="17"/>
  <c r="S119" i="17"/>
  <c r="O119" i="17"/>
  <c r="P119" i="17"/>
  <c r="Q119" i="17"/>
  <c r="T119" i="17"/>
  <c r="U119" i="17" s="1"/>
  <c r="N120" i="17"/>
  <c r="F119" i="17"/>
  <c r="H118" i="17"/>
  <c r="R119" i="18"/>
  <c r="S119" i="18"/>
  <c r="O119" i="18"/>
  <c r="P119" i="18"/>
  <c r="Q119" i="18"/>
  <c r="T119" i="18"/>
  <c r="U119" i="18" s="1"/>
  <c r="N120" i="18"/>
  <c r="F119" i="18"/>
  <c r="H118" i="18"/>
  <c r="C184" i="6"/>
  <c r="A185" i="6"/>
  <c r="B184" i="6"/>
  <c r="B184" i="1"/>
  <c r="C184" i="1"/>
  <c r="A185" i="1"/>
  <c r="A179" i="3"/>
  <c r="C178" i="3"/>
  <c r="N151" i="4"/>
  <c r="B178" i="3"/>
  <c r="O150" i="4"/>
  <c r="AA150" i="4"/>
  <c r="A150" i="4"/>
  <c r="B150" i="4" s="1"/>
  <c r="AP149" i="4"/>
  <c r="AQ149" i="4" s="1"/>
  <c r="AD149" i="4"/>
  <c r="DU1" i="19" l="1"/>
  <c r="DU7" i="19"/>
  <c r="DU3" i="19"/>
  <c r="DV4" i="19"/>
  <c r="DV23" i="19" s="1"/>
  <c r="R120" i="17"/>
  <c r="S120" i="17"/>
  <c r="O120" i="17"/>
  <c r="P120" i="17"/>
  <c r="Q120" i="17"/>
  <c r="T120" i="17"/>
  <c r="U120" i="17" s="1"/>
  <c r="N121" i="17"/>
  <c r="F120" i="17"/>
  <c r="H119" i="17"/>
  <c r="R120" i="18"/>
  <c r="S120" i="18"/>
  <c r="O120" i="18"/>
  <c r="P120" i="18"/>
  <c r="Q120" i="18"/>
  <c r="T120" i="18"/>
  <c r="U120" i="18" s="1"/>
  <c r="N121" i="18"/>
  <c r="F120" i="18"/>
  <c r="H119" i="18"/>
  <c r="B185" i="6"/>
  <c r="C185" i="6"/>
  <c r="A186" i="6"/>
  <c r="B185" i="1"/>
  <c r="C185" i="1"/>
  <c r="A186" i="1"/>
  <c r="A180" i="3"/>
  <c r="B179" i="3"/>
  <c r="C179" i="3"/>
  <c r="N152" i="4"/>
  <c r="A151" i="4"/>
  <c r="B151" i="4" s="1"/>
  <c r="O151" i="4"/>
  <c r="AA151" i="4"/>
  <c r="AP150" i="4"/>
  <c r="AQ150" i="4" s="1"/>
  <c r="AD150" i="4"/>
  <c r="DV1" i="19" l="1"/>
  <c r="DV7" i="19"/>
  <c r="DV3" i="19"/>
  <c r="DW4" i="19"/>
  <c r="DW23" i="19" s="1"/>
  <c r="R121" i="17"/>
  <c r="O121" i="17"/>
  <c r="P121" i="17"/>
  <c r="Q121" i="17"/>
  <c r="S121" i="17"/>
  <c r="T121" i="17"/>
  <c r="U121" i="17" s="1"/>
  <c r="N122" i="17"/>
  <c r="H120" i="17"/>
  <c r="F121" i="17"/>
  <c r="R121" i="18"/>
  <c r="S121" i="18"/>
  <c r="O121" i="18"/>
  <c r="P121" i="18"/>
  <c r="Q121" i="18"/>
  <c r="T121" i="18"/>
  <c r="U121" i="18" s="1"/>
  <c r="N122" i="18"/>
  <c r="H120" i="18"/>
  <c r="F121" i="18"/>
  <c r="C186" i="6"/>
  <c r="B186" i="6"/>
  <c r="A187" i="6"/>
  <c r="B186" i="1"/>
  <c r="C186" i="1"/>
  <c r="A187" i="1"/>
  <c r="A181" i="3"/>
  <c r="B180" i="3"/>
  <c r="C180" i="3"/>
  <c r="N153" i="4"/>
  <c r="AA152" i="4"/>
  <c r="A152" i="4"/>
  <c r="B152" i="4" s="1"/>
  <c r="O152" i="4"/>
  <c r="AP151" i="4"/>
  <c r="AQ151" i="4" s="1"/>
  <c r="AD151" i="4"/>
  <c r="DW1" i="19" l="1"/>
  <c r="DW7" i="19"/>
  <c r="DW3" i="19"/>
  <c r="DX4" i="19"/>
  <c r="DX23" i="19" s="1"/>
  <c r="S122" i="17"/>
  <c r="O122" i="17"/>
  <c r="P122" i="17"/>
  <c r="Q122" i="17"/>
  <c r="R122" i="17"/>
  <c r="T122" i="17"/>
  <c r="U122" i="17" s="1"/>
  <c r="N123" i="17"/>
  <c r="F122" i="17"/>
  <c r="H121" i="17"/>
  <c r="O122" i="18"/>
  <c r="P122" i="18"/>
  <c r="Q122" i="18"/>
  <c r="R122" i="18"/>
  <c r="S122" i="18"/>
  <c r="T122" i="18"/>
  <c r="U122" i="18" s="1"/>
  <c r="N123" i="18"/>
  <c r="F122" i="18"/>
  <c r="H121" i="18"/>
  <c r="B187" i="6"/>
  <c r="C187" i="6"/>
  <c r="A188" i="6"/>
  <c r="B187" i="1"/>
  <c r="C187" i="1"/>
  <c r="A188" i="1"/>
  <c r="A182" i="3"/>
  <c r="B181" i="3"/>
  <c r="C181" i="3"/>
  <c r="N154" i="4"/>
  <c r="A153" i="4"/>
  <c r="B153" i="4" s="1"/>
  <c r="O153" i="4"/>
  <c r="AA153" i="4"/>
  <c r="AP152" i="4"/>
  <c r="AQ152" i="4" s="1"/>
  <c r="AD152" i="4"/>
  <c r="DX1" i="19" l="1"/>
  <c r="DX7" i="19"/>
  <c r="DX3" i="19"/>
  <c r="DY4" i="19"/>
  <c r="DY23" i="19" s="1"/>
  <c r="R123" i="17"/>
  <c r="O123" i="17"/>
  <c r="P123" i="17"/>
  <c r="Q123" i="17"/>
  <c r="S123" i="17"/>
  <c r="T123" i="17"/>
  <c r="U123" i="17" s="1"/>
  <c r="N124" i="17"/>
  <c r="F123" i="17"/>
  <c r="H122" i="17"/>
  <c r="R123" i="18"/>
  <c r="O123" i="18"/>
  <c r="P123" i="18"/>
  <c r="Q123" i="18"/>
  <c r="S123" i="18"/>
  <c r="T123" i="18"/>
  <c r="U123" i="18" s="1"/>
  <c r="N124" i="18"/>
  <c r="F123" i="18"/>
  <c r="H122" i="18"/>
  <c r="B188" i="6"/>
  <c r="C188" i="6"/>
  <c r="A189" i="6"/>
  <c r="B188" i="1"/>
  <c r="C188" i="1"/>
  <c r="A189" i="1"/>
  <c r="A183" i="3"/>
  <c r="B182" i="3"/>
  <c r="C182" i="3"/>
  <c r="N155" i="4"/>
  <c r="A154" i="4"/>
  <c r="B154" i="4" s="1"/>
  <c r="O154" i="4"/>
  <c r="AA154" i="4"/>
  <c r="AP153" i="4"/>
  <c r="AQ153" i="4" s="1"/>
  <c r="AD153" i="4"/>
  <c r="DY1" i="19" l="1"/>
  <c r="DY7" i="19"/>
  <c r="DY3" i="19"/>
  <c r="DZ4" i="19"/>
  <c r="DZ23" i="19" s="1"/>
  <c r="O124" i="17"/>
  <c r="P124" i="17"/>
  <c r="Q124" i="17"/>
  <c r="R124" i="17"/>
  <c r="S124" i="17"/>
  <c r="T124" i="17"/>
  <c r="U124" i="17" s="1"/>
  <c r="N125" i="17"/>
  <c r="F124" i="17"/>
  <c r="H123" i="17"/>
  <c r="O124" i="18"/>
  <c r="P124" i="18"/>
  <c r="Q124" i="18"/>
  <c r="R124" i="18"/>
  <c r="S124" i="18"/>
  <c r="T124" i="18"/>
  <c r="U124" i="18" s="1"/>
  <c r="N125" i="18"/>
  <c r="F124" i="18"/>
  <c r="H123" i="18"/>
  <c r="A190" i="6"/>
  <c r="B189" i="6"/>
  <c r="C189" i="6"/>
  <c r="B189" i="1"/>
  <c r="C189" i="1"/>
  <c r="A190" i="1"/>
  <c r="A184" i="3"/>
  <c r="B183" i="3"/>
  <c r="C183" i="3"/>
  <c r="N156" i="4"/>
  <c r="AA155" i="4"/>
  <c r="O155" i="4"/>
  <c r="A155" i="4"/>
  <c r="B155" i="4" s="1"/>
  <c r="AP154" i="4"/>
  <c r="AQ154" i="4" s="1"/>
  <c r="AD154" i="4"/>
  <c r="DZ1" i="19" l="1"/>
  <c r="DZ7" i="19"/>
  <c r="DZ3" i="19"/>
  <c r="EA4" i="19"/>
  <c r="EA23" i="19" s="1"/>
  <c r="R125" i="17"/>
  <c r="S125" i="17"/>
  <c r="O125" i="17"/>
  <c r="P125" i="17"/>
  <c r="Q125" i="17"/>
  <c r="T125" i="17"/>
  <c r="U125" i="17" s="1"/>
  <c r="N126" i="17"/>
  <c r="F125" i="17"/>
  <c r="H124" i="17"/>
  <c r="R125" i="18"/>
  <c r="S125" i="18"/>
  <c r="O125" i="18"/>
  <c r="P125" i="18"/>
  <c r="Q125" i="18"/>
  <c r="T125" i="18"/>
  <c r="U125" i="18" s="1"/>
  <c r="N126" i="18"/>
  <c r="F125" i="18"/>
  <c r="H124" i="18"/>
  <c r="C190" i="6"/>
  <c r="A191" i="6"/>
  <c r="B190" i="6"/>
  <c r="B190" i="1"/>
  <c r="C190" i="1"/>
  <c r="A191" i="1"/>
  <c r="A185" i="3"/>
  <c r="B184" i="3"/>
  <c r="C184" i="3"/>
  <c r="N157" i="4"/>
  <c r="A156" i="4"/>
  <c r="B156" i="4" s="1"/>
  <c r="O156" i="4"/>
  <c r="AA156" i="4"/>
  <c r="AD155" i="4"/>
  <c r="AP155" i="4"/>
  <c r="AQ155" i="4" s="1"/>
  <c r="EA1" i="19" l="1"/>
  <c r="EA7" i="19"/>
  <c r="EA3" i="19"/>
  <c r="EB4" i="19"/>
  <c r="EB23" i="19" s="1"/>
  <c r="R126" i="17"/>
  <c r="S126" i="17"/>
  <c r="O126" i="17"/>
  <c r="P126" i="17"/>
  <c r="Q126" i="17"/>
  <c r="T126" i="17"/>
  <c r="U126" i="17" s="1"/>
  <c r="N127" i="17"/>
  <c r="F126" i="17"/>
  <c r="H125" i="17"/>
  <c r="R126" i="18"/>
  <c r="S126" i="18"/>
  <c r="O126" i="18"/>
  <c r="P126" i="18"/>
  <c r="Q126" i="18"/>
  <c r="T126" i="18"/>
  <c r="U126" i="18" s="1"/>
  <c r="N127" i="18"/>
  <c r="F126" i="18"/>
  <c r="H125" i="18"/>
  <c r="B191" i="6"/>
  <c r="C191" i="6"/>
  <c r="A192" i="6"/>
  <c r="B191" i="1"/>
  <c r="C191" i="1"/>
  <c r="A192" i="1"/>
  <c r="A186" i="3"/>
  <c r="B185" i="3"/>
  <c r="C185" i="3"/>
  <c r="N158" i="4"/>
  <c r="AA157" i="4"/>
  <c r="A157" i="4"/>
  <c r="B157" i="4" s="1"/>
  <c r="O157" i="4"/>
  <c r="AP156" i="4"/>
  <c r="AQ156" i="4" s="1"/>
  <c r="AD156" i="4"/>
  <c r="B25" i="19" l="1"/>
  <c r="D25" i="19"/>
  <c r="C25" i="19"/>
  <c r="E25" i="19"/>
  <c r="G25" i="19"/>
  <c r="F25" i="19"/>
  <c r="H25" i="19"/>
  <c r="J25" i="19"/>
  <c r="I25" i="19"/>
  <c r="K25" i="19"/>
  <c r="L25" i="19"/>
  <c r="M25" i="19"/>
  <c r="N25" i="19"/>
  <c r="O25" i="19"/>
  <c r="P25" i="19"/>
  <c r="Q25" i="19"/>
  <c r="S25" i="19"/>
  <c r="R25" i="19"/>
  <c r="T25" i="19"/>
  <c r="U25" i="19"/>
  <c r="V25" i="19"/>
  <c r="W25" i="19"/>
  <c r="X25" i="19"/>
  <c r="Y25" i="19"/>
  <c r="Z25" i="19"/>
  <c r="AA25" i="19"/>
  <c r="AB25" i="19"/>
  <c r="AD25" i="19"/>
  <c r="AC25" i="19"/>
  <c r="AF25" i="19"/>
  <c r="AE25" i="19"/>
  <c r="AG25" i="19"/>
  <c r="AH25" i="19"/>
  <c r="AI25" i="19"/>
  <c r="AJ25" i="19"/>
  <c r="AK25" i="19"/>
  <c r="AL25" i="19"/>
  <c r="AM25" i="19"/>
  <c r="AN25" i="19"/>
  <c r="AO25" i="19"/>
  <c r="AP25" i="19"/>
  <c r="AQ25" i="19"/>
  <c r="AR25" i="19"/>
  <c r="AS25" i="19"/>
  <c r="AT25" i="19"/>
  <c r="AV25" i="19"/>
  <c r="AU25" i="19"/>
  <c r="AW25" i="19"/>
  <c r="AX25" i="19"/>
  <c r="AY25" i="19"/>
  <c r="AZ25" i="19"/>
  <c r="BB25" i="19"/>
  <c r="BA25" i="19"/>
  <c r="BC25" i="19"/>
  <c r="BD25" i="19"/>
  <c r="BE25" i="19"/>
  <c r="BF25" i="19"/>
  <c r="BG25" i="19"/>
  <c r="BH25" i="19"/>
  <c r="BI25" i="19"/>
  <c r="BJ25" i="19"/>
  <c r="BK25" i="19"/>
  <c r="BL25" i="19"/>
  <c r="BM25" i="19"/>
  <c r="BO25" i="19"/>
  <c r="BN25" i="19"/>
  <c r="BP25" i="19"/>
  <c r="BQ25" i="19"/>
  <c r="BR25" i="19"/>
  <c r="BS25" i="19"/>
  <c r="BT25" i="19"/>
  <c r="BV25" i="19"/>
  <c r="BU25" i="19"/>
  <c r="BW25" i="19"/>
  <c r="BX25" i="19"/>
  <c r="BY25" i="19"/>
  <c r="BZ25" i="19"/>
  <c r="CA25" i="19"/>
  <c r="CC25" i="19"/>
  <c r="CB25" i="19"/>
  <c r="CD25" i="19"/>
  <c r="CE25" i="19"/>
  <c r="CG25" i="19"/>
  <c r="CF25" i="19"/>
  <c r="CH25" i="19"/>
  <c r="CI25" i="19"/>
  <c r="CK25" i="19"/>
  <c r="CJ25" i="19"/>
  <c r="CL25" i="19"/>
  <c r="CM25" i="19"/>
  <c r="CN25" i="19"/>
  <c r="CO25" i="19"/>
  <c r="CP25" i="19"/>
  <c r="CQ25" i="19"/>
  <c r="CR25" i="19"/>
  <c r="CS25" i="19"/>
  <c r="CT25" i="19"/>
  <c r="CU25" i="19"/>
  <c r="CV25" i="19"/>
  <c r="CW25" i="19"/>
  <c r="CX25" i="19"/>
  <c r="CY25" i="19"/>
  <c r="CZ25" i="19"/>
  <c r="DA25" i="19"/>
  <c r="DB25" i="19"/>
  <c r="DC25" i="19"/>
  <c r="DD25" i="19"/>
  <c r="DF25" i="19"/>
  <c r="DE25" i="19"/>
  <c r="DH25" i="19"/>
  <c r="DG25" i="19"/>
  <c r="DJ25" i="19"/>
  <c r="DI25" i="19"/>
  <c r="DK25" i="19"/>
  <c r="DL25" i="19"/>
  <c r="B9" i="19"/>
  <c r="F9" i="19"/>
  <c r="C9" i="19"/>
  <c r="G9" i="19"/>
  <c r="D9" i="19"/>
  <c r="H9" i="19"/>
  <c r="J9" i="19"/>
  <c r="I9" i="19"/>
  <c r="K9" i="19"/>
  <c r="L9" i="19"/>
  <c r="M9" i="19"/>
  <c r="N9" i="19"/>
  <c r="O9" i="19"/>
  <c r="P9" i="19"/>
  <c r="Q9" i="19"/>
  <c r="R9" i="19"/>
  <c r="S9" i="19"/>
  <c r="T9" i="19"/>
  <c r="V9" i="19"/>
  <c r="U9" i="19"/>
  <c r="W9" i="19"/>
  <c r="X9" i="19"/>
  <c r="Y9" i="19"/>
  <c r="AA9" i="19"/>
  <c r="Z9" i="19"/>
  <c r="AC9" i="19"/>
  <c r="AB9" i="19"/>
  <c r="AD9" i="19"/>
  <c r="AE9" i="19"/>
  <c r="AF9" i="19"/>
  <c r="AG9" i="19"/>
  <c r="AH9" i="19"/>
  <c r="AI9" i="19"/>
  <c r="AJ9" i="19"/>
  <c r="AK9" i="19"/>
  <c r="AM9" i="19"/>
  <c r="AL9" i="19"/>
  <c r="AN9" i="19"/>
  <c r="AO9" i="19"/>
  <c r="AP9" i="19"/>
  <c r="AR9" i="19"/>
  <c r="AQ9" i="19"/>
  <c r="AS9" i="19"/>
  <c r="AT9" i="19"/>
  <c r="AU9" i="19"/>
  <c r="AV9" i="19"/>
  <c r="AW9" i="19"/>
  <c r="AX9" i="19"/>
  <c r="AY9" i="19"/>
  <c r="AZ9" i="19"/>
  <c r="BA9" i="19"/>
  <c r="BB9" i="19"/>
  <c r="BC9" i="19"/>
  <c r="BE9" i="19"/>
  <c r="BD9" i="19"/>
  <c r="BF9" i="19"/>
  <c r="BG9" i="19"/>
  <c r="BH9" i="19"/>
  <c r="BI9" i="19"/>
  <c r="BJ9" i="19"/>
  <c r="BL9" i="19"/>
  <c r="BK9" i="19"/>
  <c r="BM9" i="19"/>
  <c r="BN9" i="19"/>
  <c r="BO9" i="19"/>
  <c r="BP9" i="19"/>
  <c r="BQ9" i="19"/>
  <c r="BR9" i="19"/>
  <c r="BS9" i="19"/>
  <c r="BT9" i="19"/>
  <c r="BU9" i="19"/>
  <c r="BV9" i="19"/>
  <c r="BW9" i="19"/>
  <c r="BY9" i="19"/>
  <c r="BX9" i="19"/>
  <c r="CA9" i="19"/>
  <c r="BZ9" i="19"/>
  <c r="CC9" i="19"/>
  <c r="CB9" i="19"/>
  <c r="CD9" i="19"/>
  <c r="CE9" i="19"/>
  <c r="CG9" i="19"/>
  <c r="CF9" i="19"/>
  <c r="CI9" i="19"/>
  <c r="CH9" i="19"/>
  <c r="CK9" i="19"/>
  <c r="CJ9" i="19"/>
  <c r="CL9" i="19"/>
  <c r="CM9" i="19"/>
  <c r="CN9" i="19"/>
  <c r="CP9" i="19"/>
  <c r="CO9" i="19"/>
  <c r="CQ9" i="19"/>
  <c r="CR9" i="19"/>
  <c r="CU9" i="19"/>
  <c r="CS9" i="19"/>
  <c r="CV9" i="19"/>
  <c r="CT9" i="19"/>
  <c r="CW9" i="19"/>
  <c r="CX9" i="19"/>
  <c r="CY9" i="19"/>
  <c r="DA9" i="19"/>
  <c r="CZ9" i="19"/>
  <c r="DB9" i="19"/>
  <c r="DC9" i="19"/>
  <c r="DE9" i="19"/>
  <c r="DD9" i="19"/>
  <c r="DF9" i="19"/>
  <c r="DG9" i="19"/>
  <c r="DI9" i="19"/>
  <c r="DH9" i="19"/>
  <c r="DJ9" i="19"/>
  <c r="DK9" i="19"/>
  <c r="DL9" i="19"/>
  <c r="EB34" i="19"/>
  <c r="B34" i="19"/>
  <c r="DZ34" i="19"/>
  <c r="DY34" i="19"/>
  <c r="DW34" i="19"/>
  <c r="G34" i="19"/>
  <c r="F34" i="19"/>
  <c r="D34" i="19"/>
  <c r="E34" i="19"/>
  <c r="C34" i="19"/>
  <c r="H34" i="19"/>
  <c r="I34" i="19"/>
  <c r="K34" i="19"/>
  <c r="J34" i="19"/>
  <c r="L34" i="19"/>
  <c r="M34" i="19"/>
  <c r="N34" i="19"/>
  <c r="P34" i="19"/>
  <c r="O34" i="19"/>
  <c r="R34" i="19"/>
  <c r="Q34" i="19"/>
  <c r="S34" i="19"/>
  <c r="T34" i="19"/>
  <c r="U34" i="19"/>
  <c r="V34" i="19"/>
  <c r="W34" i="19"/>
  <c r="X34" i="19"/>
  <c r="Y34" i="19"/>
  <c r="AA34" i="19"/>
  <c r="Z34" i="19"/>
  <c r="AB34" i="19"/>
  <c r="AC34" i="19"/>
  <c r="AD34" i="19"/>
  <c r="AE34" i="19"/>
  <c r="AF34" i="19"/>
  <c r="AG34" i="19"/>
  <c r="AH34" i="19"/>
  <c r="AI34" i="19"/>
  <c r="AJ34" i="19"/>
  <c r="AL34" i="19"/>
  <c r="AK34" i="19"/>
  <c r="AM34" i="19"/>
  <c r="AO34" i="19"/>
  <c r="AN34" i="19"/>
  <c r="AP34" i="19"/>
  <c r="AQ34" i="19"/>
  <c r="AR34" i="19"/>
  <c r="AS34" i="19"/>
  <c r="AT34" i="19"/>
  <c r="AV34" i="19"/>
  <c r="AU34" i="19"/>
  <c r="AX34" i="19"/>
  <c r="AW34" i="19"/>
  <c r="AZ34" i="19"/>
  <c r="AY34" i="19"/>
  <c r="BA34" i="19"/>
  <c r="BB34" i="19"/>
  <c r="BC34" i="19"/>
  <c r="BD34" i="19"/>
  <c r="BE34" i="19"/>
  <c r="BG34" i="19"/>
  <c r="BF34" i="19"/>
  <c r="BH34" i="19"/>
  <c r="BI34" i="19"/>
  <c r="BJ34" i="19"/>
  <c r="BK34" i="19"/>
  <c r="BL34" i="19"/>
  <c r="BM34" i="19"/>
  <c r="BN34" i="19"/>
  <c r="BQ34" i="19"/>
  <c r="BO34" i="19"/>
  <c r="BP34" i="19"/>
  <c r="BR34" i="19"/>
  <c r="BU34" i="19"/>
  <c r="BT34" i="19"/>
  <c r="BS34" i="19"/>
  <c r="BW34" i="19"/>
  <c r="BX34" i="19"/>
  <c r="BV34" i="19"/>
  <c r="BY34" i="19"/>
  <c r="BZ34" i="19"/>
  <c r="CA34" i="19"/>
  <c r="CB34" i="19"/>
  <c r="CC34" i="19"/>
  <c r="CF34" i="19"/>
  <c r="CD34" i="19"/>
  <c r="CE34" i="19"/>
  <c r="CH34" i="19"/>
  <c r="CG34" i="19"/>
  <c r="CI34" i="19"/>
  <c r="CK34" i="19"/>
  <c r="CL34" i="19"/>
  <c r="CJ34" i="19"/>
  <c r="CM34" i="19"/>
  <c r="CN34" i="19"/>
  <c r="CP34" i="19"/>
  <c r="EA34" i="19"/>
  <c r="CS34" i="19"/>
  <c r="CQ34" i="19"/>
  <c r="CR34" i="19"/>
  <c r="CT34" i="19"/>
  <c r="CU34" i="19"/>
  <c r="CV34" i="19"/>
  <c r="CW34" i="19"/>
  <c r="CX34" i="19"/>
  <c r="CZ34" i="19"/>
  <c r="CY34" i="19"/>
  <c r="DB34" i="19"/>
  <c r="DA34" i="19"/>
  <c r="DC34" i="19"/>
  <c r="DE34" i="19"/>
  <c r="DD34" i="19"/>
  <c r="DF34" i="19"/>
  <c r="CO34" i="19"/>
  <c r="DG34" i="19"/>
  <c r="DI34" i="19"/>
  <c r="DJ34" i="19"/>
  <c r="DL34" i="19"/>
  <c r="DK34" i="19"/>
  <c r="DM34" i="19"/>
  <c r="DN34" i="19"/>
  <c r="DO34" i="19"/>
  <c r="DP34" i="19"/>
  <c r="DR34" i="19"/>
  <c r="DS34" i="19"/>
  <c r="DQ34" i="19"/>
  <c r="DT34" i="19"/>
  <c r="DU34" i="19"/>
  <c r="DX34" i="19"/>
  <c r="DV34" i="19"/>
  <c r="DH34" i="19"/>
  <c r="EB18" i="19"/>
  <c r="B18" i="19"/>
  <c r="F18" i="19"/>
  <c r="D18" i="19"/>
  <c r="E18" i="19"/>
  <c r="J18" i="19"/>
  <c r="I18" i="19"/>
  <c r="K18" i="19"/>
  <c r="L18" i="19"/>
  <c r="M18" i="19"/>
  <c r="N18" i="19"/>
  <c r="O18" i="19"/>
  <c r="P18" i="19"/>
  <c r="Q18" i="19"/>
  <c r="R18" i="19"/>
  <c r="S18" i="19"/>
  <c r="T18" i="19"/>
  <c r="U18" i="19"/>
  <c r="V18" i="19"/>
  <c r="W18" i="19"/>
  <c r="X18" i="19"/>
  <c r="Y18" i="19"/>
  <c r="AA18" i="19"/>
  <c r="Z18" i="19"/>
  <c r="AB18" i="19"/>
  <c r="AC18" i="19"/>
  <c r="AD18" i="19"/>
  <c r="AE18" i="19"/>
  <c r="AF18" i="19"/>
  <c r="AG18" i="19"/>
  <c r="AH18" i="19"/>
  <c r="AI18" i="19"/>
  <c r="AJ18" i="19"/>
  <c r="AK18" i="19"/>
  <c r="AL18" i="19"/>
  <c r="AN18" i="19"/>
  <c r="AM18" i="19"/>
  <c r="AO18" i="19"/>
  <c r="AP18" i="19"/>
  <c r="AR18" i="19"/>
  <c r="AQ18" i="19"/>
  <c r="AS18" i="19"/>
  <c r="AT18" i="19"/>
  <c r="AU18" i="19"/>
  <c r="AV18" i="19"/>
  <c r="AX18" i="19"/>
  <c r="AW18" i="19"/>
  <c r="AY18" i="19"/>
  <c r="AZ18" i="19"/>
  <c r="BA18" i="19"/>
  <c r="BB18" i="19"/>
  <c r="BC18" i="19"/>
  <c r="BE18" i="19"/>
  <c r="BD18" i="19"/>
  <c r="BF18" i="19"/>
  <c r="BH18" i="19"/>
  <c r="BG18" i="19"/>
  <c r="BI18" i="19"/>
  <c r="BJ18" i="19"/>
  <c r="BK18" i="19"/>
  <c r="BL18" i="19"/>
  <c r="BM18" i="19"/>
  <c r="BN18" i="19"/>
  <c r="BQ18" i="19"/>
  <c r="BO18" i="19"/>
  <c r="BP18" i="19"/>
  <c r="BR18" i="19"/>
  <c r="BS18" i="19"/>
  <c r="BT18" i="19"/>
  <c r="BU18" i="19"/>
  <c r="BV18" i="19"/>
  <c r="BX18" i="19"/>
  <c r="BW18" i="19"/>
  <c r="BY18" i="19"/>
  <c r="CA18" i="19"/>
  <c r="BZ18" i="19"/>
  <c r="CB18" i="19"/>
  <c r="CC18" i="19"/>
  <c r="CF18" i="19"/>
  <c r="CE18" i="19"/>
  <c r="CD18" i="19"/>
  <c r="CG18" i="19"/>
  <c r="CI18" i="19"/>
  <c r="CH18" i="19"/>
  <c r="CK18" i="19"/>
  <c r="CJ18" i="19"/>
  <c r="CM18" i="19"/>
  <c r="CL18" i="19"/>
  <c r="CN18" i="19"/>
  <c r="CO18" i="19"/>
  <c r="CP18" i="19"/>
  <c r="CQ18" i="19"/>
  <c r="CR18" i="19"/>
  <c r="CS18" i="19"/>
  <c r="CT18" i="19"/>
  <c r="CW18" i="19"/>
  <c r="EA18" i="19"/>
  <c r="CU18" i="19"/>
  <c r="CY18" i="19"/>
  <c r="CX18" i="19"/>
  <c r="CZ18" i="19"/>
  <c r="DB18" i="19"/>
  <c r="DA18" i="19"/>
  <c r="DE18" i="19"/>
  <c r="DC18" i="19"/>
  <c r="DD18" i="19"/>
  <c r="DF18" i="19"/>
  <c r="DG18" i="19"/>
  <c r="DK18" i="19"/>
  <c r="DH18" i="19"/>
  <c r="DI18" i="19"/>
  <c r="DJ18" i="19"/>
  <c r="DM18" i="19"/>
  <c r="CV18" i="19"/>
  <c r="DN18" i="19"/>
  <c r="DO18" i="19"/>
  <c r="DP18" i="19"/>
  <c r="DS18" i="19"/>
  <c r="DQ18" i="19"/>
  <c r="DR18" i="19"/>
  <c r="DT18" i="19"/>
  <c r="G18" i="19"/>
  <c r="DU18" i="19"/>
  <c r="DW18" i="19"/>
  <c r="DV18" i="19"/>
  <c r="DX18" i="19"/>
  <c r="H18" i="19"/>
  <c r="DY18" i="19"/>
  <c r="C18" i="19"/>
  <c r="DZ18" i="19"/>
  <c r="DL18" i="19"/>
  <c r="DZ25" i="19"/>
  <c r="DX25" i="19"/>
  <c r="EB25" i="19"/>
  <c r="DM25" i="19"/>
  <c r="DN25" i="19"/>
  <c r="DO25" i="19"/>
  <c r="DP25" i="19"/>
  <c r="DQ25" i="19"/>
  <c r="DR25" i="19"/>
  <c r="DS25" i="19"/>
  <c r="DT25" i="19"/>
  <c r="DV25" i="19"/>
  <c r="DU25" i="19"/>
  <c r="DW25" i="19"/>
  <c r="DY25" i="19"/>
  <c r="EA25" i="19"/>
  <c r="EB9" i="19"/>
  <c r="DM9" i="19"/>
  <c r="DN9" i="19"/>
  <c r="DO9" i="19"/>
  <c r="DQ9" i="19"/>
  <c r="DP9" i="19"/>
  <c r="DR9" i="19"/>
  <c r="DS9" i="19"/>
  <c r="DT9" i="19"/>
  <c r="DX9" i="19"/>
  <c r="DU9" i="19"/>
  <c r="DY9" i="19"/>
  <c r="DW9" i="19"/>
  <c r="DV9" i="19"/>
  <c r="DZ9" i="19"/>
  <c r="EA9" i="19"/>
  <c r="EB1" i="19"/>
  <c r="EB7" i="19"/>
  <c r="EB3" i="19"/>
  <c r="EC4" i="19"/>
  <c r="EC23" i="19" s="1"/>
  <c r="R127" i="17"/>
  <c r="S127" i="17"/>
  <c r="O127" i="17"/>
  <c r="P127" i="17"/>
  <c r="Q127" i="17"/>
  <c r="T127" i="17"/>
  <c r="U127" i="17" s="1"/>
  <c r="N128" i="17"/>
  <c r="F127" i="17"/>
  <c r="H126" i="17"/>
  <c r="R127" i="18"/>
  <c r="S127" i="18"/>
  <c r="O127" i="18"/>
  <c r="P127" i="18"/>
  <c r="Q127" i="18"/>
  <c r="T127" i="18"/>
  <c r="U127" i="18" s="1"/>
  <c r="N128" i="18"/>
  <c r="F127" i="18"/>
  <c r="H126" i="18"/>
  <c r="B192" i="6"/>
  <c r="C192" i="6"/>
  <c r="A193" i="6"/>
  <c r="B192" i="1"/>
  <c r="C192" i="1"/>
  <c r="A187" i="3"/>
  <c r="B186" i="3"/>
  <c r="C186" i="3"/>
  <c r="N159" i="4"/>
  <c r="O158" i="4"/>
  <c r="AA158" i="4"/>
  <c r="A158" i="4"/>
  <c r="B158" i="4" s="1"/>
  <c r="AD157" i="4"/>
  <c r="AP157" i="4"/>
  <c r="AQ157" i="4" s="1"/>
  <c r="CY31" i="19" l="1"/>
  <c r="CZ31" i="19"/>
  <c r="DA31" i="19"/>
  <c r="DC31" i="19"/>
  <c r="DB31" i="19"/>
  <c r="DE31" i="19"/>
  <c r="DD31" i="19"/>
  <c r="DF31" i="19"/>
  <c r="DH31" i="19"/>
  <c r="DG31" i="19"/>
  <c r="DI31" i="19"/>
  <c r="DJ31" i="19"/>
  <c r="D13" i="19"/>
  <c r="C13" i="19"/>
  <c r="F13" i="19"/>
  <c r="G13" i="19"/>
  <c r="H13" i="19"/>
  <c r="I13" i="19"/>
  <c r="J13" i="19"/>
  <c r="K13" i="19"/>
  <c r="L13" i="19"/>
  <c r="M13" i="19"/>
  <c r="O13" i="19"/>
  <c r="N13" i="19"/>
  <c r="Q13" i="19"/>
  <c r="P13" i="19"/>
  <c r="S13" i="19"/>
  <c r="R13" i="19"/>
  <c r="T13" i="19"/>
  <c r="U13" i="19"/>
  <c r="W13" i="19"/>
  <c r="V13" i="19"/>
  <c r="X13" i="19"/>
  <c r="Z13" i="19"/>
  <c r="Y13" i="19"/>
  <c r="AA13" i="19"/>
  <c r="AB13" i="19"/>
  <c r="AD13" i="19"/>
  <c r="AC13" i="19"/>
  <c r="AF13" i="19"/>
  <c r="AE13" i="19"/>
  <c r="AH13" i="19"/>
  <c r="AG13" i="19"/>
  <c r="AJ13" i="19"/>
  <c r="AI13" i="19"/>
  <c r="AK13" i="19"/>
  <c r="AL13" i="19"/>
  <c r="AM13" i="19"/>
  <c r="AO13" i="19"/>
  <c r="AN13" i="19"/>
  <c r="AQ13" i="19"/>
  <c r="AP13" i="19"/>
  <c r="AR13" i="19"/>
  <c r="AS13" i="19"/>
  <c r="AT13" i="19"/>
  <c r="AU13" i="19"/>
  <c r="AV13" i="19"/>
  <c r="AW13" i="19"/>
  <c r="AY13" i="19"/>
  <c r="AX13" i="19"/>
  <c r="AZ13" i="19"/>
  <c r="BA13" i="19"/>
  <c r="BC13" i="19"/>
  <c r="BB13" i="19"/>
  <c r="BD13" i="19"/>
  <c r="BE13" i="19"/>
  <c r="BF13" i="19"/>
  <c r="BH13" i="19"/>
  <c r="BG13" i="19"/>
  <c r="BI13" i="19"/>
  <c r="BJ13" i="19"/>
  <c r="BK13" i="19"/>
  <c r="BL13" i="19"/>
  <c r="BN13" i="19"/>
  <c r="BM13" i="19"/>
  <c r="BO13" i="19"/>
  <c r="BP13" i="19"/>
  <c r="BQ13" i="19"/>
  <c r="BR13" i="19"/>
  <c r="BS13" i="19"/>
  <c r="BT13" i="19"/>
  <c r="BU13" i="19"/>
  <c r="BV13" i="19"/>
  <c r="BX13" i="19"/>
  <c r="BW13" i="19"/>
  <c r="BY13" i="19"/>
  <c r="BZ13" i="19"/>
  <c r="CA13" i="19"/>
  <c r="CB13" i="19"/>
  <c r="CC13" i="19"/>
  <c r="CD13" i="19"/>
  <c r="CE13" i="19"/>
  <c r="CG13" i="19"/>
  <c r="CF13" i="19"/>
  <c r="CH13" i="19"/>
  <c r="CI13" i="19"/>
  <c r="CJ13" i="19"/>
  <c r="CK13" i="19"/>
  <c r="CL13" i="19"/>
  <c r="CM13" i="19"/>
  <c r="CN13" i="19"/>
  <c r="CO13" i="19"/>
  <c r="CP13" i="19"/>
  <c r="CP15" i="19"/>
  <c r="CQ13" i="19"/>
  <c r="CQ15" i="19"/>
  <c r="CR13" i="19"/>
  <c r="CR15" i="19"/>
  <c r="CS13" i="19"/>
  <c r="CS15" i="19"/>
  <c r="CT13" i="19"/>
  <c r="CT15" i="19"/>
  <c r="CU13" i="19"/>
  <c r="CU15" i="19"/>
  <c r="CV13" i="19"/>
  <c r="CV15" i="19"/>
  <c r="CW13" i="19"/>
  <c r="CW15" i="19"/>
  <c r="CX13" i="19"/>
  <c r="CX15" i="19"/>
  <c r="CY13" i="19"/>
  <c r="CY15" i="19"/>
  <c r="CZ13" i="19"/>
  <c r="CZ15" i="19"/>
  <c r="DA13" i="19"/>
  <c r="DA15" i="19"/>
  <c r="DB13" i="19"/>
  <c r="DB15" i="19"/>
  <c r="DC13" i="19"/>
  <c r="DC15" i="19"/>
  <c r="DD13" i="19"/>
  <c r="DD15" i="19"/>
  <c r="DE13" i="19"/>
  <c r="DE15" i="19"/>
  <c r="DF13" i="19"/>
  <c r="DF15" i="19"/>
  <c r="DG13" i="19"/>
  <c r="DG15" i="19"/>
  <c r="DH13" i="19"/>
  <c r="DH15" i="19"/>
  <c r="DI13" i="19"/>
  <c r="DI15" i="19"/>
  <c r="DJ13" i="19"/>
  <c r="DJ15" i="19"/>
  <c r="B13" i="19"/>
  <c r="EB35" i="19"/>
  <c r="EB36" i="19" s="1"/>
  <c r="DY35" i="19"/>
  <c r="DY36" i="19" s="1"/>
  <c r="DW35" i="19"/>
  <c r="DW36" i="19" s="1"/>
  <c r="EA35" i="19"/>
  <c r="EA36" i="19" s="1"/>
  <c r="DZ35" i="19"/>
  <c r="DZ36" i="19" s="1"/>
  <c r="DX35" i="19"/>
  <c r="DX36" i="19" s="1"/>
  <c r="EC34" i="19"/>
  <c r="EC35" i="19"/>
  <c r="B35" i="19"/>
  <c r="B36" i="19" s="1"/>
  <c r="G35" i="19"/>
  <c r="G36" i="19" s="1"/>
  <c r="F35" i="19"/>
  <c r="F36" i="19" s="1"/>
  <c r="D35" i="19"/>
  <c r="D36" i="19" s="1"/>
  <c r="E35" i="19"/>
  <c r="E36" i="19" s="1"/>
  <c r="C35" i="19"/>
  <c r="C36" i="19" s="1"/>
  <c r="I35" i="19"/>
  <c r="I36" i="19" s="1"/>
  <c r="H35" i="19"/>
  <c r="H36" i="19" s="1"/>
  <c r="J35" i="19"/>
  <c r="J36" i="19" s="1"/>
  <c r="K35" i="19"/>
  <c r="K36" i="19" s="1"/>
  <c r="M35" i="19"/>
  <c r="M36" i="19" s="1"/>
  <c r="L35" i="19"/>
  <c r="L36" i="19" s="1"/>
  <c r="N35" i="19"/>
  <c r="N36" i="19" s="1"/>
  <c r="P35" i="19"/>
  <c r="P36" i="19" s="1"/>
  <c r="O35" i="19"/>
  <c r="O36" i="19" s="1"/>
  <c r="Q35" i="19"/>
  <c r="Q36" i="19" s="1"/>
  <c r="R35" i="19"/>
  <c r="R36" i="19" s="1"/>
  <c r="T35" i="19"/>
  <c r="T36" i="19" s="1"/>
  <c r="S35" i="19"/>
  <c r="S36" i="19" s="1"/>
  <c r="V35" i="19"/>
  <c r="V36" i="19" s="1"/>
  <c r="U35" i="19"/>
  <c r="U36" i="19" s="1"/>
  <c r="W35" i="19"/>
  <c r="W36" i="19" s="1"/>
  <c r="X35" i="19"/>
  <c r="X36" i="19" s="1"/>
  <c r="AA35" i="19"/>
  <c r="AA36" i="19" s="1"/>
  <c r="Y35" i="19"/>
  <c r="Y36" i="19" s="1"/>
  <c r="Z35" i="19"/>
  <c r="Z36" i="19" s="1"/>
  <c r="AB35" i="19"/>
  <c r="AB36" i="19" s="1"/>
  <c r="AC35" i="19"/>
  <c r="AC36" i="19" s="1"/>
  <c r="AD35" i="19"/>
  <c r="AD36" i="19" s="1"/>
  <c r="AF35" i="19"/>
  <c r="AF36" i="19" s="1"/>
  <c r="AE35" i="19"/>
  <c r="AE36" i="19" s="1"/>
  <c r="AG35" i="19"/>
  <c r="AG36" i="19" s="1"/>
  <c r="AI35" i="19"/>
  <c r="AI36" i="19" s="1"/>
  <c r="AH35" i="19"/>
  <c r="AH36" i="19" s="1"/>
  <c r="AJ35" i="19"/>
  <c r="AJ36" i="19" s="1"/>
  <c r="AK35" i="19"/>
  <c r="AK36" i="19" s="1"/>
  <c r="AL35" i="19"/>
  <c r="AL36" i="19" s="1"/>
  <c r="AM35" i="19"/>
  <c r="AM36" i="19" s="1"/>
  <c r="AN35" i="19"/>
  <c r="AN36" i="19" s="1"/>
  <c r="AO35" i="19"/>
  <c r="AO36" i="19" s="1"/>
  <c r="AP35" i="19"/>
  <c r="AP36" i="19" s="1"/>
  <c r="AQ35" i="19"/>
  <c r="AQ36" i="19" s="1"/>
  <c r="AS35" i="19"/>
  <c r="AS36" i="19" s="1"/>
  <c r="AR35" i="19"/>
  <c r="AR36" i="19" s="1"/>
  <c r="AT35" i="19"/>
  <c r="AT36" i="19" s="1"/>
  <c r="AU35" i="19"/>
  <c r="AU36" i="19" s="1"/>
  <c r="AV35" i="19"/>
  <c r="AV36" i="19" s="1"/>
  <c r="AX35" i="19"/>
  <c r="AX36" i="19" s="1"/>
  <c r="AW35" i="19"/>
  <c r="AW36" i="19" s="1"/>
  <c r="AZ35" i="19"/>
  <c r="AZ36" i="19" s="1"/>
  <c r="AY35" i="19"/>
  <c r="AY36" i="19" s="1"/>
  <c r="BA35" i="19"/>
  <c r="BA36" i="19" s="1"/>
  <c r="BB35" i="19"/>
  <c r="BB36" i="19" s="1"/>
  <c r="BC35" i="19"/>
  <c r="BC36" i="19" s="1"/>
  <c r="BD35" i="19"/>
  <c r="BD36" i="19" s="1"/>
  <c r="BE35" i="19"/>
  <c r="BE36" i="19" s="1"/>
  <c r="BF35" i="19"/>
  <c r="BF36" i="19" s="1"/>
  <c r="BG35" i="19"/>
  <c r="BG36" i="19" s="1"/>
  <c r="BH35" i="19"/>
  <c r="BH36" i="19" s="1"/>
  <c r="BJ35" i="19"/>
  <c r="BJ36" i="19" s="1"/>
  <c r="BI35" i="19"/>
  <c r="BI36" i="19" s="1"/>
  <c r="BL35" i="19"/>
  <c r="BL36" i="19" s="1"/>
  <c r="BK35" i="19"/>
  <c r="BK36" i="19" s="1"/>
  <c r="BM35" i="19"/>
  <c r="BM36" i="19" s="1"/>
  <c r="BN35" i="19"/>
  <c r="BN36" i="19" s="1"/>
  <c r="BO35" i="19"/>
  <c r="BO36" i="19" s="1"/>
  <c r="BP35" i="19"/>
  <c r="BP36" i="19" s="1"/>
  <c r="BQ35" i="19"/>
  <c r="BQ36" i="19" s="1"/>
  <c r="BR35" i="19"/>
  <c r="BR36" i="19" s="1"/>
  <c r="BS35" i="19"/>
  <c r="BS36" i="19" s="1"/>
  <c r="BT35" i="19"/>
  <c r="BT36" i="19" s="1"/>
  <c r="BU35" i="19"/>
  <c r="BU36" i="19" s="1"/>
  <c r="BW35" i="19"/>
  <c r="BW36" i="19" s="1"/>
  <c r="BV35" i="19"/>
  <c r="BV36" i="19" s="1"/>
  <c r="BX35" i="19"/>
  <c r="BX36" i="19" s="1"/>
  <c r="BY35" i="19"/>
  <c r="BY36" i="19" s="1"/>
  <c r="CB35" i="19"/>
  <c r="CB36" i="19" s="1"/>
  <c r="BZ35" i="19"/>
  <c r="BZ36" i="19" s="1"/>
  <c r="CA35" i="19"/>
  <c r="CA36" i="19" s="1"/>
  <c r="CC35" i="19"/>
  <c r="CC36" i="19" s="1"/>
  <c r="CD35" i="19"/>
  <c r="CD36" i="19" s="1"/>
  <c r="CE35" i="19"/>
  <c r="CE36" i="19" s="1"/>
  <c r="CF35" i="19"/>
  <c r="CF36" i="19" s="1"/>
  <c r="CG35" i="19"/>
  <c r="CG36" i="19" s="1"/>
  <c r="CH35" i="19"/>
  <c r="CH36" i="19" s="1"/>
  <c r="CJ35" i="19"/>
  <c r="CJ36" i="19" s="1"/>
  <c r="CI35" i="19"/>
  <c r="CI36" i="19" s="1"/>
  <c r="CK35" i="19"/>
  <c r="CK36" i="19" s="1"/>
  <c r="CL35" i="19"/>
  <c r="CL36" i="19" s="1"/>
  <c r="CM35" i="19"/>
  <c r="CM36" i="19" s="1"/>
  <c r="CO35" i="19"/>
  <c r="CO36" i="19" s="1"/>
  <c r="CN35" i="19"/>
  <c r="CN36" i="19" s="1"/>
  <c r="CP35" i="19"/>
  <c r="CP36" i="19" s="1"/>
  <c r="CR35" i="19"/>
  <c r="CR36" i="19" s="1"/>
  <c r="CQ35" i="19"/>
  <c r="CQ36" i="19" s="1"/>
  <c r="CS35" i="19"/>
  <c r="CS36" i="19" s="1"/>
  <c r="CT35" i="19"/>
  <c r="CT36" i="19" s="1"/>
  <c r="CU35" i="19"/>
  <c r="CU36" i="19" s="1"/>
  <c r="CW35" i="19"/>
  <c r="CW36" i="19" s="1"/>
  <c r="CV35" i="19"/>
  <c r="CV36" i="19" s="1"/>
  <c r="CX35" i="19"/>
  <c r="CX36" i="19" s="1"/>
  <c r="CY35" i="19"/>
  <c r="CY36" i="19" s="1"/>
  <c r="DA35" i="19"/>
  <c r="DA36" i="19" s="1"/>
  <c r="CZ35" i="19"/>
  <c r="CZ36" i="19" s="1"/>
  <c r="DB35" i="19"/>
  <c r="DB36" i="19" s="1"/>
  <c r="DC35" i="19"/>
  <c r="DC36" i="19" s="1"/>
  <c r="DE35" i="19"/>
  <c r="DE36" i="19" s="1"/>
  <c r="DD35" i="19"/>
  <c r="DD36" i="19" s="1"/>
  <c r="DG35" i="19"/>
  <c r="DG36" i="19" s="1"/>
  <c r="DF35" i="19"/>
  <c r="DF36" i="19" s="1"/>
  <c r="DH35" i="19"/>
  <c r="DH36" i="19" s="1"/>
  <c r="DI35" i="19"/>
  <c r="DI36" i="19" s="1"/>
  <c r="DJ35" i="19"/>
  <c r="DJ36" i="19" s="1"/>
  <c r="DK35" i="19"/>
  <c r="DK36" i="19" s="1"/>
  <c r="DL35" i="19"/>
  <c r="DL36" i="19" s="1"/>
  <c r="DN35" i="19"/>
  <c r="DN36" i="19" s="1"/>
  <c r="DM35" i="19"/>
  <c r="DM36" i="19" s="1"/>
  <c r="DO35" i="19"/>
  <c r="DO36" i="19" s="1"/>
  <c r="DP35" i="19"/>
  <c r="DP36" i="19" s="1"/>
  <c r="DQ35" i="19"/>
  <c r="DQ36" i="19" s="1"/>
  <c r="DR35" i="19"/>
  <c r="DR36" i="19" s="1"/>
  <c r="DT35" i="19"/>
  <c r="DT36" i="19" s="1"/>
  <c r="DS35" i="19"/>
  <c r="DS36" i="19" s="1"/>
  <c r="DU35" i="19"/>
  <c r="DU36" i="19" s="1"/>
  <c r="DV35" i="19"/>
  <c r="DV36" i="19" s="1"/>
  <c r="EC18" i="19"/>
  <c r="EC19" i="19"/>
  <c r="B19" i="19"/>
  <c r="B20" i="19" s="1"/>
  <c r="EB19" i="19"/>
  <c r="EB20" i="19" s="1"/>
  <c r="EA19" i="19"/>
  <c r="EA20" i="19" s="1"/>
  <c r="DZ19" i="19"/>
  <c r="DZ20" i="19" s="1"/>
  <c r="DX19" i="19"/>
  <c r="DX20" i="19" s="1"/>
  <c r="DY19" i="19"/>
  <c r="DY20" i="19" s="1"/>
  <c r="DW19" i="19"/>
  <c r="DW20" i="19" s="1"/>
  <c r="G19" i="19"/>
  <c r="G20" i="19" s="1"/>
  <c r="F19" i="19"/>
  <c r="F20" i="19" s="1"/>
  <c r="E19" i="19"/>
  <c r="D19" i="19"/>
  <c r="D20" i="19" s="1"/>
  <c r="C19" i="19"/>
  <c r="C20" i="19" s="1"/>
  <c r="H19" i="19"/>
  <c r="H20" i="19" s="1"/>
  <c r="I19" i="19"/>
  <c r="I20" i="19" s="1"/>
  <c r="J19" i="19"/>
  <c r="J20" i="19" s="1"/>
  <c r="K19" i="19"/>
  <c r="K20" i="19" s="1"/>
  <c r="L19" i="19"/>
  <c r="L20" i="19" s="1"/>
  <c r="M19" i="19"/>
  <c r="M20" i="19" s="1"/>
  <c r="N19" i="19"/>
  <c r="N20" i="19" s="1"/>
  <c r="O19" i="19"/>
  <c r="O20" i="19" s="1"/>
  <c r="P19" i="19"/>
  <c r="P20" i="19" s="1"/>
  <c r="R19" i="19"/>
  <c r="R20" i="19" s="1"/>
  <c r="Q19" i="19"/>
  <c r="Q20" i="19" s="1"/>
  <c r="S19" i="19"/>
  <c r="S20" i="19" s="1"/>
  <c r="T19" i="19"/>
  <c r="T20" i="19" s="1"/>
  <c r="U19" i="19"/>
  <c r="U20" i="19" s="1"/>
  <c r="W19" i="19"/>
  <c r="W20" i="19" s="1"/>
  <c r="V19" i="19"/>
  <c r="V20" i="19" s="1"/>
  <c r="X19" i="19"/>
  <c r="X20" i="19" s="1"/>
  <c r="AA19" i="19"/>
  <c r="AA20" i="19" s="1"/>
  <c r="Z19" i="19"/>
  <c r="Z20" i="19" s="1"/>
  <c r="Y19" i="19"/>
  <c r="Y20" i="19" s="1"/>
  <c r="AB19" i="19"/>
  <c r="AB20" i="19" s="1"/>
  <c r="AC19" i="19"/>
  <c r="AC20" i="19" s="1"/>
  <c r="AD19" i="19"/>
  <c r="AD20" i="19" s="1"/>
  <c r="AF19" i="19"/>
  <c r="AF20" i="19" s="1"/>
  <c r="AE19" i="19"/>
  <c r="AE20" i="19" s="1"/>
  <c r="AH19" i="19"/>
  <c r="AH20" i="19" s="1"/>
  <c r="AG19" i="19"/>
  <c r="AG20" i="19" s="1"/>
  <c r="AI19" i="19"/>
  <c r="AI20" i="19" s="1"/>
  <c r="AJ19" i="19"/>
  <c r="AJ20" i="19" s="1"/>
  <c r="AK19" i="19"/>
  <c r="AK20" i="19" s="1"/>
  <c r="AL19" i="19"/>
  <c r="AL20" i="19" s="1"/>
  <c r="AM19" i="19"/>
  <c r="AM20" i="19" s="1"/>
  <c r="AN19" i="19"/>
  <c r="AN20" i="19" s="1"/>
  <c r="AO19" i="19"/>
  <c r="AO20" i="19" s="1"/>
  <c r="AP19" i="19"/>
  <c r="AP20" i="19" s="1"/>
  <c r="AQ19" i="19"/>
  <c r="AQ20" i="19" s="1"/>
  <c r="AR19" i="19"/>
  <c r="AR20" i="19" s="1"/>
  <c r="AS19" i="19"/>
  <c r="AS20" i="19" s="1"/>
  <c r="AU19" i="19"/>
  <c r="AU20" i="19" s="1"/>
  <c r="AT19" i="19"/>
  <c r="AT20" i="19" s="1"/>
  <c r="AV19" i="19"/>
  <c r="AV20" i="19" s="1"/>
  <c r="AX19" i="19"/>
  <c r="AX20" i="19" s="1"/>
  <c r="AW19" i="19"/>
  <c r="AW20" i="19" s="1"/>
  <c r="AZ19" i="19"/>
  <c r="AZ20" i="19" s="1"/>
  <c r="AY19" i="19"/>
  <c r="AY20" i="19" s="1"/>
  <c r="BA19" i="19"/>
  <c r="BA20" i="19" s="1"/>
  <c r="BC19" i="19"/>
  <c r="BC20" i="19" s="1"/>
  <c r="BB19" i="19"/>
  <c r="BB20" i="19" s="1"/>
  <c r="BD19" i="19"/>
  <c r="BD20" i="19" s="1"/>
  <c r="BE19" i="19"/>
  <c r="BE20" i="19" s="1"/>
  <c r="BF19" i="19"/>
  <c r="BF20" i="19" s="1"/>
  <c r="BH19" i="19"/>
  <c r="BH20" i="19" s="1"/>
  <c r="BG19" i="19"/>
  <c r="BG20" i="19" s="1"/>
  <c r="BI19" i="19"/>
  <c r="BI20" i="19" s="1"/>
  <c r="BJ19" i="19"/>
  <c r="BJ20" i="19" s="1"/>
  <c r="BL19" i="19"/>
  <c r="BL20" i="19" s="1"/>
  <c r="BK19" i="19"/>
  <c r="BK20" i="19" s="1"/>
  <c r="BM19" i="19"/>
  <c r="BM20" i="19" s="1"/>
  <c r="BN19" i="19"/>
  <c r="BN20" i="19" s="1"/>
  <c r="BP19" i="19"/>
  <c r="BP20" i="19" s="1"/>
  <c r="BO19" i="19"/>
  <c r="BO20" i="19" s="1"/>
  <c r="BQ19" i="19"/>
  <c r="BQ20" i="19" s="1"/>
  <c r="BR19" i="19"/>
  <c r="BR20" i="19" s="1"/>
  <c r="BS19" i="19"/>
  <c r="BS20" i="19" s="1"/>
  <c r="BT19" i="19"/>
  <c r="BT20" i="19" s="1"/>
  <c r="BV19" i="19"/>
  <c r="BV20" i="19" s="1"/>
  <c r="BU19" i="19"/>
  <c r="BU20" i="19" s="1"/>
  <c r="BX19" i="19"/>
  <c r="BX20" i="19" s="1"/>
  <c r="BW19" i="19"/>
  <c r="BW20" i="19" s="1"/>
  <c r="BY19" i="19"/>
  <c r="BY20" i="19" s="1"/>
  <c r="CA19" i="19"/>
  <c r="CA20" i="19" s="1"/>
  <c r="BZ19" i="19"/>
  <c r="BZ20" i="19" s="1"/>
  <c r="CB19" i="19"/>
  <c r="CB20" i="19" s="1"/>
  <c r="CC19" i="19"/>
  <c r="CC20" i="19" s="1"/>
  <c r="CD19" i="19"/>
  <c r="CD20" i="19" s="1"/>
  <c r="CE19" i="19"/>
  <c r="CE20" i="19" s="1"/>
  <c r="CF19" i="19"/>
  <c r="CF20" i="19" s="1"/>
  <c r="CG19" i="19"/>
  <c r="CG20" i="19" s="1"/>
  <c r="CH19" i="19"/>
  <c r="CH20" i="19" s="1"/>
  <c r="CI19" i="19"/>
  <c r="CI20" i="19" s="1"/>
  <c r="CK19" i="19"/>
  <c r="CK20" i="19" s="1"/>
  <c r="CJ19" i="19"/>
  <c r="CJ20" i="19" s="1"/>
  <c r="CM19" i="19"/>
  <c r="CM20" i="19" s="1"/>
  <c r="CL19" i="19"/>
  <c r="CL20" i="19" s="1"/>
  <c r="CN19" i="19"/>
  <c r="CN20" i="19" s="1"/>
  <c r="CO19" i="19"/>
  <c r="CO20" i="19" s="1"/>
  <c r="CP19" i="19"/>
  <c r="CP20" i="19" s="1"/>
  <c r="CQ19" i="19"/>
  <c r="CQ20" i="19" s="1"/>
  <c r="CR19" i="19"/>
  <c r="CR20" i="19" s="1"/>
  <c r="CT19" i="19"/>
  <c r="CT20" i="19" s="1"/>
  <c r="CS19" i="19"/>
  <c r="CS20" i="19" s="1"/>
  <c r="CV19" i="19"/>
  <c r="CV20" i="19" s="1"/>
  <c r="CU19" i="19"/>
  <c r="CU20" i="19" s="1"/>
  <c r="CX19" i="19"/>
  <c r="CX20" i="19" s="1"/>
  <c r="CW19" i="19"/>
  <c r="CW20" i="19" s="1"/>
  <c r="CY19" i="19"/>
  <c r="CY20" i="19" s="1"/>
  <c r="CZ19" i="19"/>
  <c r="CZ20" i="19" s="1"/>
  <c r="DA19" i="19"/>
  <c r="DA20" i="19" s="1"/>
  <c r="DB19" i="19"/>
  <c r="DB20" i="19" s="1"/>
  <c r="DD19" i="19"/>
  <c r="DD20" i="19" s="1"/>
  <c r="DC19" i="19"/>
  <c r="DC20" i="19" s="1"/>
  <c r="DE19" i="19"/>
  <c r="DE20" i="19" s="1"/>
  <c r="DF19" i="19"/>
  <c r="DF20" i="19" s="1"/>
  <c r="DG19" i="19"/>
  <c r="DG20" i="19" s="1"/>
  <c r="DH19" i="19"/>
  <c r="DH20" i="19" s="1"/>
  <c r="DI19" i="19"/>
  <c r="DI20" i="19" s="1"/>
  <c r="DJ19" i="19"/>
  <c r="DJ20" i="19" s="1"/>
  <c r="DK19" i="19"/>
  <c r="DK20" i="19" s="1"/>
  <c r="DL19" i="19"/>
  <c r="DL20" i="19" s="1"/>
  <c r="DM19" i="19"/>
  <c r="DM20" i="19" s="1"/>
  <c r="DN19" i="19"/>
  <c r="DN20" i="19" s="1"/>
  <c r="DO19" i="19"/>
  <c r="DO20" i="19" s="1"/>
  <c r="DP19" i="19"/>
  <c r="DP20" i="19" s="1"/>
  <c r="DR19" i="19"/>
  <c r="DR20" i="19" s="1"/>
  <c r="DQ19" i="19"/>
  <c r="DQ20" i="19" s="1"/>
  <c r="DS19" i="19"/>
  <c r="DS20" i="19" s="1"/>
  <c r="DT19" i="19"/>
  <c r="DT20" i="19" s="1"/>
  <c r="DV19" i="19"/>
  <c r="DV20" i="19" s="1"/>
  <c r="DU19" i="19"/>
  <c r="DU20" i="19" s="1"/>
  <c r="D26" i="19"/>
  <c r="E26" i="19"/>
  <c r="B26" i="19"/>
  <c r="C26" i="19"/>
  <c r="D10" i="19"/>
  <c r="C10" i="19"/>
  <c r="E10" i="19"/>
  <c r="B10" i="19"/>
  <c r="EC25" i="19"/>
  <c r="EC9" i="19"/>
  <c r="I183" i="3"/>
  <c r="J180" i="3"/>
  <c r="EB26" i="19"/>
  <c r="DZ26" i="19"/>
  <c r="DX26" i="19"/>
  <c r="DY26" i="19"/>
  <c r="EC26" i="19"/>
  <c r="F26" i="19"/>
  <c r="G26" i="19"/>
  <c r="H26" i="19"/>
  <c r="I26" i="19"/>
  <c r="J26" i="19"/>
  <c r="K26" i="19"/>
  <c r="N26" i="19"/>
  <c r="L26" i="19"/>
  <c r="M26" i="19"/>
  <c r="O26" i="19"/>
  <c r="P26" i="19"/>
  <c r="Q26" i="19"/>
  <c r="R26" i="19"/>
  <c r="S26" i="19"/>
  <c r="T26" i="19"/>
  <c r="U26" i="19"/>
  <c r="V26" i="19"/>
  <c r="X26" i="19"/>
  <c r="W26" i="19"/>
  <c r="Y26" i="19"/>
  <c r="Z26" i="19"/>
  <c r="AB26" i="19"/>
  <c r="AA26" i="19"/>
  <c r="AC26" i="19"/>
  <c r="AE26" i="19"/>
  <c r="AF26" i="19"/>
  <c r="AD26" i="19"/>
  <c r="AG26" i="19"/>
  <c r="AI26" i="19"/>
  <c r="AH26" i="19"/>
  <c r="AJ26" i="19"/>
  <c r="AK26" i="19"/>
  <c r="AM26" i="19"/>
  <c r="AL26" i="19"/>
  <c r="AN26" i="19"/>
  <c r="AO26" i="19"/>
  <c r="AQ26" i="19"/>
  <c r="AR26" i="19"/>
  <c r="AP26" i="19"/>
  <c r="AS26" i="19"/>
  <c r="AT26" i="19"/>
  <c r="AU26" i="19"/>
  <c r="AV26" i="19"/>
  <c r="AW26" i="19"/>
  <c r="AX26" i="19"/>
  <c r="AY26" i="19"/>
  <c r="BA26" i="19"/>
  <c r="AZ26" i="19"/>
  <c r="BB26" i="19"/>
  <c r="BC26" i="19"/>
  <c r="BD26" i="19"/>
  <c r="BE26" i="19"/>
  <c r="BF26" i="19"/>
  <c r="BH26" i="19"/>
  <c r="BG26" i="19"/>
  <c r="BI26" i="19"/>
  <c r="BJ26" i="19"/>
  <c r="BK26" i="19"/>
  <c r="BL26" i="19"/>
  <c r="BM26" i="19"/>
  <c r="BN26" i="19"/>
  <c r="BO26" i="19"/>
  <c r="BQ26" i="19"/>
  <c r="BP26" i="19"/>
  <c r="BS26" i="19"/>
  <c r="BR26" i="19"/>
  <c r="BT26" i="19"/>
  <c r="BU26" i="19"/>
  <c r="BV26" i="19"/>
  <c r="BW26" i="19"/>
  <c r="BY26" i="19"/>
  <c r="BX26" i="19"/>
  <c r="BZ26" i="19"/>
  <c r="CA26" i="19"/>
  <c r="CB26" i="19"/>
  <c r="CC26" i="19"/>
  <c r="CD26" i="19"/>
  <c r="CE26" i="19"/>
  <c r="CF26" i="19"/>
  <c r="CG26" i="19"/>
  <c r="CH26" i="19"/>
  <c r="CI26" i="19"/>
  <c r="CJ26" i="19"/>
  <c r="CL26" i="19"/>
  <c r="CK26" i="19"/>
  <c r="CM26" i="19"/>
  <c r="CN26" i="19"/>
  <c r="CO26" i="19"/>
  <c r="CP26" i="19"/>
  <c r="CQ26" i="19"/>
  <c r="CR26" i="19"/>
  <c r="CT26" i="19"/>
  <c r="CU26" i="19"/>
  <c r="CS26" i="19"/>
  <c r="CV26" i="19"/>
  <c r="CX26" i="19"/>
  <c r="CW26" i="19"/>
  <c r="CY26" i="19"/>
  <c r="CZ26" i="19"/>
  <c r="DA26" i="19"/>
  <c r="DB26" i="19"/>
  <c r="DC26" i="19"/>
  <c r="DE26" i="19"/>
  <c r="DD26" i="19"/>
  <c r="DF26" i="19"/>
  <c r="DG26" i="19"/>
  <c r="DH26" i="19"/>
  <c r="DI26" i="19"/>
  <c r="DL26" i="19"/>
  <c r="DK26" i="19"/>
  <c r="DJ26" i="19"/>
  <c r="DM26" i="19"/>
  <c r="DN26" i="19"/>
  <c r="DO26" i="19"/>
  <c r="DQ26" i="19"/>
  <c r="DP26" i="19"/>
  <c r="DS26" i="19"/>
  <c r="DR26" i="19"/>
  <c r="DT26" i="19"/>
  <c r="DV26" i="19"/>
  <c r="DU26" i="19"/>
  <c r="DW26" i="19"/>
  <c r="EA26" i="19"/>
  <c r="DY10" i="19"/>
  <c r="DZ10" i="19"/>
  <c r="EA10" i="19"/>
  <c r="DX10" i="19"/>
  <c r="DW10" i="19"/>
  <c r="EC10" i="19"/>
  <c r="F10" i="19"/>
  <c r="G10" i="19"/>
  <c r="I10" i="19"/>
  <c r="H10" i="19"/>
  <c r="J10" i="19"/>
  <c r="K10" i="19"/>
  <c r="L10" i="19"/>
  <c r="M10" i="19"/>
  <c r="O10" i="19"/>
  <c r="N10" i="19"/>
  <c r="P10" i="19"/>
  <c r="Q10" i="19"/>
  <c r="R10" i="19"/>
  <c r="T10" i="19"/>
  <c r="S10" i="19"/>
  <c r="U10" i="19"/>
  <c r="V10" i="19"/>
  <c r="X10" i="19"/>
  <c r="W10" i="19"/>
  <c r="Y10" i="19"/>
  <c r="AA10" i="19"/>
  <c r="Z10" i="19"/>
  <c r="AC10" i="19"/>
  <c r="AB10" i="19"/>
  <c r="AD10" i="19"/>
  <c r="AE10" i="19"/>
  <c r="AF10" i="19"/>
  <c r="AH10" i="19"/>
  <c r="AG10" i="19"/>
  <c r="AI10" i="19"/>
  <c r="AJ10" i="19"/>
  <c r="AK10" i="19"/>
  <c r="AL10" i="19"/>
  <c r="AM10" i="19"/>
  <c r="AN10" i="19"/>
  <c r="AP10" i="19"/>
  <c r="AO10" i="19"/>
  <c r="AQ10" i="19"/>
  <c r="AR10" i="19"/>
  <c r="AT10" i="19"/>
  <c r="AS10" i="19"/>
  <c r="AU10" i="19"/>
  <c r="AV10" i="19"/>
  <c r="AW10" i="19"/>
  <c r="AX10" i="19"/>
  <c r="AY10" i="19"/>
  <c r="AZ10" i="19"/>
  <c r="BA10" i="19"/>
  <c r="BB10" i="19"/>
  <c r="BC10" i="19"/>
  <c r="BD10" i="19"/>
  <c r="BF10" i="19"/>
  <c r="BE10" i="19"/>
  <c r="BG10" i="19"/>
  <c r="BH10" i="19"/>
  <c r="BI10" i="19"/>
  <c r="BJ10" i="19"/>
  <c r="BK10" i="19"/>
  <c r="BL10" i="19"/>
  <c r="BN10" i="19"/>
  <c r="BM10" i="19"/>
  <c r="BO10" i="19"/>
  <c r="BP10" i="19"/>
  <c r="BQ10" i="19"/>
  <c r="BR10" i="19"/>
  <c r="BS10" i="19"/>
  <c r="BT10" i="19"/>
  <c r="BV10" i="19"/>
  <c r="BU10" i="19"/>
  <c r="BW10" i="19"/>
  <c r="BX10" i="19"/>
  <c r="BZ10" i="19"/>
  <c r="BY10" i="19"/>
  <c r="CB10" i="19"/>
  <c r="CA10" i="19"/>
  <c r="CD10" i="19"/>
  <c r="CC10" i="19"/>
  <c r="CE10" i="19"/>
  <c r="CF10" i="19"/>
  <c r="CG10" i="19"/>
  <c r="CH10" i="19"/>
  <c r="CI10" i="19"/>
  <c r="CJ10" i="19"/>
  <c r="CK10" i="19"/>
  <c r="CM10" i="19"/>
  <c r="CL10" i="19"/>
  <c r="CO10" i="19"/>
  <c r="CN10" i="19"/>
  <c r="CP10" i="19"/>
  <c r="CQ10" i="19"/>
  <c r="CR10" i="19"/>
  <c r="CS10" i="19"/>
  <c r="CT10" i="19"/>
  <c r="CV10" i="19"/>
  <c r="CU10" i="19"/>
  <c r="CX10" i="19"/>
  <c r="CW10" i="19"/>
  <c r="CY10" i="19"/>
  <c r="CZ10" i="19"/>
  <c r="DB10" i="19"/>
  <c r="DA10" i="19"/>
  <c r="DD10" i="19"/>
  <c r="DC10" i="19"/>
  <c r="DF10" i="19"/>
  <c r="DE10" i="19"/>
  <c r="DG10" i="19"/>
  <c r="DI10" i="19"/>
  <c r="DH10" i="19"/>
  <c r="DJ10" i="19"/>
  <c r="DK10" i="19"/>
  <c r="DL10" i="19"/>
  <c r="DM10" i="19"/>
  <c r="DN10" i="19"/>
  <c r="DO10" i="19"/>
  <c r="DQ10" i="19"/>
  <c r="DP10" i="19"/>
  <c r="DR10" i="19"/>
  <c r="DS10" i="19"/>
  <c r="DT10" i="19"/>
  <c r="DV10" i="19"/>
  <c r="DU10" i="19"/>
  <c r="EB10" i="19"/>
  <c r="EC1" i="19"/>
  <c r="EC7" i="19"/>
  <c r="EC3" i="19"/>
  <c r="ED4" i="19"/>
  <c r="ED23" i="19" s="1"/>
  <c r="R128" i="17"/>
  <c r="S128" i="17"/>
  <c r="O128" i="17"/>
  <c r="P128" i="17"/>
  <c r="Q128" i="17"/>
  <c r="T128" i="17"/>
  <c r="U128" i="17" s="1"/>
  <c r="N129" i="17"/>
  <c r="F128" i="17"/>
  <c r="H127" i="17"/>
  <c r="R128" i="18"/>
  <c r="S128" i="18"/>
  <c r="O128" i="18"/>
  <c r="P128" i="18"/>
  <c r="Q128" i="18"/>
  <c r="T128" i="18"/>
  <c r="U128" i="18" s="1"/>
  <c r="N129" i="18"/>
  <c r="F128" i="18"/>
  <c r="H127" i="18"/>
  <c r="I186" i="3"/>
  <c r="J181" i="3"/>
  <c r="J185" i="3"/>
  <c r="I182" i="3"/>
  <c r="I185" i="3"/>
  <c r="J182" i="3"/>
  <c r="J179" i="3"/>
  <c r="I181" i="3"/>
  <c r="J183" i="3"/>
  <c r="J177" i="3"/>
  <c r="I177" i="3"/>
  <c r="I178" i="3"/>
  <c r="J178" i="3"/>
  <c r="J176" i="3"/>
  <c r="I175" i="3"/>
  <c r="I176" i="3"/>
  <c r="J175" i="3"/>
  <c r="I174" i="3"/>
  <c r="J174" i="3"/>
  <c r="J173" i="3"/>
  <c r="I173" i="3"/>
  <c r="J172" i="3"/>
  <c r="I172" i="3"/>
  <c r="J171" i="3"/>
  <c r="I171" i="3"/>
  <c r="J170" i="3"/>
  <c r="I169" i="3"/>
  <c r="I170" i="3"/>
  <c r="J168" i="3"/>
  <c r="J169" i="3"/>
  <c r="I168" i="3"/>
  <c r="J167" i="3"/>
  <c r="I167" i="3"/>
  <c r="J165" i="3"/>
  <c r="J166" i="3"/>
  <c r="I166" i="3"/>
  <c r="I164" i="3"/>
  <c r="J164" i="3"/>
  <c r="I165" i="3"/>
  <c r="I163" i="3"/>
  <c r="J163" i="3"/>
  <c r="J162" i="3"/>
  <c r="I162" i="3"/>
  <c r="I161" i="3"/>
  <c r="J161" i="3"/>
  <c r="J160" i="3"/>
  <c r="I159" i="3"/>
  <c r="I160" i="3"/>
  <c r="J158" i="3"/>
  <c r="J159" i="3"/>
  <c r="I158" i="3"/>
  <c r="I157" i="3"/>
  <c r="J156" i="3"/>
  <c r="J157" i="3"/>
  <c r="J155" i="3"/>
  <c r="I156" i="3"/>
  <c r="J154" i="3"/>
  <c r="I155" i="3"/>
  <c r="I154" i="3"/>
  <c r="J153" i="3"/>
  <c r="J152" i="3"/>
  <c r="I153" i="3"/>
  <c r="I151" i="3"/>
  <c r="I152" i="3"/>
  <c r="I150" i="3"/>
  <c r="J150" i="3"/>
  <c r="J151" i="3"/>
  <c r="I149" i="3"/>
  <c r="J148" i="3"/>
  <c r="J149" i="3"/>
  <c r="I148" i="3"/>
  <c r="I147" i="3"/>
  <c r="J147" i="3"/>
  <c r="I146" i="3"/>
  <c r="J146" i="3"/>
  <c r="J145" i="3"/>
  <c r="I145" i="3"/>
  <c r="I144" i="3"/>
  <c r="J144" i="3"/>
  <c r="I143" i="3"/>
  <c r="J141" i="3"/>
  <c r="J143" i="3"/>
  <c r="I142" i="3"/>
  <c r="J142" i="3"/>
  <c r="I140" i="3"/>
  <c r="I141" i="3"/>
  <c r="J140" i="3"/>
  <c r="J138" i="3"/>
  <c r="I137" i="3"/>
  <c r="J139" i="3"/>
  <c r="I139" i="3"/>
  <c r="I138" i="3"/>
  <c r="J136" i="3"/>
  <c r="J135" i="3"/>
  <c r="I136" i="3"/>
  <c r="J137" i="3"/>
  <c r="I135" i="3"/>
  <c r="I133" i="3"/>
  <c r="I134" i="3"/>
  <c r="J134" i="3"/>
  <c r="J132" i="3"/>
  <c r="I131" i="3"/>
  <c r="J133" i="3"/>
  <c r="I132" i="3"/>
  <c r="J130" i="3"/>
  <c r="I130" i="3"/>
  <c r="J131" i="3"/>
  <c r="I128" i="3"/>
  <c r="I129" i="3"/>
  <c r="J129" i="3"/>
  <c r="I127" i="3"/>
  <c r="J128" i="3"/>
  <c r="J127" i="3"/>
  <c r="J126" i="3"/>
  <c r="I126" i="3"/>
  <c r="J125" i="3"/>
  <c r="I125" i="3"/>
  <c r="J124" i="3"/>
  <c r="I124" i="3"/>
  <c r="J123" i="3"/>
  <c r="I123" i="3"/>
  <c r="I122" i="3"/>
  <c r="I121" i="3"/>
  <c r="J121" i="3"/>
  <c r="J122" i="3"/>
  <c r="I120" i="3"/>
  <c r="J120" i="3"/>
  <c r="J119" i="3"/>
  <c r="I118" i="3"/>
  <c r="I119" i="3"/>
  <c r="J118" i="3"/>
  <c r="I117" i="3"/>
  <c r="J117" i="3"/>
  <c r="I116" i="3"/>
  <c r="J116" i="3"/>
  <c r="I115" i="3"/>
  <c r="J115" i="3"/>
  <c r="J114" i="3"/>
  <c r="I113" i="3"/>
  <c r="I112" i="3"/>
  <c r="J113" i="3"/>
  <c r="I114" i="3"/>
  <c r="I111" i="3"/>
  <c r="J112" i="3"/>
  <c r="J110" i="3"/>
  <c r="J111" i="3"/>
  <c r="I110" i="3"/>
  <c r="J108" i="3"/>
  <c r="J109" i="3"/>
  <c r="I108" i="3"/>
  <c r="I109" i="3"/>
  <c r="I107" i="3"/>
  <c r="J107" i="3"/>
  <c r="I106" i="3"/>
  <c r="J106" i="3"/>
  <c r="J104" i="3"/>
  <c r="I105" i="3"/>
  <c r="I104" i="3"/>
  <c r="J105" i="3"/>
  <c r="J103" i="3"/>
  <c r="I103" i="3"/>
  <c r="J102" i="3"/>
  <c r="I102" i="3"/>
  <c r="I101" i="3"/>
  <c r="I100" i="3"/>
  <c r="J101" i="3"/>
  <c r="J100" i="3"/>
  <c r="J99" i="3"/>
  <c r="I98" i="3"/>
  <c r="I99" i="3"/>
  <c r="J98" i="3"/>
  <c r="I97" i="3"/>
  <c r="J97" i="3"/>
  <c r="I95" i="3"/>
  <c r="J96" i="3"/>
  <c r="I96" i="3"/>
  <c r="J95" i="3"/>
  <c r="I94" i="3"/>
  <c r="J94" i="3"/>
  <c r="I93" i="3"/>
  <c r="J93" i="3"/>
  <c r="J92" i="3"/>
  <c r="J91" i="3"/>
  <c r="I91" i="3"/>
  <c r="I92" i="3"/>
  <c r="I89" i="3"/>
  <c r="J89" i="3"/>
  <c r="J90" i="3"/>
  <c r="I90" i="3"/>
  <c r="J87" i="3"/>
  <c r="I88" i="3"/>
  <c r="J88" i="3"/>
  <c r="J86" i="3"/>
  <c r="I86" i="3"/>
  <c r="I87" i="3"/>
  <c r="I85" i="3"/>
  <c r="J85" i="3"/>
  <c r="J84" i="3"/>
  <c r="I84" i="3"/>
  <c r="J83" i="3"/>
  <c r="I83" i="3"/>
  <c r="J82" i="3"/>
  <c r="J81" i="3"/>
  <c r="I82" i="3"/>
  <c r="J80" i="3"/>
  <c r="I81" i="3"/>
  <c r="J79" i="3"/>
  <c r="I80" i="3"/>
  <c r="I79" i="3"/>
  <c r="I77" i="3"/>
  <c r="J77" i="3"/>
  <c r="I78" i="3"/>
  <c r="J78" i="3"/>
  <c r="I76" i="3"/>
  <c r="I75" i="3"/>
  <c r="J75" i="3"/>
  <c r="J76" i="3"/>
  <c r="I74" i="3"/>
  <c r="J74" i="3"/>
  <c r="I73" i="3"/>
  <c r="J73" i="3"/>
  <c r="J72" i="3"/>
  <c r="I72" i="3"/>
  <c r="J70" i="3"/>
  <c r="J71" i="3"/>
  <c r="I70" i="3"/>
  <c r="I71" i="3"/>
  <c r="I69" i="3"/>
  <c r="J69" i="3"/>
  <c r="I68" i="3"/>
  <c r="J68" i="3"/>
  <c r="J66" i="3"/>
  <c r="J67" i="3"/>
  <c r="I67" i="3"/>
  <c r="I66" i="3"/>
  <c r="I65" i="3"/>
  <c r="J65" i="3"/>
  <c r="I64" i="3"/>
  <c r="J64" i="3"/>
  <c r="I62" i="3"/>
  <c r="J62" i="3"/>
  <c r="J20" i="3"/>
  <c r="I14" i="3"/>
  <c r="J63" i="3"/>
  <c r="I37" i="3"/>
  <c r="I63" i="3"/>
  <c r="I247" i="3"/>
  <c r="J53" i="3"/>
  <c r="J255" i="3"/>
  <c r="I61" i="3"/>
  <c r="I246" i="3"/>
  <c r="J19" i="3"/>
  <c r="I230" i="3"/>
  <c r="I51" i="3"/>
  <c r="I248" i="3"/>
  <c r="I41" i="3"/>
  <c r="J60" i="3"/>
  <c r="J226" i="3"/>
  <c r="I207" i="3"/>
  <c r="J30" i="3"/>
  <c r="J21" i="3"/>
  <c r="J3" i="3"/>
  <c r="J61" i="3"/>
  <c r="J10" i="3"/>
  <c r="I216" i="3"/>
  <c r="I8" i="3"/>
  <c r="J254" i="3"/>
  <c r="J194" i="3"/>
  <c r="I44" i="3"/>
  <c r="J211" i="3"/>
  <c r="I258" i="3"/>
  <c r="J28" i="3"/>
  <c r="J249" i="3"/>
  <c r="I34" i="3"/>
  <c r="I249" i="3"/>
  <c r="I227" i="3"/>
  <c r="I237" i="3"/>
  <c r="I256" i="3"/>
  <c r="J7" i="3"/>
  <c r="J52" i="3"/>
  <c r="I238" i="3"/>
  <c r="I20" i="3"/>
  <c r="J228" i="3"/>
  <c r="I9" i="3"/>
  <c r="J218" i="3"/>
  <c r="J256" i="3"/>
  <c r="I12" i="3"/>
  <c r="I206" i="3"/>
  <c r="J48" i="3"/>
  <c r="J5" i="3"/>
  <c r="I59" i="3"/>
  <c r="J41" i="3"/>
  <c r="I203" i="3"/>
  <c r="I234" i="3"/>
  <c r="I228" i="3"/>
  <c r="I192" i="3"/>
  <c r="I5" i="3"/>
  <c r="I10" i="3"/>
  <c r="J190" i="3"/>
  <c r="J37" i="3"/>
  <c r="I2" i="3"/>
  <c r="J44" i="3"/>
  <c r="M44" i="3" s="1"/>
  <c r="J54" i="3"/>
  <c r="I255" i="3"/>
  <c r="I28" i="3"/>
  <c r="J252" i="3"/>
  <c r="J14" i="3"/>
  <c r="J203" i="3"/>
  <c r="J196" i="3"/>
  <c r="I250" i="3"/>
  <c r="I188" i="3"/>
  <c r="J191" i="3"/>
  <c r="I7" i="3"/>
  <c r="I217" i="3"/>
  <c r="I38" i="3"/>
  <c r="J55" i="3"/>
  <c r="I18" i="3"/>
  <c r="J6" i="3"/>
  <c r="I11" i="3"/>
  <c r="I199" i="3"/>
  <c r="I253" i="3"/>
  <c r="J233" i="3"/>
  <c r="J15" i="3"/>
  <c r="J202" i="3"/>
  <c r="I22" i="3"/>
  <c r="J59" i="3"/>
  <c r="I58" i="3"/>
  <c r="J31" i="3"/>
  <c r="J9" i="3"/>
  <c r="I226" i="3"/>
  <c r="J198" i="3"/>
  <c r="J39" i="3"/>
  <c r="I240" i="3"/>
  <c r="J46" i="3"/>
  <c r="J229" i="3"/>
  <c r="I196" i="3"/>
  <c r="J49" i="3"/>
  <c r="M49" i="3" s="1"/>
  <c r="J216" i="3"/>
  <c r="I193" i="3"/>
  <c r="J35" i="3"/>
  <c r="I242" i="3"/>
  <c r="I57" i="3"/>
  <c r="I17" i="3"/>
  <c r="I30" i="3"/>
  <c r="I52" i="3"/>
  <c r="J230" i="3"/>
  <c r="J16" i="3"/>
  <c r="I45" i="3"/>
  <c r="I42" i="3"/>
  <c r="J25" i="3"/>
  <c r="I21" i="3"/>
  <c r="J221" i="3"/>
  <c r="I55" i="3"/>
  <c r="I251" i="3"/>
  <c r="I204" i="3"/>
  <c r="I43" i="3"/>
  <c r="J223" i="3"/>
  <c r="J244" i="3"/>
  <c r="I190" i="3"/>
  <c r="I232" i="3"/>
  <c r="J257" i="3"/>
  <c r="I53" i="3"/>
  <c r="J225" i="3"/>
  <c r="I213" i="3"/>
  <c r="J207" i="3"/>
  <c r="J234" i="3"/>
  <c r="I231" i="3"/>
  <c r="J224" i="3"/>
  <c r="I54" i="3"/>
  <c r="I257" i="3"/>
  <c r="I195" i="3"/>
  <c r="J239" i="3"/>
  <c r="I32" i="3"/>
  <c r="I252" i="3"/>
  <c r="J227" i="3"/>
  <c r="I36" i="3"/>
  <c r="J200" i="3"/>
  <c r="J18" i="3"/>
  <c r="I212" i="3"/>
  <c r="J12" i="3"/>
  <c r="I16" i="3"/>
  <c r="J27" i="3"/>
  <c r="I50" i="3"/>
  <c r="J247" i="3"/>
  <c r="J232" i="3"/>
  <c r="J45" i="3"/>
  <c r="J212" i="3"/>
  <c r="I222" i="3"/>
  <c r="I219" i="3"/>
  <c r="I31" i="3"/>
  <c r="J215" i="3"/>
  <c r="J33" i="3"/>
  <c r="I40" i="3"/>
  <c r="J237" i="3"/>
  <c r="J193" i="3"/>
  <c r="I205" i="3"/>
  <c r="J23" i="3"/>
  <c r="J197" i="3"/>
  <c r="J251" i="3"/>
  <c r="J56" i="3"/>
  <c r="I224" i="3"/>
  <c r="I198" i="3"/>
  <c r="J204" i="3"/>
  <c r="I56" i="3"/>
  <c r="J206" i="3"/>
  <c r="I47" i="3"/>
  <c r="J222" i="3"/>
  <c r="I35" i="3"/>
  <c r="I209" i="3"/>
  <c r="J40" i="3"/>
  <c r="I13" i="3"/>
  <c r="J236" i="3"/>
  <c r="J246" i="3"/>
  <c r="I29" i="3"/>
  <c r="I46" i="3"/>
  <c r="I220" i="3"/>
  <c r="I223" i="3"/>
  <c r="J245" i="3"/>
  <c r="I39" i="3"/>
  <c r="I60" i="3"/>
  <c r="I241" i="3"/>
  <c r="I15" i="3"/>
  <c r="I243" i="3"/>
  <c r="I27" i="3"/>
  <c r="J188" i="3"/>
  <c r="J26" i="3"/>
  <c r="J32" i="3"/>
  <c r="I24" i="3"/>
  <c r="J17" i="3"/>
  <c r="I201" i="3"/>
  <c r="I23" i="3"/>
  <c r="I200" i="3"/>
  <c r="I26" i="3"/>
  <c r="J201" i="3"/>
  <c r="J38" i="3"/>
  <c r="J210" i="3"/>
  <c r="J58" i="3"/>
  <c r="I245" i="3"/>
  <c r="J24" i="3"/>
  <c r="J2" i="3"/>
  <c r="J243" i="3"/>
  <c r="J240" i="3"/>
  <c r="J209" i="3"/>
  <c r="I194" i="3"/>
  <c r="I49" i="3"/>
  <c r="J22" i="3"/>
  <c r="I189" i="3"/>
  <c r="I191" i="3"/>
  <c r="J248" i="3"/>
  <c r="I33" i="3"/>
  <c r="J13" i="3"/>
  <c r="J57" i="3"/>
  <c r="M57" i="3" s="1"/>
  <c r="J208" i="3"/>
  <c r="J34" i="3"/>
  <c r="J192" i="3"/>
  <c r="J199" i="3"/>
  <c r="J4" i="3"/>
  <c r="J50" i="3"/>
  <c r="I19" i="3"/>
  <c r="I235" i="3"/>
  <c r="I254" i="3"/>
  <c r="I233" i="3"/>
  <c r="I244" i="3"/>
  <c r="J43" i="3"/>
  <c r="J250" i="3"/>
  <c r="I197" i="3"/>
  <c r="I210" i="3"/>
  <c r="J36" i="3"/>
  <c r="J205" i="3"/>
  <c r="J195" i="3"/>
  <c r="J258" i="3"/>
  <c r="I229" i="3"/>
  <c r="J242" i="3"/>
  <c r="J213" i="3"/>
  <c r="I236" i="3"/>
  <c r="J238" i="3"/>
  <c r="J235" i="3"/>
  <c r="J253" i="3"/>
  <c r="I214" i="3"/>
  <c r="I6" i="3"/>
  <c r="J241" i="3"/>
  <c r="J231" i="3"/>
  <c r="I211" i="3"/>
  <c r="I239" i="3"/>
  <c r="I221" i="3"/>
  <c r="I218" i="3"/>
  <c r="I25" i="3"/>
  <c r="J189" i="3"/>
  <c r="I3" i="3"/>
  <c r="J47" i="3"/>
  <c r="I4" i="3"/>
  <c r="J8" i="3"/>
  <c r="J29" i="3"/>
  <c r="I215" i="3"/>
  <c r="I208" i="3"/>
  <c r="I225" i="3"/>
  <c r="J51" i="3"/>
  <c r="J219" i="3"/>
  <c r="J42" i="3"/>
  <c r="J217" i="3"/>
  <c r="I202" i="3"/>
  <c r="J220" i="3"/>
  <c r="I48" i="3"/>
  <c r="J214" i="3"/>
  <c r="J11" i="3"/>
  <c r="B193" i="6"/>
  <c r="C193" i="6"/>
  <c r="J186" i="3"/>
  <c r="J184" i="3"/>
  <c r="I179" i="3"/>
  <c r="I180" i="3"/>
  <c r="I184" i="3"/>
  <c r="B187" i="3"/>
  <c r="C187" i="3"/>
  <c r="J187" i="3"/>
  <c r="N160" i="4"/>
  <c r="I187" i="3"/>
  <c r="O159" i="4"/>
  <c r="AA159" i="4"/>
  <c r="A159" i="4"/>
  <c r="B159" i="4" s="1"/>
  <c r="AD158" i="4"/>
  <c r="AP158" i="4"/>
  <c r="AQ158" i="4" s="1"/>
  <c r="EC36" i="19" l="1"/>
  <c r="EC20" i="19"/>
  <c r="CY32" i="19"/>
  <c r="CZ32" i="19"/>
  <c r="DA32" i="19"/>
  <c r="DB32" i="19"/>
  <c r="DC32" i="19"/>
  <c r="DE32" i="19"/>
  <c r="DD32" i="19"/>
  <c r="DF32" i="19"/>
  <c r="DG32" i="19"/>
  <c r="DH32" i="19"/>
  <c r="DI32" i="19"/>
  <c r="DJ32" i="19"/>
  <c r="D14" i="19"/>
  <c r="C14" i="19"/>
  <c r="E14" i="19"/>
  <c r="F14" i="19"/>
  <c r="G14" i="19"/>
  <c r="I14" i="19"/>
  <c r="H14" i="19"/>
  <c r="J14" i="19"/>
  <c r="K14" i="19"/>
  <c r="L14" i="19"/>
  <c r="M14" i="19"/>
  <c r="O14" i="19"/>
  <c r="N14" i="19"/>
  <c r="P14" i="19"/>
  <c r="Q14" i="19"/>
  <c r="R14" i="19"/>
  <c r="T14" i="19"/>
  <c r="S14" i="19"/>
  <c r="U14" i="19"/>
  <c r="V14" i="19"/>
  <c r="X14" i="19"/>
  <c r="W14" i="19"/>
  <c r="Y14" i="19"/>
  <c r="AA14" i="19"/>
  <c r="Z14" i="19"/>
  <c r="AC14" i="19"/>
  <c r="AB14" i="19"/>
  <c r="AD14" i="19"/>
  <c r="AE14" i="19"/>
  <c r="AF14" i="19"/>
  <c r="AH14" i="19"/>
  <c r="AG14" i="19"/>
  <c r="AI14" i="19"/>
  <c r="AJ14" i="19"/>
  <c r="AK14" i="19"/>
  <c r="AL14" i="19"/>
  <c r="AM14" i="19"/>
  <c r="AN14" i="19"/>
  <c r="AP14" i="19"/>
  <c r="AO14" i="19"/>
  <c r="AQ14" i="19"/>
  <c r="AR14" i="19"/>
  <c r="AT14" i="19"/>
  <c r="AS14" i="19"/>
  <c r="AU14" i="19"/>
  <c r="AV14" i="19"/>
  <c r="AW14" i="19"/>
  <c r="AX14" i="19"/>
  <c r="AY14" i="19"/>
  <c r="AZ14" i="19"/>
  <c r="BA14" i="19"/>
  <c r="BB14" i="19"/>
  <c r="BC14" i="19"/>
  <c r="BD14" i="19"/>
  <c r="BF14" i="19"/>
  <c r="BE14" i="19"/>
  <c r="BG14" i="19"/>
  <c r="BH14" i="19"/>
  <c r="BI14" i="19"/>
  <c r="BJ14" i="19"/>
  <c r="BK14" i="19"/>
  <c r="BL14" i="19"/>
  <c r="BN14" i="19"/>
  <c r="BM14" i="19"/>
  <c r="BO14" i="19"/>
  <c r="BP14" i="19"/>
  <c r="BQ14" i="19"/>
  <c r="BR14" i="19"/>
  <c r="BS14" i="19"/>
  <c r="BT14" i="19"/>
  <c r="BV14" i="19"/>
  <c r="BU14" i="19"/>
  <c r="BW14" i="19"/>
  <c r="BX14" i="19"/>
  <c r="BZ14" i="19"/>
  <c r="BY14" i="19"/>
  <c r="CB14" i="19"/>
  <c r="CA14" i="19"/>
  <c r="CD14" i="19"/>
  <c r="CC14" i="19"/>
  <c r="CE14" i="19"/>
  <c r="CF14" i="19"/>
  <c r="CG14" i="19"/>
  <c r="CH14" i="19"/>
  <c r="CI14" i="19"/>
  <c r="CJ14" i="19"/>
  <c r="CK14" i="19"/>
  <c r="CM14" i="19"/>
  <c r="CL14" i="19"/>
  <c r="CO14" i="19"/>
  <c r="CN14" i="19"/>
  <c r="CP14" i="19"/>
  <c r="CP16" i="19"/>
  <c r="CQ14" i="19"/>
  <c r="CQ16" i="19"/>
  <c r="CR14" i="19"/>
  <c r="CR16" i="19"/>
  <c r="CS14" i="19"/>
  <c r="CS16" i="19"/>
  <c r="CT14" i="19"/>
  <c r="CT16" i="19"/>
  <c r="CV14" i="19"/>
  <c r="CV16" i="19"/>
  <c r="CU14" i="19"/>
  <c r="CU16" i="19"/>
  <c r="CX14" i="19"/>
  <c r="CX16" i="19"/>
  <c r="CW14" i="19"/>
  <c r="CW16" i="19"/>
  <c r="CY14" i="19"/>
  <c r="CY16" i="19"/>
  <c r="CZ14" i="19"/>
  <c r="CZ16" i="19"/>
  <c r="DB14" i="19"/>
  <c r="DB16" i="19"/>
  <c r="DA14" i="19"/>
  <c r="DA16" i="19"/>
  <c r="DD14" i="19"/>
  <c r="DD16" i="19"/>
  <c r="DC14" i="19"/>
  <c r="DC16" i="19"/>
  <c r="DF14" i="19"/>
  <c r="DF16" i="19"/>
  <c r="DE14" i="19"/>
  <c r="DE16" i="19"/>
  <c r="DG14" i="19"/>
  <c r="DG16" i="19"/>
  <c r="DI14" i="19"/>
  <c r="DI16" i="19"/>
  <c r="DH14" i="19"/>
  <c r="DH16" i="19"/>
  <c r="DJ14" i="19"/>
  <c r="DJ16" i="19"/>
  <c r="B14" i="19"/>
  <c r="ED34" i="19"/>
  <c r="ED35" i="19"/>
  <c r="CM23" i="19"/>
  <c r="ED18" i="19"/>
  <c r="ED19" i="19"/>
  <c r="D22" i="19"/>
  <c r="C22" i="19"/>
  <c r="B22" i="19"/>
  <c r="ED25" i="19"/>
  <c r="ED9" i="19"/>
  <c r="ED26" i="19"/>
  <c r="I22" i="19"/>
  <c r="H22" i="19"/>
  <c r="J22" i="19"/>
  <c r="K22" i="19"/>
  <c r="L22" i="19"/>
  <c r="M22" i="19"/>
  <c r="O22" i="19"/>
  <c r="N22" i="19"/>
  <c r="P22" i="19"/>
  <c r="Q22" i="19"/>
  <c r="R22" i="19"/>
  <c r="T22" i="19"/>
  <c r="S22" i="19"/>
  <c r="U22" i="19"/>
  <c r="V22" i="19"/>
  <c r="X22" i="19"/>
  <c r="W22" i="19"/>
  <c r="Y22" i="19"/>
  <c r="AA22" i="19"/>
  <c r="Z22" i="19"/>
  <c r="AC22" i="19"/>
  <c r="AB22" i="19"/>
  <c r="AD22" i="19"/>
  <c r="AE22" i="19"/>
  <c r="AF22" i="19"/>
  <c r="AH22" i="19"/>
  <c r="AG22" i="19"/>
  <c r="AI22" i="19"/>
  <c r="AJ22" i="19"/>
  <c r="AK22" i="19"/>
  <c r="AL22" i="19"/>
  <c r="AM22" i="19"/>
  <c r="AN22" i="19"/>
  <c r="AP22" i="19"/>
  <c r="AO22" i="19"/>
  <c r="AQ22" i="19"/>
  <c r="AR22" i="19"/>
  <c r="AT22" i="19"/>
  <c r="AS22" i="19"/>
  <c r="AU22" i="19"/>
  <c r="AV22" i="19"/>
  <c r="AW22" i="19"/>
  <c r="AX22" i="19"/>
  <c r="AY22" i="19"/>
  <c r="AZ22" i="19"/>
  <c r="BA22" i="19"/>
  <c r="BB22" i="19"/>
  <c r="BC22" i="19"/>
  <c r="BD22" i="19"/>
  <c r="BF22" i="19"/>
  <c r="BE22" i="19"/>
  <c r="BG22" i="19"/>
  <c r="BH22" i="19"/>
  <c r="BI22" i="19"/>
  <c r="BJ22" i="19"/>
  <c r="BK22" i="19"/>
  <c r="BL22" i="19"/>
  <c r="BN22" i="19"/>
  <c r="BM22" i="19"/>
  <c r="BO22" i="19"/>
  <c r="BP22" i="19"/>
  <c r="BQ22" i="19"/>
  <c r="BR22" i="19"/>
  <c r="BS22" i="19"/>
  <c r="BT22" i="19"/>
  <c r="BV22" i="19"/>
  <c r="BU22" i="19"/>
  <c r="BW22" i="19"/>
  <c r="BX22" i="19"/>
  <c r="BZ22" i="19"/>
  <c r="BY22" i="19"/>
  <c r="CB22" i="19"/>
  <c r="CA22" i="19"/>
  <c r="CD22" i="19"/>
  <c r="CC22" i="19"/>
  <c r="CE22" i="19"/>
  <c r="CF22" i="19"/>
  <c r="CG22" i="19"/>
  <c r="CH22" i="19"/>
  <c r="CI22" i="19"/>
  <c r="CJ22" i="19"/>
  <c r="CK22" i="19"/>
  <c r="CM22" i="19"/>
  <c r="CL22" i="19"/>
  <c r="CO22" i="19"/>
  <c r="CN22" i="19"/>
  <c r="CP22" i="19"/>
  <c r="CQ22" i="19"/>
  <c r="CR22" i="19"/>
  <c r="CS22" i="19"/>
  <c r="CT22" i="19"/>
  <c r="CV22" i="19"/>
  <c r="CU22" i="19"/>
  <c r="CX22" i="19"/>
  <c r="CW22" i="19"/>
  <c r="CY22" i="19"/>
  <c r="CZ22" i="19"/>
  <c r="DB22" i="19"/>
  <c r="DA22" i="19"/>
  <c r="DD22" i="19"/>
  <c r="DC22" i="19"/>
  <c r="DF22" i="19"/>
  <c r="DE22" i="19"/>
  <c r="DG22" i="19"/>
  <c r="DI22" i="19"/>
  <c r="DH22" i="19"/>
  <c r="DJ22" i="19"/>
  <c r="F22" i="19"/>
  <c r="G22" i="19"/>
  <c r="ED10" i="19"/>
  <c r="ED1" i="19"/>
  <c r="ED7" i="19"/>
  <c r="ED3" i="19"/>
  <c r="EE4" i="19"/>
  <c r="EE23" i="19" s="1"/>
  <c r="S129" i="17"/>
  <c r="O129" i="17"/>
  <c r="P129" i="17"/>
  <c r="Q129" i="17"/>
  <c r="R129" i="17"/>
  <c r="T129" i="17"/>
  <c r="U129" i="17" s="1"/>
  <c r="N130" i="17"/>
  <c r="F129" i="17"/>
  <c r="H128" i="17"/>
  <c r="O129" i="18"/>
  <c r="P129" i="18"/>
  <c r="Q129" i="18"/>
  <c r="R129" i="18"/>
  <c r="S129" i="18"/>
  <c r="T129" i="18"/>
  <c r="U129" i="18" s="1"/>
  <c r="N130" i="18"/>
  <c r="F129" i="18"/>
  <c r="H128" i="18"/>
  <c r="Q186" i="3"/>
  <c r="Q257" i="3"/>
  <c r="Q187" i="3"/>
  <c r="Q223" i="3"/>
  <c r="Q214" i="3"/>
  <c r="M45" i="3"/>
  <c r="Q5" i="3"/>
  <c r="Q55" i="3"/>
  <c r="Q188" i="3"/>
  <c r="Q56" i="3"/>
  <c r="Q33" i="3"/>
  <c r="Q217" i="3"/>
  <c r="Q220" i="3"/>
  <c r="Q26" i="3"/>
  <c r="Q14" i="3"/>
  <c r="Q247" i="3"/>
  <c r="Q230" i="3"/>
  <c r="Q51" i="3"/>
  <c r="Q248" i="3"/>
  <c r="Q41" i="3"/>
  <c r="Q207" i="3"/>
  <c r="Q44" i="3"/>
  <c r="Q12" i="3"/>
  <c r="Q18" i="3"/>
  <c r="Q11" i="3"/>
  <c r="Q193" i="3"/>
  <c r="Q42" i="3"/>
  <c r="Q219" i="3"/>
  <c r="Q124" i="3"/>
  <c r="Q103" i="3"/>
  <c r="Q245" i="3"/>
  <c r="Q221" i="3"/>
  <c r="Q25" i="3"/>
  <c r="Q203" i="3"/>
  <c r="Q228" i="3"/>
  <c r="Q10" i="3"/>
  <c r="Q250" i="3"/>
  <c r="Q7" i="3"/>
  <c r="Q253" i="3"/>
  <c r="Q43" i="3"/>
  <c r="Q161" i="3"/>
  <c r="Q240" i="3"/>
  <c r="Q196" i="3"/>
  <c r="Q232" i="3"/>
  <c r="Q213" i="3"/>
  <c r="Q231" i="3"/>
  <c r="Q54" i="3"/>
  <c r="Q195" i="3"/>
  <c r="Q32" i="3"/>
  <c r="Q252" i="3"/>
  <c r="Q36" i="3"/>
  <c r="Q254" i="3"/>
  <c r="Q205" i="3"/>
  <c r="Q47" i="3"/>
  <c r="Q35" i="3"/>
  <c r="Q209" i="3"/>
  <c r="Q13" i="3"/>
  <c r="Q29" i="3"/>
  <c r="Q194" i="3"/>
  <c r="Q189" i="3"/>
  <c r="Q191" i="3"/>
  <c r="Q211" i="3"/>
  <c r="Q218" i="3"/>
  <c r="Q63" i="3"/>
  <c r="Q72" i="3"/>
  <c r="Q70" i="3"/>
  <c r="Q153" i="3"/>
  <c r="Q249" i="3"/>
  <c r="Q182" i="3"/>
  <c r="Q185" i="3"/>
  <c r="Q181" i="3"/>
  <c r="Q177" i="3"/>
  <c r="Q178" i="3"/>
  <c r="Q175" i="3"/>
  <c r="Q176" i="3"/>
  <c r="Q174" i="3"/>
  <c r="Q173" i="3"/>
  <c r="Q172" i="3"/>
  <c r="Q171" i="3"/>
  <c r="Q169" i="3"/>
  <c r="Q170" i="3"/>
  <c r="Q168" i="3"/>
  <c r="Q167" i="3"/>
  <c r="Q166" i="3"/>
  <c r="Q164" i="3"/>
  <c r="Q165" i="3"/>
  <c r="Q163" i="3"/>
  <c r="Q162" i="3"/>
  <c r="Q159" i="3"/>
  <c r="Q160" i="3"/>
  <c r="Q158" i="3"/>
  <c r="Q157" i="3"/>
  <c r="Q156" i="3"/>
  <c r="Q155" i="3"/>
  <c r="Q154" i="3"/>
  <c r="Q151" i="3"/>
  <c r="Q152" i="3"/>
  <c r="Q150" i="3"/>
  <c r="Q149" i="3"/>
  <c r="Q148" i="3"/>
  <c r="Q147" i="3"/>
  <c r="Q146" i="3"/>
  <c r="Q145" i="3"/>
  <c r="Q144" i="3"/>
  <c r="Q143" i="3"/>
  <c r="Q142" i="3"/>
  <c r="Q140" i="3"/>
  <c r="Q141" i="3"/>
  <c r="Q137" i="3"/>
  <c r="Q139" i="3"/>
  <c r="Q138" i="3"/>
  <c r="Q136" i="3"/>
  <c r="Q135" i="3"/>
  <c r="Q133" i="3"/>
  <c r="Q134" i="3"/>
  <c r="Q132" i="3"/>
  <c r="Q130" i="3"/>
  <c r="Q128" i="3"/>
  <c r="Q129" i="3"/>
  <c r="Q127" i="3"/>
  <c r="Q126" i="3"/>
  <c r="Q125" i="3"/>
  <c r="Q123" i="3"/>
  <c r="Q122" i="3"/>
  <c r="Q121" i="3"/>
  <c r="Q120" i="3"/>
  <c r="Q118" i="3"/>
  <c r="Q119" i="3"/>
  <c r="Q117" i="3"/>
  <c r="Q116" i="3"/>
  <c r="Q115" i="3"/>
  <c r="Q113" i="3"/>
  <c r="Q112" i="3"/>
  <c r="Q114" i="3"/>
  <c r="Q111" i="3"/>
  <c r="Q110" i="3"/>
  <c r="Q108" i="3"/>
  <c r="Q109" i="3"/>
  <c r="Q107" i="3"/>
  <c r="Q106" i="3"/>
  <c r="Q104" i="3"/>
  <c r="Q102" i="3"/>
  <c r="Q101" i="3"/>
  <c r="Q100" i="3"/>
  <c r="Q98" i="3"/>
  <c r="Q99" i="3"/>
  <c r="Q97" i="3"/>
  <c r="Q95" i="3"/>
  <c r="Q96" i="3"/>
  <c r="Q93" i="3"/>
  <c r="Q91" i="3"/>
  <c r="Q92" i="3"/>
  <c r="Q89" i="3"/>
  <c r="Q90" i="3"/>
  <c r="Q88" i="3"/>
  <c r="Q86" i="3"/>
  <c r="Q87" i="3"/>
  <c r="Q84" i="3"/>
  <c r="Q83" i="3"/>
  <c r="Q82" i="3"/>
  <c r="Q81" i="3"/>
  <c r="Q80" i="3"/>
  <c r="Q79" i="3"/>
  <c r="Q77" i="3"/>
  <c r="Q78" i="3"/>
  <c r="Q76" i="3"/>
  <c r="Q74" i="3"/>
  <c r="Q73" i="3"/>
  <c r="Q71" i="3"/>
  <c r="Q69" i="3"/>
  <c r="Q67" i="3"/>
  <c r="Q66" i="3"/>
  <c r="Q64" i="3"/>
  <c r="L63" i="3"/>
  <c r="Q62" i="3"/>
  <c r="L58" i="3"/>
  <c r="Q58" i="3"/>
  <c r="Q52" i="3"/>
  <c r="L52" i="3"/>
  <c r="L53" i="3" s="1"/>
  <c r="L54" i="3" s="1"/>
  <c r="Q45" i="3"/>
  <c r="L45" i="3"/>
  <c r="Q53" i="3"/>
  <c r="Q50" i="3"/>
  <c r="Q46" i="3"/>
  <c r="L49" i="3"/>
  <c r="Q49" i="3"/>
  <c r="Q179" i="3"/>
  <c r="Q180" i="3"/>
  <c r="Q184" i="3"/>
  <c r="Q105" i="3"/>
  <c r="Q94" i="3"/>
  <c r="Q85" i="3"/>
  <c r="Q75" i="3"/>
  <c r="Q68" i="3"/>
  <c r="Q65" i="3"/>
  <c r="M63" i="3"/>
  <c r="M64" i="3" s="1"/>
  <c r="Q37" i="3"/>
  <c r="Q61" i="3"/>
  <c r="Q246" i="3"/>
  <c r="Q131" i="3"/>
  <c r="Q216" i="3"/>
  <c r="Q8" i="3"/>
  <c r="Q258" i="3"/>
  <c r="Q34" i="3"/>
  <c r="Q227" i="3"/>
  <c r="Q237" i="3"/>
  <c r="Q256" i="3"/>
  <c r="Q238" i="3"/>
  <c r="Q20" i="3"/>
  <c r="Q9" i="3"/>
  <c r="Q206" i="3"/>
  <c r="Q59" i="3"/>
  <c r="Q234" i="3"/>
  <c r="Q192" i="3"/>
  <c r="Q226" i="3"/>
  <c r="Q2" i="3"/>
  <c r="Q255" i="3"/>
  <c r="Q28" i="3"/>
  <c r="Q38" i="3"/>
  <c r="Q199" i="3"/>
  <c r="Q22" i="3"/>
  <c r="Q242" i="3"/>
  <c r="Q57" i="3"/>
  <c r="Q17" i="3"/>
  <c r="Q30" i="3"/>
  <c r="Q21" i="3"/>
  <c r="Q251" i="3"/>
  <c r="Q204" i="3"/>
  <c r="Q190" i="3"/>
  <c r="Q212" i="3"/>
  <c r="Q16" i="3"/>
  <c r="Q222" i="3"/>
  <c r="Q31" i="3"/>
  <c r="Q40" i="3"/>
  <c r="Q224" i="3"/>
  <c r="Q198" i="3"/>
  <c r="Q39" i="3"/>
  <c r="Q60" i="3"/>
  <c r="Q241" i="3"/>
  <c r="Q15" i="3"/>
  <c r="Q243" i="3"/>
  <c r="Q27" i="3"/>
  <c r="Q24" i="3"/>
  <c r="Q201" i="3"/>
  <c r="Q23" i="3"/>
  <c r="Q200" i="3"/>
  <c r="M58" i="3"/>
  <c r="M59" i="3" s="1"/>
  <c r="M50" i="3"/>
  <c r="M51" i="3" s="1"/>
  <c r="M52" i="3" s="1"/>
  <c r="Q19" i="3"/>
  <c r="Q235" i="3"/>
  <c r="Q233" i="3"/>
  <c r="Q244" i="3"/>
  <c r="Q197" i="3"/>
  <c r="Q210" i="3"/>
  <c r="Q229" i="3"/>
  <c r="Q236" i="3"/>
  <c r="Q6" i="3"/>
  <c r="Q239" i="3"/>
  <c r="Q3" i="3"/>
  <c r="Q4" i="3"/>
  <c r="Q215" i="3"/>
  <c r="Q208" i="3"/>
  <c r="Q225" i="3"/>
  <c r="Q202" i="3"/>
  <c r="Q48" i="3"/>
  <c r="Q183" i="3"/>
  <c r="AA160" i="4"/>
  <c r="O160" i="4"/>
  <c r="A160" i="4"/>
  <c r="B160" i="4" s="1"/>
  <c r="AP159" i="4"/>
  <c r="AQ159" i="4" s="1"/>
  <c r="AD159" i="4"/>
  <c r="ED36" i="19" l="1"/>
  <c r="ED20" i="19"/>
  <c r="D30" i="19"/>
  <c r="D29" i="19"/>
  <c r="C30" i="19"/>
  <c r="C29" i="19"/>
  <c r="I30" i="19"/>
  <c r="I29" i="19"/>
  <c r="H29" i="19"/>
  <c r="H30" i="19"/>
  <c r="J30" i="19"/>
  <c r="J29" i="19"/>
  <c r="K30" i="19"/>
  <c r="K29" i="19"/>
  <c r="L30" i="19"/>
  <c r="L29" i="19"/>
  <c r="M30" i="19"/>
  <c r="M29" i="19"/>
  <c r="O30" i="19"/>
  <c r="O29" i="19"/>
  <c r="N30" i="19"/>
  <c r="N29" i="19"/>
  <c r="P30" i="19"/>
  <c r="P29" i="19"/>
  <c r="Q30" i="19"/>
  <c r="Q29" i="19"/>
  <c r="R30" i="19"/>
  <c r="R29" i="19"/>
  <c r="T29" i="19"/>
  <c r="T30" i="19"/>
  <c r="S29" i="19"/>
  <c r="S30" i="19"/>
  <c r="U29" i="19"/>
  <c r="U30" i="19"/>
  <c r="V29" i="19"/>
  <c r="V30" i="19"/>
  <c r="X29" i="19"/>
  <c r="X30" i="19"/>
  <c r="W29" i="19"/>
  <c r="W30" i="19"/>
  <c r="Y29" i="19"/>
  <c r="Y30" i="19"/>
  <c r="AA29" i="19"/>
  <c r="AA30" i="19"/>
  <c r="Z30" i="19"/>
  <c r="Z29" i="19"/>
  <c r="AC29" i="19"/>
  <c r="AC30" i="19"/>
  <c r="AB29" i="19"/>
  <c r="AB30" i="19"/>
  <c r="AD30" i="19"/>
  <c r="AD29" i="19"/>
  <c r="AE30" i="19"/>
  <c r="AE29" i="19"/>
  <c r="AF30" i="19"/>
  <c r="AF29" i="19"/>
  <c r="AH30" i="19"/>
  <c r="AH29" i="19"/>
  <c r="AG30" i="19"/>
  <c r="AG29" i="19"/>
  <c r="AI29" i="19"/>
  <c r="AI30" i="19"/>
  <c r="AJ30" i="19"/>
  <c r="AJ29" i="19"/>
  <c r="AK30" i="19"/>
  <c r="AK29" i="19"/>
  <c r="AL30" i="19"/>
  <c r="AL29" i="19"/>
  <c r="AM30" i="19"/>
  <c r="AM29" i="19"/>
  <c r="AN30" i="19"/>
  <c r="AN29" i="19"/>
  <c r="AP30" i="19"/>
  <c r="AP29" i="19"/>
  <c r="AO30" i="19"/>
  <c r="AO29" i="19"/>
  <c r="AQ30" i="19"/>
  <c r="AQ29" i="19"/>
  <c r="AR30" i="19"/>
  <c r="AR29" i="19"/>
  <c r="AT30" i="19"/>
  <c r="AT29" i="19"/>
  <c r="AS30" i="19"/>
  <c r="AS29" i="19"/>
  <c r="AU30" i="19"/>
  <c r="AU29" i="19"/>
  <c r="AV30" i="19"/>
  <c r="AV29" i="19"/>
  <c r="AW29" i="19"/>
  <c r="AW30" i="19"/>
  <c r="AX30" i="19"/>
  <c r="AX29" i="19"/>
  <c r="AY30" i="19"/>
  <c r="AY29" i="19"/>
  <c r="AZ30" i="19"/>
  <c r="AZ29" i="19"/>
  <c r="BA30" i="19"/>
  <c r="BA29" i="19"/>
  <c r="BB30" i="19"/>
  <c r="BB29" i="19"/>
  <c r="BC30" i="19"/>
  <c r="BC29" i="19"/>
  <c r="BD30" i="19"/>
  <c r="BD29" i="19"/>
  <c r="BF30" i="19"/>
  <c r="BF29" i="19"/>
  <c r="BE30" i="19"/>
  <c r="BE29" i="19"/>
  <c r="BG29" i="19"/>
  <c r="BG30" i="19"/>
  <c r="BH29" i="19"/>
  <c r="BH30" i="19"/>
  <c r="BI29" i="19"/>
  <c r="BI30" i="19"/>
  <c r="BJ30" i="19"/>
  <c r="BJ29" i="19"/>
  <c r="BK30" i="19"/>
  <c r="BK29" i="19"/>
  <c r="BL30" i="19"/>
  <c r="BL29" i="19"/>
  <c r="BN29" i="19"/>
  <c r="BN30" i="19"/>
  <c r="BM29" i="19"/>
  <c r="BM30" i="19"/>
  <c r="BO29" i="19"/>
  <c r="BO30" i="19"/>
  <c r="BP30" i="19"/>
  <c r="BP29" i="19"/>
  <c r="BQ30" i="19"/>
  <c r="BQ29" i="19"/>
  <c r="BR29" i="19"/>
  <c r="BR30" i="19"/>
  <c r="BS30" i="19"/>
  <c r="BS29" i="19"/>
  <c r="BT29" i="19"/>
  <c r="BT30" i="19"/>
  <c r="BV30" i="19"/>
  <c r="BV29" i="19"/>
  <c r="BU30" i="19"/>
  <c r="BU29" i="19"/>
  <c r="BW30" i="19"/>
  <c r="BW29" i="19"/>
  <c r="BX30" i="19"/>
  <c r="BX29" i="19"/>
  <c r="BZ29" i="19"/>
  <c r="BZ30" i="19"/>
  <c r="BY30" i="19"/>
  <c r="BY29" i="19"/>
  <c r="CB30" i="19"/>
  <c r="CB29" i="19"/>
  <c r="CA30" i="19"/>
  <c r="CA29" i="19"/>
  <c r="CD30" i="19"/>
  <c r="CD29" i="19"/>
  <c r="CC30" i="19"/>
  <c r="CC29" i="19"/>
  <c r="CE30" i="19"/>
  <c r="CE29" i="19"/>
  <c r="CF30" i="19"/>
  <c r="CF29" i="19"/>
  <c r="CG30" i="19"/>
  <c r="CG29" i="19"/>
  <c r="CH29" i="19"/>
  <c r="CH30" i="19"/>
  <c r="CI30" i="19"/>
  <c r="CI29" i="19"/>
  <c r="CJ29" i="19"/>
  <c r="CJ30" i="19"/>
  <c r="CK30" i="19"/>
  <c r="CK29" i="19"/>
  <c r="CM30" i="19"/>
  <c r="CM29" i="19"/>
  <c r="CL30" i="19"/>
  <c r="CL29" i="19"/>
  <c r="CO30" i="19"/>
  <c r="CO29" i="19"/>
  <c r="CN29" i="19"/>
  <c r="CN30" i="19"/>
  <c r="CP30" i="19"/>
  <c r="CP29" i="19"/>
  <c r="CQ29" i="19"/>
  <c r="CQ30" i="19"/>
  <c r="CR29" i="19"/>
  <c r="CR30" i="19"/>
  <c r="CS29" i="19"/>
  <c r="CS30" i="19"/>
  <c r="CT29" i="19"/>
  <c r="CT30" i="19"/>
  <c r="CV30" i="19"/>
  <c r="CV29" i="19"/>
  <c r="CU29" i="19"/>
  <c r="CU30" i="19"/>
  <c r="CX30" i="19"/>
  <c r="CX29" i="19"/>
  <c r="CW30" i="19"/>
  <c r="CW29" i="19"/>
  <c r="CY30" i="19"/>
  <c r="CY29" i="19"/>
  <c r="CZ30" i="19"/>
  <c r="CZ29" i="19"/>
  <c r="DB29" i="19"/>
  <c r="DB30" i="19"/>
  <c r="DA30" i="19"/>
  <c r="DA29" i="19"/>
  <c r="DD30" i="19"/>
  <c r="DD29" i="19"/>
  <c r="DC30" i="19"/>
  <c r="DC29" i="19"/>
  <c r="DF30" i="19"/>
  <c r="DF29" i="19"/>
  <c r="DE30" i="19"/>
  <c r="DE29" i="19"/>
  <c r="DG30" i="19"/>
  <c r="DG29" i="19"/>
  <c r="DI30" i="19"/>
  <c r="DI29" i="19"/>
  <c r="DH30" i="19"/>
  <c r="DH29" i="19"/>
  <c r="DJ30" i="19"/>
  <c r="DJ29" i="19"/>
  <c r="F29" i="19"/>
  <c r="F30" i="19"/>
  <c r="G29" i="19"/>
  <c r="G30" i="19"/>
  <c r="B30" i="19"/>
  <c r="B29" i="19"/>
  <c r="GL16" i="19"/>
  <c r="GL14" i="19"/>
  <c r="EE34" i="19"/>
  <c r="EE35" i="19"/>
  <c r="EE18" i="19"/>
  <c r="EE19" i="19"/>
  <c r="EE25" i="19"/>
  <c r="EE9" i="19"/>
  <c r="EE26" i="19"/>
  <c r="EE10" i="19"/>
  <c r="EE1" i="19"/>
  <c r="EE7" i="19"/>
  <c r="EE3" i="19"/>
  <c r="EF4" i="19"/>
  <c r="EF23" i="19" s="1"/>
  <c r="R130" i="17"/>
  <c r="O130" i="17"/>
  <c r="P130" i="17"/>
  <c r="Q130" i="17"/>
  <c r="S130" i="17"/>
  <c r="T130" i="17"/>
  <c r="U130" i="17" s="1"/>
  <c r="N131" i="17"/>
  <c r="F130" i="17"/>
  <c r="H129" i="17"/>
  <c r="R130" i="18"/>
  <c r="O130" i="18"/>
  <c r="P130" i="18"/>
  <c r="Q130" i="18"/>
  <c r="S130" i="18"/>
  <c r="T130" i="18"/>
  <c r="U130" i="18" s="1"/>
  <c r="N131" i="18"/>
  <c r="F130" i="18"/>
  <c r="H129" i="18"/>
  <c r="S16" i="3"/>
  <c r="S17" i="3"/>
  <c r="S15" i="3"/>
  <c r="M46" i="3"/>
  <c r="M47" i="3" s="1"/>
  <c r="S2" i="3"/>
  <c r="S7" i="3"/>
  <c r="S14" i="3"/>
  <c r="S10" i="3"/>
  <c r="L46" i="3"/>
  <c r="L47" i="3" s="1"/>
  <c r="M65" i="3"/>
  <c r="M66" i="3" s="1"/>
  <c r="M67" i="3" s="1"/>
  <c r="M68" i="3" s="1"/>
  <c r="M69" i="3" s="1"/>
  <c r="M70" i="3" s="1"/>
  <c r="M71" i="3" s="1"/>
  <c r="M72" i="3" s="1"/>
  <c r="M73" i="3" s="1"/>
  <c r="M74" i="3" s="1"/>
  <c r="M75" i="3" s="1"/>
  <c r="M76" i="3" s="1"/>
  <c r="M79" i="3" s="1"/>
  <c r="M80" i="3" s="1"/>
  <c r="M81" i="3" s="1"/>
  <c r="M82" i="3" s="1"/>
  <c r="M83" i="3" s="1"/>
  <c r="M84" i="3" s="1"/>
  <c r="M85" i="3" s="1"/>
  <c r="M86" i="3" s="1"/>
  <c r="M87" i="3" s="1"/>
  <c r="M88" i="3" s="1"/>
  <c r="M89" i="3" s="1"/>
  <c r="M90" i="3" s="1"/>
  <c r="M91" i="3" s="1"/>
  <c r="M92" i="3" s="1"/>
  <c r="M93" i="3" s="1"/>
  <c r="M94" i="3" s="1"/>
  <c r="M95" i="3" s="1"/>
  <c r="M96" i="3" s="1"/>
  <c r="M97" i="3" s="1"/>
  <c r="M99" i="3" s="1"/>
  <c r="M100" i="3" s="1"/>
  <c r="M101" i="3" s="1"/>
  <c r="M102" i="3" s="1"/>
  <c r="M103" i="3" s="1"/>
  <c r="M104" i="3" s="1"/>
  <c r="M105" i="3" s="1"/>
  <c r="M106" i="3" s="1"/>
  <c r="DL39" i="19" s="1"/>
  <c r="DM39" i="19" s="1"/>
  <c r="S13" i="3"/>
  <c r="S9" i="3"/>
  <c r="S11" i="3"/>
  <c r="S8" i="3"/>
  <c r="S3" i="3"/>
  <c r="S4" i="3"/>
  <c r="S5" i="3"/>
  <c r="S12" i="3"/>
  <c r="S6" i="3"/>
  <c r="L64" i="3"/>
  <c r="L50" i="3"/>
  <c r="AP160" i="4"/>
  <c r="AQ160" i="4" s="1"/>
  <c r="AD160" i="4"/>
  <c r="Y39" i="11" l="1"/>
  <c r="DN39" i="19"/>
  <c r="DO39" i="19" s="1"/>
  <c r="M107" i="3"/>
  <c r="EE36" i="19"/>
  <c r="EE20" i="19"/>
  <c r="EF34" i="19"/>
  <c r="EF35" i="19"/>
  <c r="EF18" i="19"/>
  <c r="EF19" i="19"/>
  <c r="EF25" i="19"/>
  <c r="EF9" i="19"/>
  <c r="EF26" i="19"/>
  <c r="EF10" i="19"/>
  <c r="EF1" i="19"/>
  <c r="EF7" i="19"/>
  <c r="EF3" i="19"/>
  <c r="EG4" i="19"/>
  <c r="EG23" i="19" s="1"/>
  <c r="O131" i="17"/>
  <c r="P131" i="17"/>
  <c r="Q131" i="17"/>
  <c r="R131" i="17"/>
  <c r="S131" i="17"/>
  <c r="T131" i="17"/>
  <c r="U131" i="17" s="1"/>
  <c r="N132" i="17"/>
  <c r="F131" i="17"/>
  <c r="H130" i="17"/>
  <c r="O131" i="18"/>
  <c r="P131" i="18"/>
  <c r="Q131" i="18"/>
  <c r="R131" i="18"/>
  <c r="S131" i="18"/>
  <c r="T131" i="18"/>
  <c r="U131" i="18" s="1"/>
  <c r="N132" i="18"/>
  <c r="F131" i="18"/>
  <c r="H130" i="18"/>
  <c r="L65" i="3"/>
  <c r="L66" i="3" s="1"/>
  <c r="M108" i="3" l="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EF36" i="19"/>
  <c r="EF20" i="19"/>
  <c r="CP31" i="19"/>
  <c r="CP32" i="19"/>
  <c r="CQ31" i="19"/>
  <c r="CQ32" i="19"/>
  <c r="CR32" i="19"/>
  <c r="CR31" i="19"/>
  <c r="CS31" i="19"/>
  <c r="CS32" i="19"/>
  <c r="CT31" i="19"/>
  <c r="CT32" i="19"/>
  <c r="CV32" i="19"/>
  <c r="CV31" i="19"/>
  <c r="CU31" i="19"/>
  <c r="CU32" i="19"/>
  <c r="CX32" i="19"/>
  <c r="CX31" i="19"/>
  <c r="CW31" i="19"/>
  <c r="CW32" i="19"/>
  <c r="EG34" i="19"/>
  <c r="EG35" i="19"/>
  <c r="EG18" i="19"/>
  <c r="EG19" i="19"/>
  <c r="EG25" i="19"/>
  <c r="EG9" i="19"/>
  <c r="EG26" i="19"/>
  <c r="EG10" i="19"/>
  <c r="EG1" i="19"/>
  <c r="EG7" i="19"/>
  <c r="EG3" i="19"/>
  <c r="EH4" i="19"/>
  <c r="EH23" i="19" s="1"/>
  <c r="R132" i="17"/>
  <c r="S132" i="17"/>
  <c r="O132" i="17"/>
  <c r="P132" i="17"/>
  <c r="Q132" i="17"/>
  <c r="T132" i="17"/>
  <c r="U132" i="17" s="1"/>
  <c r="N133" i="17"/>
  <c r="F132" i="17"/>
  <c r="H131" i="17"/>
  <c r="R132" i="18"/>
  <c r="S132" i="18"/>
  <c r="O132" i="18"/>
  <c r="P132" i="18"/>
  <c r="Q132" i="18"/>
  <c r="T132" i="18"/>
  <c r="U132" i="18" s="1"/>
  <c r="N133" i="18"/>
  <c r="F132" i="18"/>
  <c r="H131" i="18"/>
  <c r="L67" i="3"/>
  <c r="L68" i="3" s="1"/>
  <c r="L70" i="3" s="1"/>
  <c r="EG20" i="19" l="1"/>
  <c r="EG36" i="19"/>
  <c r="EH34" i="19"/>
  <c r="EH35" i="19"/>
  <c r="EH18" i="19"/>
  <c r="EH19" i="19"/>
  <c r="EH25" i="19"/>
  <c r="EH9" i="19"/>
  <c r="EH26" i="19"/>
  <c r="EH10" i="19"/>
  <c r="EH1" i="19"/>
  <c r="EH7" i="19"/>
  <c r="EH3" i="19"/>
  <c r="EI4" i="19"/>
  <c r="EI23" i="19" s="1"/>
  <c r="R133" i="17"/>
  <c r="S133" i="17"/>
  <c r="O133" i="17"/>
  <c r="P133" i="17"/>
  <c r="Q133" i="17"/>
  <c r="T133" i="17"/>
  <c r="U133" i="17" s="1"/>
  <c r="N134" i="17"/>
  <c r="F133" i="17"/>
  <c r="H132" i="17"/>
  <c r="R133" i="18"/>
  <c r="S133" i="18"/>
  <c r="O133" i="18"/>
  <c r="P133" i="18"/>
  <c r="Q133" i="18"/>
  <c r="T133" i="18"/>
  <c r="U133" i="18" s="1"/>
  <c r="N134" i="18"/>
  <c r="F133" i="18"/>
  <c r="H132" i="18"/>
  <c r="L71" i="3"/>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7" i="3" s="1"/>
  <c r="L98" i="3" s="1"/>
  <c r="L99" i="3" s="1"/>
  <c r="L101" i="3" s="1"/>
  <c r="L102" i="3" s="1"/>
  <c r="L104" i="3" s="1"/>
  <c r="L105" i="3" s="1"/>
  <c r="L106" i="3" s="1"/>
  <c r="DL38" i="19" s="1"/>
  <c r="DM38" i="19" s="1"/>
  <c r="Y38" i="11" l="1"/>
  <c r="DN38" i="19"/>
  <c r="DO38" i="19" s="1"/>
  <c r="EH36" i="19"/>
  <c r="L107" i="3"/>
  <c r="EH20" i="19"/>
  <c r="EI34" i="19"/>
  <c r="EI35" i="19"/>
  <c r="EI18" i="19"/>
  <c r="EI19" i="19"/>
  <c r="EI25" i="19"/>
  <c r="EI9" i="19"/>
  <c r="EI26" i="19"/>
  <c r="EI10" i="19"/>
  <c r="EI1" i="19"/>
  <c r="EI7" i="19"/>
  <c r="EI3" i="19"/>
  <c r="EJ4" i="19"/>
  <c r="EJ23" i="19" s="1"/>
  <c r="R134" i="17"/>
  <c r="S134" i="17"/>
  <c r="O134" i="17"/>
  <c r="P134" i="17"/>
  <c r="Q134" i="17"/>
  <c r="T134" i="17"/>
  <c r="U134" i="17" s="1"/>
  <c r="N135" i="17"/>
  <c r="F134" i="17"/>
  <c r="H133" i="17"/>
  <c r="R134" i="18"/>
  <c r="S134" i="18"/>
  <c r="O134" i="18"/>
  <c r="P134" i="18"/>
  <c r="Q134" i="18"/>
  <c r="T134" i="18"/>
  <c r="U134" i="18" s="1"/>
  <c r="N135" i="18"/>
  <c r="F134" i="18"/>
  <c r="H133" i="18"/>
  <c r="L108" i="3" l="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EI20" i="19"/>
  <c r="EI36" i="19"/>
  <c r="EJ34" i="19"/>
  <c r="EJ35" i="19"/>
  <c r="EJ18" i="19"/>
  <c r="EJ19" i="19"/>
  <c r="EJ25" i="19"/>
  <c r="EJ9" i="19"/>
  <c r="EJ26" i="19"/>
  <c r="EJ10" i="19"/>
  <c r="EJ1" i="19"/>
  <c r="EJ7" i="19"/>
  <c r="EJ3" i="19"/>
  <c r="EK4" i="19"/>
  <c r="EK23" i="19" s="1"/>
  <c r="R135" i="17"/>
  <c r="S135" i="17"/>
  <c r="O135" i="17"/>
  <c r="P135" i="17"/>
  <c r="Q135" i="17"/>
  <c r="T135" i="17"/>
  <c r="U135" i="17" s="1"/>
  <c r="N136" i="17"/>
  <c r="F135" i="17"/>
  <c r="H134" i="17"/>
  <c r="R135" i="18"/>
  <c r="S135" i="18"/>
  <c r="O135" i="18"/>
  <c r="P135" i="18"/>
  <c r="Q135" i="18"/>
  <c r="T135" i="18"/>
  <c r="U135" i="18" s="1"/>
  <c r="N136" i="18"/>
  <c r="F135" i="18"/>
  <c r="H134" i="18"/>
  <c r="EJ20" i="19" l="1"/>
  <c r="EJ36" i="19"/>
  <c r="EK34" i="19"/>
  <c r="EK35" i="19"/>
  <c r="EK18" i="19"/>
  <c r="EK19" i="19"/>
  <c r="EK25" i="19"/>
  <c r="EK9" i="19"/>
  <c r="EK26" i="19"/>
  <c r="EK10" i="19"/>
  <c r="EK1" i="19"/>
  <c r="EK7" i="19"/>
  <c r="EK3" i="19"/>
  <c r="EL4" i="19"/>
  <c r="EL23" i="19" s="1"/>
  <c r="S136" i="17"/>
  <c r="O136" i="17"/>
  <c r="P136" i="17"/>
  <c r="Q136" i="17"/>
  <c r="R136" i="17"/>
  <c r="T136" i="17"/>
  <c r="U136" i="17" s="1"/>
  <c r="N137" i="17"/>
  <c r="F136" i="17"/>
  <c r="H135" i="17"/>
  <c r="O136" i="18"/>
  <c r="P136" i="18"/>
  <c r="Q136" i="18"/>
  <c r="R136" i="18"/>
  <c r="S136" i="18"/>
  <c r="T136" i="18"/>
  <c r="U136" i="18" s="1"/>
  <c r="N137" i="18"/>
  <c r="F136" i="18"/>
  <c r="H135" i="18"/>
  <c r="EK20" i="19" l="1"/>
  <c r="EK36" i="19"/>
  <c r="EL34" i="19"/>
  <c r="EL35" i="19"/>
  <c r="EL18" i="19"/>
  <c r="EL19" i="19"/>
  <c r="EL25" i="19"/>
  <c r="EL9" i="19"/>
  <c r="EL26" i="19"/>
  <c r="EL10" i="19"/>
  <c r="EL1" i="19"/>
  <c r="EL7" i="19"/>
  <c r="EL3" i="19"/>
  <c r="EM4" i="19"/>
  <c r="EM23" i="19" s="1"/>
  <c r="R137" i="17"/>
  <c r="O137" i="17"/>
  <c r="P137" i="17"/>
  <c r="Q137" i="17"/>
  <c r="S137" i="17"/>
  <c r="T137" i="17"/>
  <c r="U137" i="17" s="1"/>
  <c r="N138" i="17"/>
  <c r="F137" i="17"/>
  <c r="H136" i="17"/>
  <c r="R137" i="18"/>
  <c r="O137" i="18"/>
  <c r="P137" i="18"/>
  <c r="Q137" i="18"/>
  <c r="S137" i="18"/>
  <c r="T137" i="18"/>
  <c r="U137" i="18" s="1"/>
  <c r="N138" i="18"/>
  <c r="F137" i="18"/>
  <c r="H136" i="18"/>
  <c r="EL36" i="19" l="1"/>
  <c r="EL20" i="19"/>
  <c r="EM34" i="19"/>
  <c r="EM35" i="19"/>
  <c r="EM18" i="19"/>
  <c r="EM19" i="19"/>
  <c r="EM25" i="19"/>
  <c r="EM9" i="19"/>
  <c r="EM26" i="19"/>
  <c r="EM10" i="19"/>
  <c r="EM1" i="19"/>
  <c r="EM7" i="19"/>
  <c r="EM3" i="19"/>
  <c r="EN4" i="19"/>
  <c r="EN23" i="19" s="1"/>
  <c r="O138" i="17"/>
  <c r="P138" i="17"/>
  <c r="Q138" i="17"/>
  <c r="R138" i="17"/>
  <c r="S138" i="17"/>
  <c r="T138" i="17"/>
  <c r="U138" i="17" s="1"/>
  <c r="N139" i="17"/>
  <c r="F138" i="17"/>
  <c r="H137" i="17"/>
  <c r="O138" i="18"/>
  <c r="P138" i="18"/>
  <c r="Q138" i="18"/>
  <c r="R138" i="18"/>
  <c r="S138" i="18"/>
  <c r="T138" i="18"/>
  <c r="U138" i="18" s="1"/>
  <c r="N139" i="18"/>
  <c r="F138" i="18"/>
  <c r="H137" i="18"/>
  <c r="EM20" i="19" l="1"/>
  <c r="EM36" i="19"/>
  <c r="EN34" i="19"/>
  <c r="EN35" i="19"/>
  <c r="EN18" i="19"/>
  <c r="EN19" i="19"/>
  <c r="EN25" i="19"/>
  <c r="EN9" i="19"/>
  <c r="EN26" i="19"/>
  <c r="EN10" i="19"/>
  <c r="EN1" i="19"/>
  <c r="EN7" i="19"/>
  <c r="EN3" i="19"/>
  <c r="EO4" i="19"/>
  <c r="EO23" i="19" s="1"/>
  <c r="R139" i="17"/>
  <c r="S139" i="17"/>
  <c r="O139" i="17"/>
  <c r="P139" i="17"/>
  <c r="Q139" i="17"/>
  <c r="T139" i="17"/>
  <c r="U139" i="17" s="1"/>
  <c r="N140" i="17"/>
  <c r="F139" i="17"/>
  <c r="H138" i="17"/>
  <c r="R139" i="18"/>
  <c r="S139" i="18"/>
  <c r="O139" i="18"/>
  <c r="P139" i="18"/>
  <c r="Q139" i="18"/>
  <c r="T139" i="18"/>
  <c r="U139" i="18" s="1"/>
  <c r="N140" i="18"/>
  <c r="F139" i="18"/>
  <c r="H138" i="18"/>
  <c r="EN20" i="19" l="1"/>
  <c r="EN36" i="19"/>
  <c r="EO34" i="19"/>
  <c r="EO35" i="19"/>
  <c r="EO18" i="19"/>
  <c r="EO19" i="19"/>
  <c r="EO25" i="19"/>
  <c r="EO9" i="19"/>
  <c r="EO26" i="19"/>
  <c r="EO10" i="19"/>
  <c r="EO1" i="19"/>
  <c r="EO7" i="19"/>
  <c r="EO3" i="19"/>
  <c r="EP4" i="19"/>
  <c r="EP23" i="19" s="1"/>
  <c r="R140" i="17"/>
  <c r="S140" i="17"/>
  <c r="O140" i="17"/>
  <c r="P140" i="17"/>
  <c r="Q140" i="17"/>
  <c r="T140" i="17"/>
  <c r="U140" i="17" s="1"/>
  <c r="N141" i="17"/>
  <c r="F140" i="17"/>
  <c r="H139" i="17"/>
  <c r="R140" i="18"/>
  <c r="S140" i="18"/>
  <c r="O140" i="18"/>
  <c r="P140" i="18"/>
  <c r="Q140" i="18"/>
  <c r="T140" i="18"/>
  <c r="U140" i="18" s="1"/>
  <c r="N141" i="18"/>
  <c r="F140" i="18"/>
  <c r="H139" i="18"/>
  <c r="EO36" i="19" l="1"/>
  <c r="EO20" i="19"/>
  <c r="EP34" i="19"/>
  <c r="EP35" i="19"/>
  <c r="EP18" i="19"/>
  <c r="EP19" i="19"/>
  <c r="EP25" i="19"/>
  <c r="EP9" i="19"/>
  <c r="EP26" i="19"/>
  <c r="EP10" i="19"/>
  <c r="EP1" i="19"/>
  <c r="EP7" i="19"/>
  <c r="EP3" i="19"/>
  <c r="EQ4" i="19"/>
  <c r="EQ23" i="19" s="1"/>
  <c r="R141" i="17"/>
  <c r="S141" i="17"/>
  <c r="O141" i="17"/>
  <c r="P141" i="17"/>
  <c r="Q141" i="17"/>
  <c r="T141" i="17"/>
  <c r="U141" i="17" s="1"/>
  <c r="N142" i="17"/>
  <c r="F141" i="17"/>
  <c r="H140" i="17"/>
  <c r="R141" i="18"/>
  <c r="S141" i="18"/>
  <c r="O141" i="18"/>
  <c r="P141" i="18"/>
  <c r="Q141" i="18"/>
  <c r="T141" i="18"/>
  <c r="U141" i="18" s="1"/>
  <c r="N142" i="18"/>
  <c r="F141" i="18"/>
  <c r="H140" i="18"/>
  <c r="EP20" i="19" l="1"/>
  <c r="EP36" i="19"/>
  <c r="EQ34" i="19"/>
  <c r="EQ35" i="19"/>
  <c r="EQ18" i="19"/>
  <c r="EQ19" i="19"/>
  <c r="EQ25" i="19"/>
  <c r="EQ9" i="19"/>
  <c r="EQ26" i="19"/>
  <c r="EQ10" i="19"/>
  <c r="EQ1" i="19"/>
  <c r="EQ7" i="19"/>
  <c r="EQ3" i="19"/>
  <c r="ER4" i="19"/>
  <c r="ER23" i="19" s="1"/>
  <c r="R142" i="17"/>
  <c r="S142" i="17"/>
  <c r="O142" i="17"/>
  <c r="P142" i="17"/>
  <c r="Q142" i="17"/>
  <c r="T142" i="17"/>
  <c r="U142" i="17" s="1"/>
  <c r="N143" i="17"/>
  <c r="F142" i="17"/>
  <c r="H141" i="17"/>
  <c r="R142" i="18"/>
  <c r="S142" i="18"/>
  <c r="O142" i="18"/>
  <c r="P142" i="18"/>
  <c r="Q142" i="18"/>
  <c r="T142" i="18"/>
  <c r="U142" i="18" s="1"/>
  <c r="N143" i="18"/>
  <c r="F142" i="18"/>
  <c r="H141" i="18"/>
  <c r="EQ36" i="19" l="1"/>
  <c r="EQ20" i="19"/>
  <c r="ER34" i="19"/>
  <c r="ER35" i="19"/>
  <c r="ER18" i="19"/>
  <c r="ER19" i="19"/>
  <c r="ER25" i="19"/>
  <c r="ER9" i="19"/>
  <c r="ER26" i="19"/>
  <c r="ER10" i="19"/>
  <c r="ER1" i="19"/>
  <c r="ER7" i="19"/>
  <c r="ER3" i="19"/>
  <c r="ES4" i="19"/>
  <c r="ES23" i="19" s="1"/>
  <c r="S143" i="17"/>
  <c r="O143" i="17"/>
  <c r="P143" i="17"/>
  <c r="Q143" i="17"/>
  <c r="R143" i="17"/>
  <c r="T143" i="17"/>
  <c r="U143" i="17" s="1"/>
  <c r="N144" i="17"/>
  <c r="F143" i="17"/>
  <c r="H142" i="17"/>
  <c r="O143" i="18"/>
  <c r="P143" i="18"/>
  <c r="Q143" i="18"/>
  <c r="R143" i="18"/>
  <c r="S143" i="18"/>
  <c r="T143" i="18"/>
  <c r="U143" i="18" s="1"/>
  <c r="N144" i="18"/>
  <c r="F143" i="18"/>
  <c r="H142" i="18"/>
  <c r="ER20" i="19" l="1"/>
  <c r="ER36" i="19"/>
  <c r="ES34" i="19"/>
  <c r="ES35" i="19"/>
  <c r="ES18" i="19"/>
  <c r="ES19" i="19"/>
  <c r="ES25" i="19"/>
  <c r="ES9" i="19"/>
  <c r="ES26" i="19"/>
  <c r="ES10" i="19"/>
  <c r="ES1" i="19"/>
  <c r="ES7" i="19"/>
  <c r="ES3" i="19"/>
  <c r="ET4" i="19"/>
  <c r="ET23" i="19" s="1"/>
  <c r="R144" i="17"/>
  <c r="O144" i="17"/>
  <c r="P144" i="17"/>
  <c r="Q144" i="17"/>
  <c r="S144" i="17"/>
  <c r="T144" i="17"/>
  <c r="U144" i="17" s="1"/>
  <c r="N145" i="17"/>
  <c r="F144" i="17"/>
  <c r="H143" i="17"/>
  <c r="R144" i="18"/>
  <c r="O144" i="18"/>
  <c r="P144" i="18"/>
  <c r="Q144" i="18"/>
  <c r="S144" i="18"/>
  <c r="T144" i="18"/>
  <c r="U144" i="18" s="1"/>
  <c r="N145" i="18"/>
  <c r="F144" i="18"/>
  <c r="H143" i="18"/>
  <c r="ES36" i="19" l="1"/>
  <c r="ES20" i="19"/>
  <c r="ET34" i="19"/>
  <c r="ET35" i="19"/>
  <c r="ET18" i="19"/>
  <c r="ET19" i="19"/>
  <c r="ET25" i="19"/>
  <c r="ET9" i="19"/>
  <c r="ET26" i="19"/>
  <c r="ET10" i="19"/>
  <c r="ET1" i="19"/>
  <c r="ET7" i="19"/>
  <c r="ET3" i="19"/>
  <c r="EU4" i="19"/>
  <c r="EU23" i="19" s="1"/>
  <c r="O145" i="17"/>
  <c r="P145" i="17"/>
  <c r="Q145" i="17"/>
  <c r="R145" i="17"/>
  <c r="S145" i="17"/>
  <c r="T145" i="17"/>
  <c r="U145" i="17" s="1"/>
  <c r="N146" i="17"/>
  <c r="F145" i="17"/>
  <c r="H144" i="17"/>
  <c r="O145" i="18"/>
  <c r="P145" i="18"/>
  <c r="Q145" i="18"/>
  <c r="R145" i="18"/>
  <c r="S145" i="18"/>
  <c r="T145" i="18"/>
  <c r="U145" i="18" s="1"/>
  <c r="N146" i="18"/>
  <c r="F145" i="18"/>
  <c r="H144" i="18"/>
  <c r="ET20" i="19" l="1"/>
  <c r="ET36" i="19"/>
  <c r="EU34" i="19"/>
  <c r="EU35" i="19"/>
  <c r="EU18" i="19"/>
  <c r="EU19" i="19"/>
  <c r="EU25" i="19"/>
  <c r="EU9" i="19"/>
  <c r="EU26" i="19"/>
  <c r="EU10" i="19"/>
  <c r="EU1" i="19"/>
  <c r="EU7" i="19"/>
  <c r="EU3" i="19"/>
  <c r="EV4" i="19"/>
  <c r="EV23" i="19" s="1"/>
  <c r="R146" i="17"/>
  <c r="S146" i="17"/>
  <c r="O146" i="17"/>
  <c r="P146" i="17"/>
  <c r="Q146" i="17"/>
  <c r="T146" i="17"/>
  <c r="U146" i="17" s="1"/>
  <c r="N147" i="17"/>
  <c r="F146" i="17"/>
  <c r="H145" i="17"/>
  <c r="R146" i="18"/>
  <c r="S146" i="18"/>
  <c r="O146" i="18"/>
  <c r="P146" i="18"/>
  <c r="Q146" i="18"/>
  <c r="T146" i="18"/>
  <c r="U146" i="18" s="1"/>
  <c r="N147" i="18"/>
  <c r="F146" i="18"/>
  <c r="H145" i="18"/>
  <c r="EU20" i="19" l="1"/>
  <c r="EU36" i="19"/>
  <c r="EV34" i="19"/>
  <c r="EV35" i="19"/>
  <c r="EV18" i="19"/>
  <c r="EV19" i="19"/>
  <c r="EV25" i="19"/>
  <c r="EV9" i="19"/>
  <c r="EV26" i="19"/>
  <c r="EV10" i="19"/>
  <c r="EV1" i="19"/>
  <c r="EV7" i="19"/>
  <c r="EV3" i="19"/>
  <c r="EW4" i="19"/>
  <c r="EW23" i="19" s="1"/>
  <c r="R147" i="17"/>
  <c r="S147" i="17"/>
  <c r="O147" i="17"/>
  <c r="P147" i="17"/>
  <c r="Q147" i="17"/>
  <c r="T147" i="17"/>
  <c r="U147" i="17" s="1"/>
  <c r="N148" i="17"/>
  <c r="F147" i="17"/>
  <c r="H146" i="17"/>
  <c r="R147" i="18"/>
  <c r="S147" i="18"/>
  <c r="O147" i="18"/>
  <c r="P147" i="18"/>
  <c r="Q147" i="18"/>
  <c r="T147" i="18"/>
  <c r="U147" i="18" s="1"/>
  <c r="N148" i="18"/>
  <c r="F147" i="18"/>
  <c r="H146" i="18"/>
  <c r="EV20" i="19" l="1"/>
  <c r="EV36" i="19"/>
  <c r="EW34" i="19"/>
  <c r="EW35" i="19"/>
  <c r="EW18" i="19"/>
  <c r="EW19" i="19"/>
  <c r="EW25" i="19"/>
  <c r="EW9" i="19"/>
  <c r="EW26" i="19"/>
  <c r="EW10" i="19"/>
  <c r="EW1" i="19"/>
  <c r="EW7" i="19"/>
  <c r="EW3" i="19"/>
  <c r="EX4" i="19"/>
  <c r="EX23" i="19" s="1"/>
  <c r="R148" i="17"/>
  <c r="S148" i="17"/>
  <c r="O148" i="17"/>
  <c r="P148" i="17"/>
  <c r="Q148" i="17"/>
  <c r="T148" i="17"/>
  <c r="U148" i="17" s="1"/>
  <c r="N149" i="17"/>
  <c r="F148" i="17"/>
  <c r="H147" i="17"/>
  <c r="R148" i="18"/>
  <c r="S148" i="18"/>
  <c r="O148" i="18"/>
  <c r="P148" i="18"/>
  <c r="Q148" i="18"/>
  <c r="T148" i="18"/>
  <c r="U148" i="18" s="1"/>
  <c r="N149" i="18"/>
  <c r="F148" i="18"/>
  <c r="H147" i="18"/>
  <c r="EW20" i="19" l="1"/>
  <c r="EW36" i="19"/>
  <c r="EX34" i="19"/>
  <c r="EX35" i="19"/>
  <c r="EX18" i="19"/>
  <c r="EX19" i="19"/>
  <c r="EX25" i="19"/>
  <c r="EX9" i="19"/>
  <c r="EX26" i="19"/>
  <c r="EX10" i="19"/>
  <c r="EX1" i="19"/>
  <c r="EX7" i="19"/>
  <c r="EX3" i="19"/>
  <c r="EY4" i="19"/>
  <c r="EY23" i="19" s="1"/>
  <c r="R149" i="17"/>
  <c r="S149" i="17"/>
  <c r="O149" i="17"/>
  <c r="P149" i="17"/>
  <c r="Q149" i="17"/>
  <c r="T149" i="17"/>
  <c r="U149" i="17" s="1"/>
  <c r="N150" i="17"/>
  <c r="F149" i="17"/>
  <c r="H148" i="17"/>
  <c r="R149" i="18"/>
  <c r="S149" i="18"/>
  <c r="O149" i="18"/>
  <c r="P149" i="18"/>
  <c r="Q149" i="18"/>
  <c r="T149" i="18"/>
  <c r="U149" i="18" s="1"/>
  <c r="N150" i="18"/>
  <c r="F149" i="18"/>
  <c r="H148" i="18"/>
  <c r="EX20" i="19" l="1"/>
  <c r="EX36" i="19"/>
  <c r="EY34" i="19"/>
  <c r="EY35" i="19"/>
  <c r="EY18" i="19"/>
  <c r="EY19" i="19"/>
  <c r="EY25" i="19"/>
  <c r="EY9" i="19"/>
  <c r="EY26" i="19"/>
  <c r="EY10" i="19"/>
  <c r="EY1" i="19"/>
  <c r="EY7" i="19"/>
  <c r="EY3" i="19"/>
  <c r="EZ4" i="19"/>
  <c r="EZ23" i="19" s="1"/>
  <c r="S150" i="17"/>
  <c r="O150" i="17"/>
  <c r="P150" i="17"/>
  <c r="Q150" i="17"/>
  <c r="R150" i="17"/>
  <c r="T150" i="17"/>
  <c r="U150" i="17" s="1"/>
  <c r="N151" i="17"/>
  <c r="F150" i="17"/>
  <c r="H149" i="17"/>
  <c r="O150" i="18"/>
  <c r="P150" i="18"/>
  <c r="Q150" i="18"/>
  <c r="R150" i="18"/>
  <c r="S150" i="18"/>
  <c r="T150" i="18"/>
  <c r="U150" i="18" s="1"/>
  <c r="N151" i="18"/>
  <c r="F150" i="18"/>
  <c r="H149" i="18"/>
  <c r="EY20" i="19" l="1"/>
  <c r="EY36" i="19"/>
  <c r="EZ34" i="19"/>
  <c r="EZ35" i="19"/>
  <c r="EZ18" i="19"/>
  <c r="EZ19" i="19"/>
  <c r="EZ25" i="19"/>
  <c r="EZ9" i="19"/>
  <c r="EZ26" i="19"/>
  <c r="EZ10" i="19"/>
  <c r="EZ1" i="19"/>
  <c r="EZ7" i="19"/>
  <c r="EZ3" i="19"/>
  <c r="FA4" i="19"/>
  <c r="FA23" i="19" s="1"/>
  <c r="R151" i="17"/>
  <c r="O151" i="17"/>
  <c r="P151" i="17"/>
  <c r="Q151" i="17"/>
  <c r="S151" i="17"/>
  <c r="T151" i="17"/>
  <c r="U151" i="17" s="1"/>
  <c r="N152" i="17"/>
  <c r="F151" i="17"/>
  <c r="H150" i="17"/>
  <c r="R151" i="18"/>
  <c r="O151" i="18"/>
  <c r="P151" i="18"/>
  <c r="Q151" i="18"/>
  <c r="S151" i="18"/>
  <c r="T151" i="18"/>
  <c r="U151" i="18" s="1"/>
  <c r="N152" i="18"/>
  <c r="F151" i="18"/>
  <c r="H150" i="18"/>
  <c r="EZ20" i="19" l="1"/>
  <c r="EZ36" i="19"/>
  <c r="FA34" i="19"/>
  <c r="FA35" i="19"/>
  <c r="FA18" i="19"/>
  <c r="FA19" i="19"/>
  <c r="FA25" i="19"/>
  <c r="FA9" i="19"/>
  <c r="FA26" i="19"/>
  <c r="FA10" i="19"/>
  <c r="FA1" i="19"/>
  <c r="FA7" i="19"/>
  <c r="FA3" i="19"/>
  <c r="FB4" i="19"/>
  <c r="FB23" i="19" s="1"/>
  <c r="O152" i="17"/>
  <c r="P152" i="17"/>
  <c r="Q152" i="17"/>
  <c r="R152" i="17"/>
  <c r="S152" i="17"/>
  <c r="T152" i="17"/>
  <c r="U152" i="17" s="1"/>
  <c r="N153" i="17"/>
  <c r="F152" i="17"/>
  <c r="H151" i="17"/>
  <c r="O152" i="18"/>
  <c r="P152" i="18"/>
  <c r="Q152" i="18"/>
  <c r="R152" i="18"/>
  <c r="S152" i="18"/>
  <c r="T152" i="18"/>
  <c r="U152" i="18" s="1"/>
  <c r="N153" i="18"/>
  <c r="F152" i="18"/>
  <c r="H151" i="18"/>
  <c r="FA20" i="19" l="1"/>
  <c r="FA36" i="19"/>
  <c r="FB34" i="19"/>
  <c r="FB35" i="19"/>
  <c r="FB18" i="19"/>
  <c r="FB19" i="19"/>
  <c r="FB25" i="19"/>
  <c r="FB9" i="19"/>
  <c r="FB26" i="19"/>
  <c r="FB10" i="19"/>
  <c r="FB1" i="19"/>
  <c r="FB7" i="19"/>
  <c r="FB3" i="19"/>
  <c r="FC4" i="19"/>
  <c r="FC23" i="19" s="1"/>
  <c r="R153" i="17"/>
  <c r="S153" i="17"/>
  <c r="O153" i="17"/>
  <c r="P153" i="17"/>
  <c r="Q153" i="17"/>
  <c r="T153" i="17"/>
  <c r="U153" i="17" s="1"/>
  <c r="N154" i="17"/>
  <c r="F153" i="17"/>
  <c r="H152" i="17"/>
  <c r="S153" i="18"/>
  <c r="R153" i="18"/>
  <c r="O153" i="18"/>
  <c r="P153" i="18"/>
  <c r="Q153" i="18"/>
  <c r="T153" i="18"/>
  <c r="U153" i="18" s="1"/>
  <c r="N154" i="18"/>
  <c r="F153" i="18"/>
  <c r="H152" i="18"/>
  <c r="FB20" i="19" l="1"/>
  <c r="FB36" i="19"/>
  <c r="FC34" i="19"/>
  <c r="FC35" i="19"/>
  <c r="FC18" i="19"/>
  <c r="FC19" i="19"/>
  <c r="FC25" i="19"/>
  <c r="FC9" i="19"/>
  <c r="FC26" i="19"/>
  <c r="FC10" i="19"/>
  <c r="FC1" i="19"/>
  <c r="FC7" i="19"/>
  <c r="FC3" i="19"/>
  <c r="FD4" i="19"/>
  <c r="FD23" i="19" s="1"/>
  <c r="R154" i="17"/>
  <c r="S154" i="17"/>
  <c r="O154" i="17"/>
  <c r="P154" i="17"/>
  <c r="Q154" i="17"/>
  <c r="T154" i="17"/>
  <c r="U154" i="17" s="1"/>
  <c r="N155" i="17"/>
  <c r="F154" i="17"/>
  <c r="H153" i="17"/>
  <c r="S154" i="18"/>
  <c r="R154" i="18"/>
  <c r="O154" i="18"/>
  <c r="P154" i="18"/>
  <c r="Q154" i="18"/>
  <c r="T154" i="18"/>
  <c r="U154" i="18" s="1"/>
  <c r="N155" i="18"/>
  <c r="H153" i="18"/>
  <c r="F154" i="18"/>
  <c r="FC36" i="19" l="1"/>
  <c r="FC20" i="19"/>
  <c r="FD34" i="19"/>
  <c r="FD35" i="19"/>
  <c r="FD18" i="19"/>
  <c r="FD19" i="19"/>
  <c r="FD25" i="19"/>
  <c r="FD9" i="19"/>
  <c r="FD26" i="19"/>
  <c r="FD10" i="19"/>
  <c r="FD1" i="19"/>
  <c r="FD7" i="19"/>
  <c r="FD3" i="19"/>
  <c r="FE4" i="19"/>
  <c r="FE23" i="19" s="1"/>
  <c r="R155" i="17"/>
  <c r="S155" i="17"/>
  <c r="O155" i="17"/>
  <c r="P155" i="17"/>
  <c r="Q155" i="17"/>
  <c r="T155" i="17"/>
  <c r="U155" i="17" s="1"/>
  <c r="N156" i="17"/>
  <c r="F155" i="17"/>
  <c r="H154" i="17"/>
  <c r="S155" i="18"/>
  <c r="R155" i="18"/>
  <c r="O155" i="18"/>
  <c r="P155" i="18"/>
  <c r="Q155" i="18"/>
  <c r="T155" i="18"/>
  <c r="U155" i="18" s="1"/>
  <c r="N156" i="18"/>
  <c r="F155" i="18"/>
  <c r="H154" i="18"/>
  <c r="FD20" i="19" l="1"/>
  <c r="FD36" i="19"/>
  <c r="FE34" i="19"/>
  <c r="FE35" i="19"/>
  <c r="FE18" i="19"/>
  <c r="FE19" i="19"/>
  <c r="FE25" i="19"/>
  <c r="FE9" i="19"/>
  <c r="FE26" i="19"/>
  <c r="FE10" i="19"/>
  <c r="FE1" i="19"/>
  <c r="FE7" i="19"/>
  <c r="FE3" i="19"/>
  <c r="FF4" i="19"/>
  <c r="FF23" i="19" s="1"/>
  <c r="R156" i="17"/>
  <c r="S156" i="17"/>
  <c r="O156" i="17"/>
  <c r="P156" i="17"/>
  <c r="Q156" i="17"/>
  <c r="T156" i="17"/>
  <c r="U156" i="17" s="1"/>
  <c r="N157" i="17"/>
  <c r="F156" i="17"/>
  <c r="H155" i="17"/>
  <c r="S156" i="18"/>
  <c r="R156" i="18"/>
  <c r="O156" i="18"/>
  <c r="P156" i="18"/>
  <c r="Q156" i="18"/>
  <c r="T156" i="18"/>
  <c r="U156" i="18" s="1"/>
  <c r="N157" i="18"/>
  <c r="F156" i="18"/>
  <c r="H155" i="18"/>
  <c r="FE20" i="19" l="1"/>
  <c r="FE36" i="19"/>
  <c r="FF34" i="19"/>
  <c r="FF35" i="19"/>
  <c r="FF18" i="19"/>
  <c r="FF19" i="19"/>
  <c r="FF25" i="19"/>
  <c r="FF9" i="19"/>
  <c r="FF26" i="19"/>
  <c r="FF10" i="19"/>
  <c r="FF1" i="19"/>
  <c r="FF7" i="19"/>
  <c r="FF3" i="19"/>
  <c r="FG4" i="19"/>
  <c r="FG23" i="19" s="1"/>
  <c r="O157" i="17"/>
  <c r="P157" i="17"/>
  <c r="Q157" i="17"/>
  <c r="R157" i="17"/>
  <c r="S157" i="17"/>
  <c r="T157" i="17"/>
  <c r="U157" i="17" s="1"/>
  <c r="N158" i="17"/>
  <c r="F157" i="17"/>
  <c r="H156" i="17"/>
  <c r="O157" i="18"/>
  <c r="P157" i="18"/>
  <c r="Q157" i="18"/>
  <c r="R157" i="18"/>
  <c r="S157" i="18"/>
  <c r="T157" i="18"/>
  <c r="U157" i="18" s="1"/>
  <c r="N158" i="18"/>
  <c r="F157" i="18"/>
  <c r="H156" i="18"/>
  <c r="FF36" i="19" l="1"/>
  <c r="FF20" i="19"/>
  <c r="FG34" i="19"/>
  <c r="FG35" i="19"/>
  <c r="FG18" i="19"/>
  <c r="FG19" i="19"/>
  <c r="FG25" i="19"/>
  <c r="FG9" i="19"/>
  <c r="FG26" i="19"/>
  <c r="FG10" i="19"/>
  <c r="FG1" i="19"/>
  <c r="FG7" i="19"/>
  <c r="FG3" i="19"/>
  <c r="FH4" i="19"/>
  <c r="FH23" i="19" s="1"/>
  <c r="R158" i="17"/>
  <c r="O158" i="17"/>
  <c r="P158" i="17"/>
  <c r="Q158" i="17"/>
  <c r="S158" i="17"/>
  <c r="T158" i="17"/>
  <c r="U158" i="17" s="1"/>
  <c r="N159" i="17"/>
  <c r="F158" i="17"/>
  <c r="H157" i="17"/>
  <c r="R158" i="18"/>
  <c r="O158" i="18"/>
  <c r="P158" i="18"/>
  <c r="Q158" i="18"/>
  <c r="S158" i="18"/>
  <c r="T158" i="18"/>
  <c r="U158" i="18" s="1"/>
  <c r="N159" i="18"/>
  <c r="F158" i="18"/>
  <c r="H157" i="18"/>
  <c r="FG20" i="19" l="1"/>
  <c r="FG36" i="19"/>
  <c r="FH34" i="19"/>
  <c r="FH35" i="19"/>
  <c r="FH18" i="19"/>
  <c r="FH19" i="19"/>
  <c r="FH25" i="19"/>
  <c r="FH9" i="19"/>
  <c r="FH26" i="19"/>
  <c r="FH10" i="19"/>
  <c r="FH1" i="19"/>
  <c r="FH7" i="19"/>
  <c r="FH3" i="19"/>
  <c r="FI4" i="19"/>
  <c r="FI23" i="19" s="1"/>
  <c r="O159" i="17"/>
  <c r="P159" i="17"/>
  <c r="Q159" i="17"/>
  <c r="R159" i="17"/>
  <c r="S159" i="17"/>
  <c r="T159" i="17"/>
  <c r="U159" i="17" s="1"/>
  <c r="N160" i="17"/>
  <c r="F159" i="17"/>
  <c r="H158" i="17"/>
  <c r="O159" i="18"/>
  <c r="P159" i="18"/>
  <c r="Q159" i="18"/>
  <c r="R159" i="18"/>
  <c r="S159" i="18"/>
  <c r="T159" i="18"/>
  <c r="U159" i="18" s="1"/>
  <c r="N160" i="18"/>
  <c r="F159" i="18"/>
  <c r="H158" i="18"/>
  <c r="FH20" i="19" l="1"/>
  <c r="FH36" i="19"/>
  <c r="FI34" i="19"/>
  <c r="FI35" i="19"/>
  <c r="FI18" i="19"/>
  <c r="FI19" i="19"/>
  <c r="FI25" i="19"/>
  <c r="FI9" i="19"/>
  <c r="FI26" i="19"/>
  <c r="FI10" i="19"/>
  <c r="FI1" i="19"/>
  <c r="FI7" i="19"/>
  <c r="FI3" i="19"/>
  <c r="FJ4" i="19"/>
  <c r="FJ23" i="19" s="1"/>
  <c r="R160" i="17"/>
  <c r="S160" i="17"/>
  <c r="O160" i="17"/>
  <c r="P160" i="17"/>
  <c r="Q160" i="17"/>
  <c r="T160" i="17"/>
  <c r="U160" i="17" s="1"/>
  <c r="N161" i="17"/>
  <c r="F160" i="17"/>
  <c r="H159" i="17"/>
  <c r="S160" i="18"/>
  <c r="O160" i="18"/>
  <c r="P160" i="18"/>
  <c r="Q160" i="18"/>
  <c r="R160" i="18"/>
  <c r="T160" i="18"/>
  <c r="U160" i="18" s="1"/>
  <c r="N161" i="18"/>
  <c r="H159" i="18"/>
  <c r="F160" i="18"/>
  <c r="FI20" i="19" l="1"/>
  <c r="FI36" i="19"/>
  <c r="FJ34" i="19"/>
  <c r="FJ35" i="19"/>
  <c r="FJ18" i="19"/>
  <c r="FJ19" i="19"/>
  <c r="FJ25" i="19"/>
  <c r="FJ9" i="19"/>
  <c r="FJ26" i="19"/>
  <c r="FJ10" i="19"/>
  <c r="FJ1" i="19"/>
  <c r="FJ7" i="19"/>
  <c r="FJ3" i="19"/>
  <c r="FK4" i="19"/>
  <c r="FK23" i="19" s="1"/>
  <c r="R161" i="17"/>
  <c r="S161" i="17"/>
  <c r="O161" i="17"/>
  <c r="P161" i="17"/>
  <c r="Q161" i="17"/>
  <c r="T161" i="17"/>
  <c r="U161" i="17" s="1"/>
  <c r="N162" i="17"/>
  <c r="F161" i="17"/>
  <c r="H160" i="17"/>
  <c r="S161" i="18"/>
  <c r="O161" i="18"/>
  <c r="P161" i="18"/>
  <c r="Q161" i="18"/>
  <c r="R161" i="18"/>
  <c r="T161" i="18"/>
  <c r="U161" i="18" s="1"/>
  <c r="N162" i="18"/>
  <c r="H160" i="18"/>
  <c r="F161" i="18"/>
  <c r="FJ20" i="19" l="1"/>
  <c r="FJ36" i="19"/>
  <c r="FK34" i="19"/>
  <c r="FK35" i="19"/>
  <c r="FK18" i="19"/>
  <c r="FK19" i="19"/>
  <c r="FK25" i="19"/>
  <c r="FK9" i="19"/>
  <c r="FK26" i="19"/>
  <c r="FK10" i="19"/>
  <c r="FK1" i="19"/>
  <c r="FK7" i="19"/>
  <c r="FK3" i="19"/>
  <c r="FL4" i="19"/>
  <c r="FL23" i="19" s="1"/>
  <c r="R162" i="17"/>
  <c r="S162" i="17"/>
  <c r="O162" i="17"/>
  <c r="P162" i="17"/>
  <c r="Q162" i="17"/>
  <c r="T162" i="17"/>
  <c r="U162" i="17" s="1"/>
  <c r="N163" i="17"/>
  <c r="F162" i="17"/>
  <c r="H161" i="17"/>
  <c r="S162" i="18"/>
  <c r="O162" i="18"/>
  <c r="P162" i="18"/>
  <c r="Q162" i="18"/>
  <c r="R162" i="18"/>
  <c r="T162" i="18"/>
  <c r="U162" i="18" s="1"/>
  <c r="N163" i="18"/>
  <c r="H161" i="18"/>
  <c r="F162" i="18"/>
  <c r="FK36" i="19" l="1"/>
  <c r="FK20" i="19"/>
  <c r="FL34" i="19"/>
  <c r="FL35" i="19"/>
  <c r="FL18" i="19"/>
  <c r="FL19" i="19"/>
  <c r="FL25" i="19"/>
  <c r="FL9" i="19"/>
  <c r="FL26" i="19"/>
  <c r="FL10" i="19"/>
  <c r="FL1" i="19"/>
  <c r="FL7" i="19"/>
  <c r="FL3" i="19"/>
  <c r="FM4" i="19"/>
  <c r="FM23" i="19" s="1"/>
  <c r="R163" i="17"/>
  <c r="S163" i="17"/>
  <c r="O163" i="17"/>
  <c r="P163" i="17"/>
  <c r="Q163" i="17"/>
  <c r="T163" i="17"/>
  <c r="U163" i="17" s="1"/>
  <c r="N164" i="17"/>
  <c r="F163" i="17"/>
  <c r="H162" i="17"/>
  <c r="S163" i="18"/>
  <c r="O163" i="18"/>
  <c r="P163" i="18"/>
  <c r="Q163" i="18"/>
  <c r="R163" i="18"/>
  <c r="T163" i="18"/>
  <c r="U163" i="18" s="1"/>
  <c r="N164" i="18"/>
  <c r="H162" i="18"/>
  <c r="F163" i="18"/>
  <c r="FL36" i="19" l="1"/>
  <c r="FL20" i="19"/>
  <c r="FM34" i="19"/>
  <c r="FM35" i="19"/>
  <c r="FM18" i="19"/>
  <c r="FM19" i="19"/>
  <c r="FM25" i="19"/>
  <c r="FM9" i="19"/>
  <c r="FM26" i="19"/>
  <c r="FM10" i="19"/>
  <c r="FM1" i="19"/>
  <c r="FM7" i="19"/>
  <c r="FM3" i="19"/>
  <c r="FN4" i="19"/>
  <c r="FN23" i="19" s="1"/>
  <c r="O164" i="17"/>
  <c r="P164" i="17"/>
  <c r="Q164" i="17"/>
  <c r="R164" i="17"/>
  <c r="S164" i="17"/>
  <c r="T164" i="17"/>
  <c r="U164" i="17" s="1"/>
  <c r="N165" i="17"/>
  <c r="F164" i="17"/>
  <c r="H163" i="17"/>
  <c r="O164" i="18"/>
  <c r="P164" i="18"/>
  <c r="Q164" i="18"/>
  <c r="R164" i="18"/>
  <c r="S164" i="18"/>
  <c r="T164" i="18"/>
  <c r="U164" i="18" s="1"/>
  <c r="N165" i="18"/>
  <c r="H163" i="18"/>
  <c r="F164" i="18"/>
  <c r="FM36" i="19" l="1"/>
  <c r="FM20" i="19"/>
  <c r="FN34" i="19"/>
  <c r="FN35" i="19"/>
  <c r="FN18" i="19"/>
  <c r="FN19" i="19"/>
  <c r="FN25" i="19"/>
  <c r="FN9" i="19"/>
  <c r="FN26" i="19"/>
  <c r="FN10" i="19"/>
  <c r="FN1" i="19"/>
  <c r="FN7" i="19"/>
  <c r="FN3" i="19"/>
  <c r="FO4" i="19"/>
  <c r="FO23" i="19" s="1"/>
  <c r="R165" i="17"/>
  <c r="O165" i="17"/>
  <c r="P165" i="17"/>
  <c r="Q165" i="17"/>
  <c r="S165" i="17"/>
  <c r="T165" i="17"/>
  <c r="U165" i="17" s="1"/>
  <c r="N166" i="17"/>
  <c r="F165" i="17"/>
  <c r="H164" i="17"/>
  <c r="R165" i="18"/>
  <c r="O165" i="18"/>
  <c r="P165" i="18"/>
  <c r="Q165" i="18"/>
  <c r="S165" i="18"/>
  <c r="T165" i="18"/>
  <c r="U165" i="18" s="1"/>
  <c r="N166" i="18"/>
  <c r="F165" i="18"/>
  <c r="H164" i="18"/>
  <c r="FN20" i="19" l="1"/>
  <c r="FN36" i="19"/>
  <c r="FO34" i="19"/>
  <c r="FO35" i="19"/>
  <c r="FO18" i="19"/>
  <c r="FO19" i="19"/>
  <c r="FO25" i="19"/>
  <c r="FO9" i="19"/>
  <c r="FO26" i="19"/>
  <c r="FO10" i="19"/>
  <c r="FO1" i="19"/>
  <c r="FO7" i="19"/>
  <c r="FO3" i="19"/>
  <c r="FP4" i="19"/>
  <c r="FP23" i="19" s="1"/>
  <c r="O166" i="17"/>
  <c r="P166" i="17"/>
  <c r="Q166" i="17"/>
  <c r="R166" i="17"/>
  <c r="S166" i="17"/>
  <c r="T166" i="17"/>
  <c r="U166" i="17" s="1"/>
  <c r="N167" i="17"/>
  <c r="F166" i="17"/>
  <c r="H165" i="17"/>
  <c r="O166" i="18"/>
  <c r="P166" i="18"/>
  <c r="Q166" i="18"/>
  <c r="R166" i="18"/>
  <c r="S166" i="18"/>
  <c r="T166" i="18"/>
  <c r="U166" i="18" s="1"/>
  <c r="N167" i="18"/>
  <c r="F166" i="18"/>
  <c r="H165" i="18"/>
  <c r="FO20" i="19" l="1"/>
  <c r="FO36" i="19"/>
  <c r="FP34" i="19"/>
  <c r="FP35" i="19"/>
  <c r="FP18" i="19"/>
  <c r="FP19" i="19"/>
  <c r="FP25" i="19"/>
  <c r="FP9" i="19"/>
  <c r="FP26" i="19"/>
  <c r="FP10" i="19"/>
  <c r="FP1" i="19"/>
  <c r="FP7" i="19"/>
  <c r="FP3" i="19"/>
  <c r="FQ4" i="19"/>
  <c r="FQ23" i="19" s="1"/>
  <c r="R167" i="17"/>
  <c r="S167" i="17"/>
  <c r="O167" i="17"/>
  <c r="P167" i="17"/>
  <c r="Q167" i="17"/>
  <c r="T167" i="17"/>
  <c r="U167" i="17" s="1"/>
  <c r="N168" i="17"/>
  <c r="F167" i="17"/>
  <c r="H166" i="17"/>
  <c r="S167" i="18"/>
  <c r="O167" i="18"/>
  <c r="P167" i="18"/>
  <c r="Q167" i="18"/>
  <c r="R167" i="18"/>
  <c r="T167" i="18"/>
  <c r="U167" i="18" s="1"/>
  <c r="N168" i="18"/>
  <c r="H166" i="18"/>
  <c r="F167" i="18"/>
  <c r="FP20" i="19" l="1"/>
  <c r="FP36" i="19"/>
  <c r="FQ34" i="19"/>
  <c r="FQ35" i="19"/>
  <c r="FQ18" i="19"/>
  <c r="FQ19" i="19"/>
  <c r="FQ25" i="19"/>
  <c r="FQ9" i="19"/>
  <c r="FQ26" i="19"/>
  <c r="FQ10" i="19"/>
  <c r="FQ1" i="19"/>
  <c r="FQ7" i="19"/>
  <c r="FQ3" i="19"/>
  <c r="FR4" i="19"/>
  <c r="FR23" i="19" s="1"/>
  <c r="R168" i="17"/>
  <c r="S168" i="17"/>
  <c r="O168" i="17"/>
  <c r="P168" i="17"/>
  <c r="Q168" i="17"/>
  <c r="T168" i="17"/>
  <c r="U168" i="17" s="1"/>
  <c r="N169" i="17"/>
  <c r="F168" i="17"/>
  <c r="H167" i="17"/>
  <c r="S168" i="18"/>
  <c r="O168" i="18"/>
  <c r="P168" i="18"/>
  <c r="Q168" i="18"/>
  <c r="R168" i="18"/>
  <c r="T168" i="18"/>
  <c r="U168" i="18" s="1"/>
  <c r="N169" i="18"/>
  <c r="H167" i="18"/>
  <c r="F168" i="18"/>
  <c r="FQ36" i="19" l="1"/>
  <c r="FQ20" i="19"/>
  <c r="FR34" i="19"/>
  <c r="FR35" i="19"/>
  <c r="FR18" i="19"/>
  <c r="FR19" i="19"/>
  <c r="FR25" i="19"/>
  <c r="FR9" i="19"/>
  <c r="FR26" i="19"/>
  <c r="FR10" i="19"/>
  <c r="FR1" i="19"/>
  <c r="FR7" i="19"/>
  <c r="FR3" i="19"/>
  <c r="FS4" i="19"/>
  <c r="FS23" i="19" s="1"/>
  <c r="R169" i="17"/>
  <c r="S169" i="17"/>
  <c r="O169" i="17"/>
  <c r="P169" i="17"/>
  <c r="Q169" i="17"/>
  <c r="T169" i="17"/>
  <c r="U169" i="17" s="1"/>
  <c r="N170" i="17"/>
  <c r="F169" i="17"/>
  <c r="H168" i="17"/>
  <c r="S169" i="18"/>
  <c r="O169" i="18"/>
  <c r="P169" i="18"/>
  <c r="Q169" i="18"/>
  <c r="R169" i="18"/>
  <c r="T169" i="18"/>
  <c r="U169" i="18" s="1"/>
  <c r="N170" i="18"/>
  <c r="H168" i="18"/>
  <c r="F169" i="18"/>
  <c r="FR36" i="19" l="1"/>
  <c r="FR20" i="19"/>
  <c r="FS34" i="19"/>
  <c r="FS35" i="19"/>
  <c r="FS18" i="19"/>
  <c r="FS19" i="19"/>
  <c r="FS25" i="19"/>
  <c r="FS9" i="19"/>
  <c r="FS26" i="19"/>
  <c r="FS10" i="19"/>
  <c r="FS1" i="19"/>
  <c r="FS7" i="19"/>
  <c r="FS3" i="19"/>
  <c r="FT4" i="19"/>
  <c r="FT23" i="19" s="1"/>
  <c r="R170" i="17"/>
  <c r="S170" i="17"/>
  <c r="O170" i="17"/>
  <c r="P170" i="17"/>
  <c r="Q170" i="17"/>
  <c r="T170" i="17"/>
  <c r="U170" i="17" s="1"/>
  <c r="N171" i="17"/>
  <c r="F170" i="17"/>
  <c r="H169" i="17"/>
  <c r="S170" i="18"/>
  <c r="O170" i="18"/>
  <c r="P170" i="18"/>
  <c r="Q170" i="18"/>
  <c r="R170" i="18"/>
  <c r="T170" i="18"/>
  <c r="U170" i="18" s="1"/>
  <c r="N171" i="18"/>
  <c r="H169" i="18"/>
  <c r="F170" i="18"/>
  <c r="FS36" i="19" l="1"/>
  <c r="FS20" i="19"/>
  <c r="FT34" i="19"/>
  <c r="FT35" i="19"/>
  <c r="FT18" i="19"/>
  <c r="FT19" i="19"/>
  <c r="FT25" i="19"/>
  <c r="FT9" i="19"/>
  <c r="FT26" i="19"/>
  <c r="FT10" i="19"/>
  <c r="FT1" i="19"/>
  <c r="FT7" i="19"/>
  <c r="FT3" i="19"/>
  <c r="FU4" i="19"/>
  <c r="FU23" i="19" s="1"/>
  <c r="O171" i="17"/>
  <c r="P171" i="17"/>
  <c r="Q171" i="17"/>
  <c r="R171" i="17"/>
  <c r="S171" i="17"/>
  <c r="T171" i="17"/>
  <c r="U171" i="17" s="1"/>
  <c r="N172" i="17"/>
  <c r="F171" i="17"/>
  <c r="H170" i="17"/>
  <c r="O171" i="18"/>
  <c r="P171" i="18"/>
  <c r="Q171" i="18"/>
  <c r="R171" i="18"/>
  <c r="S171" i="18"/>
  <c r="T171" i="18"/>
  <c r="U171" i="18" s="1"/>
  <c r="N172" i="18"/>
  <c r="H170" i="18"/>
  <c r="F171" i="18"/>
  <c r="FT20" i="19" l="1"/>
  <c r="FT36" i="19"/>
  <c r="FU34" i="19"/>
  <c r="FU35" i="19"/>
  <c r="FU18" i="19"/>
  <c r="FU19" i="19"/>
  <c r="FU25" i="19"/>
  <c r="FU9" i="19"/>
  <c r="FU26" i="19"/>
  <c r="FU10" i="19"/>
  <c r="FU1" i="19"/>
  <c r="FU7" i="19"/>
  <c r="FU3" i="19"/>
  <c r="FV4" i="19"/>
  <c r="FV23" i="19" s="1"/>
  <c r="R172" i="17"/>
  <c r="O172" i="17"/>
  <c r="P172" i="17"/>
  <c r="Q172" i="17"/>
  <c r="S172" i="17"/>
  <c r="T172" i="17"/>
  <c r="U172" i="17" s="1"/>
  <c r="N173" i="17"/>
  <c r="F172" i="17"/>
  <c r="H171" i="17"/>
  <c r="R172" i="18"/>
  <c r="O172" i="18"/>
  <c r="P172" i="18"/>
  <c r="Q172" i="18"/>
  <c r="S172" i="18"/>
  <c r="T172" i="18"/>
  <c r="U172" i="18" s="1"/>
  <c r="N173" i="18"/>
  <c r="F172" i="18"/>
  <c r="H171" i="18"/>
  <c r="FU20" i="19" l="1"/>
  <c r="FU36" i="19"/>
  <c r="FV34" i="19"/>
  <c r="FV35" i="19"/>
  <c r="FV18" i="19"/>
  <c r="FV19" i="19"/>
  <c r="FV25" i="19"/>
  <c r="FV9" i="19"/>
  <c r="FV26" i="19"/>
  <c r="FV10" i="19"/>
  <c r="FV1" i="19"/>
  <c r="FV7" i="19"/>
  <c r="FV3" i="19"/>
  <c r="FW4" i="19"/>
  <c r="FW23" i="19" s="1"/>
  <c r="O173" i="17"/>
  <c r="P173" i="17"/>
  <c r="Q173" i="17"/>
  <c r="R173" i="17"/>
  <c r="S173" i="17"/>
  <c r="T173" i="17"/>
  <c r="U173" i="17" s="1"/>
  <c r="N174" i="17"/>
  <c r="F173" i="17"/>
  <c r="H172" i="17"/>
  <c r="O173" i="18"/>
  <c r="P173" i="18"/>
  <c r="Q173" i="18"/>
  <c r="R173" i="18"/>
  <c r="S173" i="18"/>
  <c r="T173" i="18"/>
  <c r="U173" i="18" s="1"/>
  <c r="N174" i="18"/>
  <c r="F173" i="18"/>
  <c r="H172" i="18"/>
  <c r="FV36" i="19" l="1"/>
  <c r="FV20" i="19"/>
  <c r="FW34" i="19"/>
  <c r="FW35" i="19"/>
  <c r="FW18" i="19"/>
  <c r="FW19" i="19"/>
  <c r="FW25" i="19"/>
  <c r="FW9" i="19"/>
  <c r="FW26" i="19"/>
  <c r="FW10" i="19"/>
  <c r="FW1" i="19"/>
  <c r="FW7" i="19"/>
  <c r="FW3" i="19"/>
  <c r="FX4" i="19"/>
  <c r="FX23" i="19" s="1"/>
  <c r="R174" i="17"/>
  <c r="S174" i="17"/>
  <c r="O174" i="17"/>
  <c r="P174" i="17"/>
  <c r="Q174" i="17"/>
  <c r="T174" i="17"/>
  <c r="U174" i="17" s="1"/>
  <c r="N175" i="17"/>
  <c r="F174" i="17"/>
  <c r="H173" i="17"/>
  <c r="S174" i="18"/>
  <c r="O174" i="18"/>
  <c r="P174" i="18"/>
  <c r="Q174" i="18"/>
  <c r="R174" i="18"/>
  <c r="T174" i="18"/>
  <c r="U174" i="18" s="1"/>
  <c r="N175" i="18"/>
  <c r="H173" i="18"/>
  <c r="F174" i="18"/>
  <c r="FW20" i="19" l="1"/>
  <c r="FW36" i="19"/>
  <c r="FX34" i="19"/>
  <c r="FX35" i="19"/>
  <c r="FX18" i="19"/>
  <c r="FX19" i="19"/>
  <c r="FX25" i="19"/>
  <c r="FX9" i="19"/>
  <c r="FX26" i="19"/>
  <c r="FX10" i="19"/>
  <c r="FX1" i="19"/>
  <c r="FX7" i="19"/>
  <c r="FX3" i="19"/>
  <c r="FY4" i="19"/>
  <c r="FY23" i="19" s="1"/>
  <c r="R175" i="17"/>
  <c r="S175" i="17"/>
  <c r="O175" i="17"/>
  <c r="P175" i="17"/>
  <c r="Q175" i="17"/>
  <c r="T175" i="17"/>
  <c r="U175" i="17" s="1"/>
  <c r="N176" i="17"/>
  <c r="F175" i="17"/>
  <c r="H174" i="17"/>
  <c r="S175" i="18"/>
  <c r="O175" i="18"/>
  <c r="P175" i="18"/>
  <c r="Q175" i="18"/>
  <c r="R175" i="18"/>
  <c r="T175" i="18"/>
  <c r="U175" i="18" s="1"/>
  <c r="N176" i="18"/>
  <c r="H174" i="18"/>
  <c r="F175" i="18"/>
  <c r="FX20" i="19" l="1"/>
  <c r="FX36" i="19"/>
  <c r="FY34" i="19"/>
  <c r="FY35" i="19"/>
  <c r="FY18" i="19"/>
  <c r="FY19" i="19"/>
  <c r="FY25" i="19"/>
  <c r="FY9" i="19"/>
  <c r="FY26" i="19"/>
  <c r="FY10" i="19"/>
  <c r="FY1" i="19"/>
  <c r="FY7" i="19"/>
  <c r="FY3" i="19"/>
  <c r="FZ4" i="19"/>
  <c r="FZ23" i="19" s="1"/>
  <c r="R176" i="17"/>
  <c r="S176" i="17"/>
  <c r="O176" i="17"/>
  <c r="P176" i="17"/>
  <c r="Q176" i="17"/>
  <c r="T176" i="17"/>
  <c r="U176" i="17" s="1"/>
  <c r="N177" i="17"/>
  <c r="F176" i="17"/>
  <c r="H175" i="17"/>
  <c r="S176" i="18"/>
  <c r="O176" i="18"/>
  <c r="P176" i="18"/>
  <c r="Q176" i="18"/>
  <c r="R176" i="18"/>
  <c r="T176" i="18"/>
  <c r="U176" i="18" s="1"/>
  <c r="N177" i="18"/>
  <c r="H175" i="18"/>
  <c r="F176" i="18"/>
  <c r="FY20" i="19" l="1"/>
  <c r="FY36" i="19"/>
  <c r="FZ34" i="19"/>
  <c r="FZ35" i="19"/>
  <c r="FZ18" i="19"/>
  <c r="FZ19" i="19"/>
  <c r="FZ25" i="19"/>
  <c r="FZ9" i="19"/>
  <c r="FZ26" i="19"/>
  <c r="FZ10" i="19"/>
  <c r="FZ1" i="19"/>
  <c r="FZ7" i="19"/>
  <c r="FZ3" i="19"/>
  <c r="GA4" i="19"/>
  <c r="GA23" i="19" s="1"/>
  <c r="O177" i="17"/>
  <c r="P177" i="17"/>
  <c r="Q177" i="17"/>
  <c r="R177" i="17"/>
  <c r="S177" i="17"/>
  <c r="T177" i="17"/>
  <c r="U177" i="17" s="1"/>
  <c r="N178" i="17"/>
  <c r="F177" i="17"/>
  <c r="H176" i="17"/>
  <c r="O177" i="18"/>
  <c r="P177" i="18"/>
  <c r="Q177" i="18"/>
  <c r="R177" i="18"/>
  <c r="S177" i="18"/>
  <c r="T177" i="18"/>
  <c r="U177" i="18" s="1"/>
  <c r="N178" i="18"/>
  <c r="H176" i="18"/>
  <c r="F177" i="18"/>
  <c r="FZ36" i="19" l="1"/>
  <c r="FZ20" i="19"/>
  <c r="GA34" i="19"/>
  <c r="GA35" i="19"/>
  <c r="GA18" i="19"/>
  <c r="GA19" i="19"/>
  <c r="GA25" i="19"/>
  <c r="GA9" i="19"/>
  <c r="GA26" i="19"/>
  <c r="GA10" i="19"/>
  <c r="GA1" i="19"/>
  <c r="GA7" i="19"/>
  <c r="GA3" i="19"/>
  <c r="GB4" i="19"/>
  <c r="GB23" i="19" s="1"/>
  <c r="O178" i="17"/>
  <c r="P178" i="17"/>
  <c r="Q178" i="17"/>
  <c r="R178" i="17"/>
  <c r="S178" i="17"/>
  <c r="T178" i="17"/>
  <c r="U178" i="17" s="1"/>
  <c r="N179" i="17"/>
  <c r="H177" i="17"/>
  <c r="F178" i="17"/>
  <c r="O178" i="18"/>
  <c r="P178" i="18"/>
  <c r="Q178" i="18"/>
  <c r="R178" i="18"/>
  <c r="S178" i="18"/>
  <c r="T178" i="18"/>
  <c r="U178" i="18" s="1"/>
  <c r="N179" i="18"/>
  <c r="H177" i="18"/>
  <c r="F178" i="18"/>
  <c r="GA36" i="19" l="1"/>
  <c r="GA20" i="19"/>
  <c r="GB34" i="19"/>
  <c r="GB35" i="19"/>
  <c r="GB18" i="19"/>
  <c r="GB19" i="19"/>
  <c r="GB25" i="19"/>
  <c r="GB9" i="19"/>
  <c r="GB26" i="19"/>
  <c r="GB10" i="19"/>
  <c r="GB1" i="19"/>
  <c r="GB7" i="19"/>
  <c r="GB3" i="19"/>
  <c r="GC4" i="19"/>
  <c r="GC23" i="19" s="1"/>
  <c r="O179" i="17"/>
  <c r="P179" i="17"/>
  <c r="Q179" i="17"/>
  <c r="R179" i="17"/>
  <c r="S179" i="17"/>
  <c r="T179" i="17"/>
  <c r="U179" i="17" s="1"/>
  <c r="N180" i="17"/>
  <c r="H178" i="17"/>
  <c r="F179" i="17"/>
  <c r="O179" i="18"/>
  <c r="P179" i="18"/>
  <c r="Q179" i="18"/>
  <c r="R179" i="18"/>
  <c r="S179" i="18"/>
  <c r="T179" i="18"/>
  <c r="U179" i="18" s="1"/>
  <c r="N180" i="18"/>
  <c r="H178" i="18"/>
  <c r="F179" i="18"/>
  <c r="GB20" i="19" l="1"/>
  <c r="GB36" i="19"/>
  <c r="GC34" i="19"/>
  <c r="GC35" i="19"/>
  <c r="GC18" i="19"/>
  <c r="GC19" i="19"/>
  <c r="GC25" i="19"/>
  <c r="GC9" i="19"/>
  <c r="GC26" i="19"/>
  <c r="GC10" i="19"/>
  <c r="GC1" i="19"/>
  <c r="GC7" i="19"/>
  <c r="GC3" i="19"/>
  <c r="GD4" i="19"/>
  <c r="GD23" i="19" s="1"/>
  <c r="O180" i="17"/>
  <c r="P180" i="17"/>
  <c r="Q180" i="17"/>
  <c r="R180" i="17"/>
  <c r="S180" i="17"/>
  <c r="T180" i="17"/>
  <c r="U180" i="17" s="1"/>
  <c r="N181" i="17"/>
  <c r="H179" i="17"/>
  <c r="F180" i="17"/>
  <c r="O180" i="18"/>
  <c r="P180" i="18"/>
  <c r="Q180" i="18"/>
  <c r="R180" i="18"/>
  <c r="S180" i="18"/>
  <c r="T180" i="18"/>
  <c r="U180" i="18" s="1"/>
  <c r="N181" i="18"/>
  <c r="H179" i="18"/>
  <c r="F180" i="18"/>
  <c r="GC20" i="19" l="1"/>
  <c r="GC36" i="19"/>
  <c r="GD34" i="19"/>
  <c r="GD35" i="19"/>
  <c r="GD18" i="19"/>
  <c r="GD19" i="19"/>
  <c r="GD25" i="19"/>
  <c r="GD9" i="19"/>
  <c r="GD26" i="19"/>
  <c r="GD10" i="19"/>
  <c r="GD1" i="19"/>
  <c r="GD7" i="19"/>
  <c r="GD3" i="19"/>
  <c r="GE4" i="19"/>
  <c r="GE23" i="19" s="1"/>
  <c r="R181" i="17"/>
  <c r="S181" i="17"/>
  <c r="O181" i="17"/>
  <c r="P181" i="17"/>
  <c r="Q181" i="17"/>
  <c r="T181" i="17"/>
  <c r="U181" i="17" s="1"/>
  <c r="N182" i="17"/>
  <c r="F181" i="17"/>
  <c r="H180" i="17"/>
  <c r="S181" i="18"/>
  <c r="O181" i="18"/>
  <c r="P181" i="18"/>
  <c r="Q181" i="18"/>
  <c r="R181" i="18"/>
  <c r="T181" i="18"/>
  <c r="U181" i="18" s="1"/>
  <c r="N182" i="18"/>
  <c r="H180" i="18"/>
  <c r="F181" i="18"/>
  <c r="GD20" i="19" l="1"/>
  <c r="GD36" i="19"/>
  <c r="GE34" i="19"/>
  <c r="GE35" i="19"/>
  <c r="GE18" i="19"/>
  <c r="GE19" i="19"/>
  <c r="GE25" i="19"/>
  <c r="GE9" i="19"/>
  <c r="GE26" i="19"/>
  <c r="GE10" i="19"/>
  <c r="GE1" i="19"/>
  <c r="GE7" i="19"/>
  <c r="GE3" i="19"/>
  <c r="GF4" i="19"/>
  <c r="GF23" i="19" s="1"/>
  <c r="S182" i="17"/>
  <c r="R182" i="17"/>
  <c r="O182" i="17"/>
  <c r="P182" i="17"/>
  <c r="Q182" i="17"/>
  <c r="T182" i="17"/>
  <c r="U182" i="17" s="1"/>
  <c r="N183" i="17"/>
  <c r="H181" i="17"/>
  <c r="F182" i="17"/>
  <c r="S182" i="18"/>
  <c r="R182" i="18"/>
  <c r="O182" i="18"/>
  <c r="P182" i="18"/>
  <c r="Q182" i="18"/>
  <c r="T182" i="18"/>
  <c r="U182" i="18" s="1"/>
  <c r="N183" i="18"/>
  <c r="F182" i="18"/>
  <c r="H181" i="18"/>
  <c r="GE20" i="19" l="1"/>
  <c r="GE36" i="19"/>
  <c r="GF34" i="19"/>
  <c r="GF35" i="19"/>
  <c r="GF18" i="19"/>
  <c r="GF19" i="19"/>
  <c r="GF25" i="19"/>
  <c r="GF9" i="19"/>
  <c r="GF26" i="19"/>
  <c r="GF10" i="19"/>
  <c r="GF1" i="19"/>
  <c r="GF7" i="19"/>
  <c r="GF3" i="19"/>
  <c r="GG4" i="19"/>
  <c r="GG23" i="19" s="1"/>
  <c r="S183" i="17"/>
  <c r="R183" i="17"/>
  <c r="O183" i="17"/>
  <c r="P183" i="17"/>
  <c r="Q183" i="17"/>
  <c r="T183" i="17"/>
  <c r="U183" i="17" s="1"/>
  <c r="N184" i="17"/>
  <c r="F183" i="17"/>
  <c r="H182" i="17"/>
  <c r="S183" i="18"/>
  <c r="R183" i="18"/>
  <c r="O183" i="18"/>
  <c r="P183" i="18"/>
  <c r="Q183" i="18"/>
  <c r="T183" i="18"/>
  <c r="U183" i="18" s="1"/>
  <c r="N184" i="18"/>
  <c r="F183" i="18"/>
  <c r="H182" i="18"/>
  <c r="GF20" i="19" l="1"/>
  <c r="GF36" i="19"/>
  <c r="GG34" i="19"/>
  <c r="GG35" i="19"/>
  <c r="GG18" i="19"/>
  <c r="GG19" i="19"/>
  <c r="GG25" i="19"/>
  <c r="GG9" i="19"/>
  <c r="GG26" i="19"/>
  <c r="GG10" i="19"/>
  <c r="GG1" i="19"/>
  <c r="GG7" i="19"/>
  <c r="GG3" i="19"/>
  <c r="GH4" i="19"/>
  <c r="GH23" i="19" s="1"/>
  <c r="S184" i="17"/>
  <c r="R184" i="17"/>
  <c r="O184" i="17"/>
  <c r="P184" i="17"/>
  <c r="Q184" i="17"/>
  <c r="T184" i="17"/>
  <c r="U184" i="17" s="1"/>
  <c r="N185" i="17"/>
  <c r="F184" i="17"/>
  <c r="H183" i="17"/>
  <c r="S184" i="18"/>
  <c r="R184" i="18"/>
  <c r="O184" i="18"/>
  <c r="P184" i="18"/>
  <c r="Q184" i="18"/>
  <c r="T184" i="18"/>
  <c r="U184" i="18" s="1"/>
  <c r="N185" i="18"/>
  <c r="F184" i="18"/>
  <c r="H183" i="18"/>
  <c r="GG20" i="19" l="1"/>
  <c r="GG36" i="19"/>
  <c r="GH34" i="19"/>
  <c r="GH35" i="19"/>
  <c r="GH18" i="19"/>
  <c r="GH19" i="19"/>
  <c r="GH25" i="19"/>
  <c r="GH9" i="19"/>
  <c r="GH26" i="19"/>
  <c r="GH10" i="19"/>
  <c r="GH1" i="19"/>
  <c r="GH7" i="19"/>
  <c r="GH3" i="19"/>
  <c r="GI4" i="19"/>
  <c r="GI23" i="19" s="1"/>
  <c r="O185" i="17"/>
  <c r="P185" i="17"/>
  <c r="Q185" i="17"/>
  <c r="R185" i="17"/>
  <c r="S185" i="17"/>
  <c r="T185" i="17"/>
  <c r="U185" i="17" s="1"/>
  <c r="N186" i="17"/>
  <c r="F185" i="17"/>
  <c r="H184" i="17"/>
  <c r="O185" i="18"/>
  <c r="P185" i="18"/>
  <c r="Q185" i="18"/>
  <c r="R185" i="18"/>
  <c r="S185" i="18"/>
  <c r="T185" i="18"/>
  <c r="U185" i="18" s="1"/>
  <c r="N186" i="18"/>
  <c r="F185" i="18"/>
  <c r="H184" i="18"/>
  <c r="GH20" i="19" l="1"/>
  <c r="GH36" i="19"/>
  <c r="GI34" i="19"/>
  <c r="GI35" i="19"/>
  <c r="GI18" i="19"/>
  <c r="GI19" i="19"/>
  <c r="GI25" i="19"/>
  <c r="GI9" i="19"/>
  <c r="GI26" i="19"/>
  <c r="GI10" i="19"/>
  <c r="GI1" i="19"/>
  <c r="GI7" i="19"/>
  <c r="GI3" i="19"/>
  <c r="GJ4" i="19"/>
  <c r="GJ23" i="19" s="1"/>
  <c r="R186" i="17"/>
  <c r="O186" i="17"/>
  <c r="P186" i="17"/>
  <c r="Q186" i="17"/>
  <c r="S186" i="17"/>
  <c r="T186" i="17"/>
  <c r="U186" i="17" s="1"/>
  <c r="N187" i="17"/>
  <c r="F186" i="17"/>
  <c r="H185" i="17"/>
  <c r="R186" i="18"/>
  <c r="O186" i="18"/>
  <c r="P186" i="18"/>
  <c r="Q186" i="18"/>
  <c r="S186" i="18"/>
  <c r="T186" i="18"/>
  <c r="U186" i="18" s="1"/>
  <c r="N187" i="18"/>
  <c r="F186" i="18"/>
  <c r="H185" i="18"/>
  <c r="GI20" i="19" l="1"/>
  <c r="GI36" i="19"/>
  <c r="GJ34" i="19"/>
  <c r="GJ35" i="19"/>
  <c r="GJ18" i="19"/>
  <c r="GJ19" i="19"/>
  <c r="GJ25" i="19"/>
  <c r="GJ9" i="19"/>
  <c r="GJ26" i="19"/>
  <c r="GJ10" i="19"/>
  <c r="GJ1" i="19"/>
  <c r="GJ7" i="19"/>
  <c r="GJ3" i="19"/>
  <c r="GK4" i="19"/>
  <c r="GK23" i="19" s="1"/>
  <c r="GL23" i="19" s="1"/>
  <c r="O187" i="17"/>
  <c r="P187" i="17"/>
  <c r="Q187" i="17"/>
  <c r="R187" i="17"/>
  <c r="S187" i="17"/>
  <c r="T187" i="17"/>
  <c r="U187" i="17" s="1"/>
  <c r="N188" i="17"/>
  <c r="F187" i="17"/>
  <c r="H186" i="17"/>
  <c r="O187" i="18"/>
  <c r="P187" i="18"/>
  <c r="Q187" i="18"/>
  <c r="R187" i="18"/>
  <c r="S187" i="18"/>
  <c r="T187" i="18"/>
  <c r="U187" i="18" s="1"/>
  <c r="N188" i="18"/>
  <c r="F187" i="18"/>
  <c r="H186" i="18"/>
  <c r="GJ20" i="19" l="1"/>
  <c r="GJ36" i="19"/>
  <c r="GK34" i="19"/>
  <c r="GL34" i="19" s="1"/>
  <c r="GK35" i="19"/>
  <c r="GL35" i="19" s="1"/>
  <c r="GK18" i="19"/>
  <c r="GL18" i="19" s="1"/>
  <c r="GK19" i="19"/>
  <c r="GL19" i="19" s="1"/>
  <c r="GK25" i="19"/>
  <c r="GK9" i="19"/>
  <c r="GK26" i="19"/>
  <c r="GK10" i="19"/>
  <c r="GK1" i="19"/>
  <c r="GK7" i="19"/>
  <c r="GK3" i="19"/>
  <c r="R188" i="17"/>
  <c r="S188" i="17"/>
  <c r="O188" i="17"/>
  <c r="P188" i="17"/>
  <c r="Q188" i="17"/>
  <c r="T188" i="17"/>
  <c r="U188" i="17" s="1"/>
  <c r="N189" i="17"/>
  <c r="F188" i="17"/>
  <c r="H187" i="17"/>
  <c r="S188" i="18"/>
  <c r="R188" i="18"/>
  <c r="O188" i="18"/>
  <c r="P188" i="18"/>
  <c r="Q188" i="18"/>
  <c r="T188" i="18"/>
  <c r="U188" i="18" s="1"/>
  <c r="N189" i="18"/>
  <c r="F188" i="18"/>
  <c r="H187" i="18"/>
  <c r="GK20" i="19" l="1"/>
  <c r="GL25" i="19"/>
  <c r="GL36" i="19" s="1"/>
  <c r="GK36" i="19"/>
  <c r="GM19" i="19"/>
  <c r="GM35" i="19"/>
  <c r="GM34" i="19"/>
  <c r="GM18" i="19"/>
  <c r="GL10" i="19"/>
  <c r="GL26" i="19"/>
  <c r="GL9" i="19"/>
  <c r="GL20" i="19" s="1"/>
  <c r="R189" i="17"/>
  <c r="S189" i="17"/>
  <c r="O189" i="17"/>
  <c r="P189" i="17"/>
  <c r="Q189" i="17"/>
  <c r="T189" i="17"/>
  <c r="U189" i="17" s="1"/>
  <c r="N190" i="17"/>
  <c r="F189" i="17"/>
  <c r="H188" i="17"/>
  <c r="S189" i="18"/>
  <c r="R189" i="18"/>
  <c r="O189" i="18"/>
  <c r="P189" i="18"/>
  <c r="Q189" i="18"/>
  <c r="T189" i="18"/>
  <c r="U189" i="18" s="1"/>
  <c r="N190" i="18"/>
  <c r="F189" i="18"/>
  <c r="H188" i="18"/>
  <c r="R190" i="17" l="1"/>
  <c r="S190" i="17"/>
  <c r="O190" i="17"/>
  <c r="P190" i="17"/>
  <c r="Q190" i="17"/>
  <c r="T190" i="17"/>
  <c r="U190" i="17" s="1"/>
  <c r="N191" i="17"/>
  <c r="F190" i="17"/>
  <c r="H189" i="17"/>
  <c r="S190" i="18"/>
  <c r="R190" i="18"/>
  <c r="O190" i="18"/>
  <c r="P190" i="18"/>
  <c r="Q190" i="18"/>
  <c r="T190" i="18"/>
  <c r="U190" i="18" s="1"/>
  <c r="N191" i="18"/>
  <c r="F190" i="18"/>
  <c r="H189" i="18"/>
  <c r="R191" i="17" l="1"/>
  <c r="S191" i="17"/>
  <c r="O191" i="17"/>
  <c r="P191" i="17"/>
  <c r="Q191" i="17"/>
  <c r="T191" i="17"/>
  <c r="U191" i="17" s="1"/>
  <c r="N192" i="17"/>
  <c r="F191" i="17"/>
  <c r="H190" i="17"/>
  <c r="S191" i="18"/>
  <c r="R191" i="18"/>
  <c r="O191" i="18"/>
  <c r="P191" i="18"/>
  <c r="Q191" i="18"/>
  <c r="T191" i="18"/>
  <c r="U191" i="18" s="1"/>
  <c r="N192" i="18"/>
  <c r="F191" i="18"/>
  <c r="H190" i="18"/>
  <c r="O192" i="17" l="1"/>
  <c r="P192" i="17"/>
  <c r="Q192" i="17"/>
  <c r="R192" i="17"/>
  <c r="S192" i="17"/>
  <c r="T192" i="17"/>
  <c r="U192" i="17" s="1"/>
  <c r="N193" i="17"/>
  <c r="F192" i="17"/>
  <c r="H191" i="17"/>
  <c r="O192" i="18"/>
  <c r="P192" i="18"/>
  <c r="Q192" i="18"/>
  <c r="R192" i="18"/>
  <c r="S192" i="18"/>
  <c r="T192" i="18"/>
  <c r="U192" i="18" s="1"/>
  <c r="N193" i="18"/>
  <c r="F192" i="18"/>
  <c r="H191" i="18"/>
  <c r="R193" i="17" l="1"/>
  <c r="O193" i="17"/>
  <c r="P193" i="17"/>
  <c r="Q193" i="17"/>
  <c r="S193" i="17"/>
  <c r="T193" i="17"/>
  <c r="U193" i="17" s="1"/>
  <c r="N194" i="17"/>
  <c r="F193" i="17"/>
  <c r="H192" i="17"/>
  <c r="R193" i="18"/>
  <c r="O193" i="18"/>
  <c r="P193" i="18"/>
  <c r="Q193" i="18"/>
  <c r="S193" i="18"/>
  <c r="T193" i="18"/>
  <c r="U193" i="18" s="1"/>
  <c r="N194" i="18"/>
  <c r="F193" i="18"/>
  <c r="H192" i="18"/>
  <c r="O194" i="17" l="1"/>
  <c r="P194" i="17"/>
  <c r="Q194" i="17"/>
  <c r="R194" i="17"/>
  <c r="S194" i="17"/>
  <c r="T194" i="17"/>
  <c r="U194" i="17" s="1"/>
  <c r="N195" i="17"/>
  <c r="F194" i="17"/>
  <c r="H193" i="17"/>
  <c r="O194" i="18"/>
  <c r="P194" i="18"/>
  <c r="Q194" i="18"/>
  <c r="R194" i="18"/>
  <c r="S194" i="18"/>
  <c r="T194" i="18"/>
  <c r="U194" i="18" s="1"/>
  <c r="N195" i="18"/>
  <c r="F194" i="18"/>
  <c r="H193" i="18"/>
  <c r="R195" i="17" l="1"/>
  <c r="S195" i="17"/>
  <c r="O195" i="17"/>
  <c r="P195" i="17"/>
  <c r="Q195" i="17"/>
  <c r="T195" i="17"/>
  <c r="U195" i="17" s="1"/>
  <c r="N196" i="17"/>
  <c r="F195" i="17"/>
  <c r="H194" i="17"/>
  <c r="S195" i="18"/>
  <c r="R195" i="18"/>
  <c r="O195" i="18"/>
  <c r="P195" i="18"/>
  <c r="Q195" i="18"/>
  <c r="T195" i="18"/>
  <c r="U195" i="18" s="1"/>
  <c r="N196" i="18"/>
  <c r="F195" i="18"/>
  <c r="H194" i="18"/>
  <c r="R196" i="17" l="1"/>
  <c r="S196" i="17"/>
  <c r="O196" i="17"/>
  <c r="P196" i="17"/>
  <c r="Q196" i="17"/>
  <c r="T196" i="17"/>
  <c r="U196" i="17" s="1"/>
  <c r="N197" i="17"/>
  <c r="F196" i="17"/>
  <c r="H195" i="17"/>
  <c r="S196" i="18"/>
  <c r="R196" i="18"/>
  <c r="O196" i="18"/>
  <c r="P196" i="18"/>
  <c r="Q196" i="18"/>
  <c r="T196" i="18"/>
  <c r="U196" i="18" s="1"/>
  <c r="N197" i="18"/>
  <c r="F196" i="18"/>
  <c r="H195" i="18"/>
  <c r="R197" i="17" l="1"/>
  <c r="S197" i="17"/>
  <c r="O197" i="17"/>
  <c r="P197" i="17"/>
  <c r="Q197" i="17"/>
  <c r="T197" i="17"/>
  <c r="U197" i="17" s="1"/>
  <c r="N198" i="17"/>
  <c r="F197" i="17"/>
  <c r="H196" i="17"/>
  <c r="S197" i="18"/>
  <c r="R197" i="18"/>
  <c r="O197" i="18"/>
  <c r="P197" i="18"/>
  <c r="Q197" i="18"/>
  <c r="T197" i="18"/>
  <c r="U197" i="18" s="1"/>
  <c r="N198" i="18"/>
  <c r="F197" i="18"/>
  <c r="H196" i="18"/>
  <c r="R198" i="17" l="1"/>
  <c r="S198" i="17"/>
  <c r="O198" i="17"/>
  <c r="P198" i="17"/>
  <c r="Q198" i="17"/>
  <c r="T198" i="17"/>
  <c r="U198" i="17" s="1"/>
  <c r="N199" i="17"/>
  <c r="F198" i="17"/>
  <c r="H197" i="17"/>
  <c r="S198" i="18"/>
  <c r="R198" i="18"/>
  <c r="O198" i="18"/>
  <c r="P198" i="18"/>
  <c r="Q198" i="18"/>
  <c r="T198" i="18"/>
  <c r="U198" i="18" s="1"/>
  <c r="N199" i="18"/>
  <c r="F198" i="18"/>
  <c r="H197" i="18"/>
  <c r="O199" i="17" l="1"/>
  <c r="P199" i="17"/>
  <c r="Q199" i="17"/>
  <c r="R199" i="17"/>
  <c r="S199" i="17"/>
  <c r="T199" i="17"/>
  <c r="U199" i="17" s="1"/>
  <c r="N200" i="17"/>
  <c r="F199" i="17"/>
  <c r="H198" i="17"/>
  <c r="O199" i="18"/>
  <c r="P199" i="18"/>
  <c r="Q199" i="18"/>
  <c r="R199" i="18"/>
  <c r="S199" i="18"/>
  <c r="T199" i="18"/>
  <c r="U199" i="18" s="1"/>
  <c r="N200" i="18"/>
  <c r="F199" i="18"/>
  <c r="H198" i="18"/>
  <c r="R200" i="17" l="1"/>
  <c r="O200" i="17"/>
  <c r="P200" i="17"/>
  <c r="Q200" i="17"/>
  <c r="S200" i="17"/>
  <c r="T200" i="17"/>
  <c r="U200" i="17" s="1"/>
  <c r="N201" i="17"/>
  <c r="F200" i="17"/>
  <c r="H199" i="17"/>
  <c r="R200" i="18"/>
  <c r="O200" i="18"/>
  <c r="P200" i="18"/>
  <c r="Q200" i="18"/>
  <c r="S200" i="18"/>
  <c r="T200" i="18"/>
  <c r="U200" i="18" s="1"/>
  <c r="N201" i="18"/>
  <c r="F200" i="18"/>
  <c r="H199" i="18"/>
  <c r="O201" i="17" l="1"/>
  <c r="P201" i="17"/>
  <c r="Q201" i="17"/>
  <c r="R201" i="17"/>
  <c r="S201" i="17"/>
  <c r="T201" i="17"/>
  <c r="U201" i="17" s="1"/>
  <c r="N202" i="17"/>
  <c r="F201" i="17"/>
  <c r="H200" i="17"/>
  <c r="O201" i="18"/>
  <c r="P201" i="18"/>
  <c r="Q201" i="18"/>
  <c r="R201" i="18"/>
  <c r="S201" i="18"/>
  <c r="T201" i="18"/>
  <c r="U201" i="18" s="1"/>
  <c r="N202" i="18"/>
  <c r="F201" i="18"/>
  <c r="H200" i="18"/>
  <c r="R202" i="17" l="1"/>
  <c r="S202" i="17"/>
  <c r="O202" i="17"/>
  <c r="P202" i="17"/>
  <c r="Q202" i="17"/>
  <c r="T202" i="17"/>
  <c r="U202" i="17" s="1"/>
  <c r="N203" i="17"/>
  <c r="F202" i="17"/>
  <c r="H201" i="17"/>
  <c r="S202" i="18"/>
  <c r="R202" i="18"/>
  <c r="O202" i="18"/>
  <c r="P202" i="18"/>
  <c r="Q202" i="18"/>
  <c r="T202" i="18"/>
  <c r="U202" i="18" s="1"/>
  <c r="N203" i="18"/>
  <c r="F202" i="18"/>
  <c r="H201" i="18"/>
  <c r="R203" i="17" l="1"/>
  <c r="S203" i="17"/>
  <c r="O203" i="17"/>
  <c r="P203" i="17"/>
  <c r="Q203" i="17"/>
  <c r="T203" i="17"/>
  <c r="U203" i="17" s="1"/>
  <c r="N204" i="17"/>
  <c r="F203" i="17"/>
  <c r="H202" i="17"/>
  <c r="S203" i="18"/>
  <c r="R203" i="18"/>
  <c r="O203" i="18"/>
  <c r="P203" i="18"/>
  <c r="Q203" i="18"/>
  <c r="T203" i="18"/>
  <c r="U203" i="18" s="1"/>
  <c r="N204" i="18"/>
  <c r="F203" i="18"/>
  <c r="H202" i="18"/>
  <c r="R204" i="17" l="1"/>
  <c r="S204" i="17"/>
  <c r="O204" i="17"/>
  <c r="P204" i="17"/>
  <c r="Q204" i="17"/>
  <c r="T204" i="17"/>
  <c r="U204" i="17" s="1"/>
  <c r="N205" i="17"/>
  <c r="F204" i="17"/>
  <c r="H203" i="17"/>
  <c r="S204" i="18"/>
  <c r="R204" i="18"/>
  <c r="O204" i="18"/>
  <c r="P204" i="18"/>
  <c r="Q204" i="18"/>
  <c r="T204" i="18"/>
  <c r="U204" i="18" s="1"/>
  <c r="N205" i="18"/>
  <c r="F204" i="18"/>
  <c r="H203" i="18"/>
  <c r="O205" i="17" l="1"/>
  <c r="P205" i="17"/>
  <c r="Q205" i="17"/>
  <c r="R205" i="17"/>
  <c r="S205" i="17"/>
  <c r="T205" i="17"/>
  <c r="U205" i="17" s="1"/>
  <c r="N206" i="17"/>
  <c r="F205" i="17"/>
  <c r="H204" i="17"/>
  <c r="O205" i="18"/>
  <c r="P205" i="18"/>
  <c r="Q205" i="18"/>
  <c r="R205" i="18"/>
  <c r="S205" i="18"/>
  <c r="T205" i="18"/>
  <c r="U205" i="18" s="1"/>
  <c r="N206" i="18"/>
  <c r="F205" i="18"/>
  <c r="H204" i="18"/>
  <c r="O206" i="17" l="1"/>
  <c r="P206" i="17"/>
  <c r="Q206" i="17"/>
  <c r="R206" i="17"/>
  <c r="S206" i="17"/>
  <c r="T206" i="17"/>
  <c r="U206" i="17" s="1"/>
  <c r="N207" i="17"/>
  <c r="H205" i="17"/>
  <c r="F206" i="17"/>
  <c r="O206" i="18"/>
  <c r="P206" i="18"/>
  <c r="Q206" i="18"/>
  <c r="R206" i="18"/>
  <c r="S206" i="18"/>
  <c r="T206" i="18"/>
  <c r="U206" i="18" s="1"/>
  <c r="N207" i="18"/>
  <c r="H205" i="18"/>
  <c r="F206" i="18"/>
  <c r="O207" i="17" l="1"/>
  <c r="P207" i="17"/>
  <c r="Q207" i="17"/>
  <c r="R207" i="17"/>
  <c r="S207" i="17"/>
  <c r="T207" i="17"/>
  <c r="U207" i="17" s="1"/>
  <c r="N208" i="17"/>
  <c r="H206" i="17"/>
  <c r="F207" i="17"/>
  <c r="O207" i="18"/>
  <c r="P207" i="18"/>
  <c r="Q207" i="18"/>
  <c r="R207" i="18"/>
  <c r="S207" i="18"/>
  <c r="T207" i="18"/>
  <c r="U207" i="18" s="1"/>
  <c r="N208" i="18"/>
  <c r="H206" i="18"/>
  <c r="F207" i="18"/>
  <c r="O208" i="17" l="1"/>
  <c r="P208" i="17"/>
  <c r="Q208" i="17"/>
  <c r="R208" i="17"/>
  <c r="S208" i="17"/>
  <c r="T208" i="17"/>
  <c r="U208" i="17" s="1"/>
  <c r="N209" i="17"/>
  <c r="H207" i="17"/>
  <c r="F208" i="17"/>
  <c r="O208" i="18"/>
  <c r="P208" i="18"/>
  <c r="Q208" i="18"/>
  <c r="R208" i="18"/>
  <c r="S208" i="18"/>
  <c r="T208" i="18"/>
  <c r="U208" i="18" s="1"/>
  <c r="N209" i="18"/>
  <c r="H207" i="18"/>
  <c r="F208" i="18"/>
  <c r="O209" i="17" l="1"/>
  <c r="P209" i="17"/>
  <c r="Q209" i="17"/>
  <c r="R209" i="17"/>
  <c r="S209" i="17"/>
  <c r="T209" i="17"/>
  <c r="U209" i="17" s="1"/>
  <c r="N210" i="17"/>
  <c r="H208" i="17"/>
  <c r="F209" i="17"/>
  <c r="O209" i="18"/>
  <c r="P209" i="18"/>
  <c r="Q209" i="18"/>
  <c r="R209" i="18"/>
  <c r="S209" i="18"/>
  <c r="T209" i="18"/>
  <c r="U209" i="18" s="1"/>
  <c r="N210" i="18"/>
  <c r="H208" i="18"/>
  <c r="F209" i="18"/>
  <c r="O210" i="17" l="1"/>
  <c r="P210" i="17"/>
  <c r="Q210" i="17"/>
  <c r="R210" i="17"/>
  <c r="S210" i="17"/>
  <c r="T210" i="17"/>
  <c r="U210" i="17" s="1"/>
  <c r="N211" i="17"/>
  <c r="H209" i="17"/>
  <c r="F210" i="17"/>
  <c r="O210" i="18"/>
  <c r="P210" i="18"/>
  <c r="Q210" i="18"/>
  <c r="R210" i="18"/>
  <c r="S210" i="18"/>
  <c r="T210" i="18"/>
  <c r="U210" i="18" s="1"/>
  <c r="N211" i="18"/>
  <c r="H209" i="18"/>
  <c r="F210" i="18"/>
  <c r="O211" i="17" l="1"/>
  <c r="P211" i="17"/>
  <c r="Q211" i="17"/>
  <c r="R211" i="17"/>
  <c r="S211" i="17"/>
  <c r="T211" i="17"/>
  <c r="U211" i="17" s="1"/>
  <c r="N212" i="17"/>
  <c r="H210" i="17"/>
  <c r="F211" i="17"/>
  <c r="O211" i="18"/>
  <c r="P211" i="18"/>
  <c r="Q211" i="18"/>
  <c r="R211" i="18"/>
  <c r="S211" i="18"/>
  <c r="T211" i="18"/>
  <c r="U211" i="18" s="1"/>
  <c r="N212" i="18"/>
  <c r="H210" i="18"/>
  <c r="F211" i="18"/>
  <c r="O212" i="17" l="1"/>
  <c r="P212" i="17"/>
  <c r="Q212" i="17"/>
  <c r="R212" i="17"/>
  <c r="R213" i="17" s="1"/>
  <c r="S212" i="17"/>
  <c r="S213" i="17" s="1"/>
  <c r="T212" i="17"/>
  <c r="U212" i="17" s="1"/>
  <c r="U213" i="17" s="1"/>
  <c r="S222" i="17"/>
  <c r="S223" i="17"/>
  <c r="H211" i="17"/>
  <c r="F212" i="17"/>
  <c r="H212" i="17" s="1"/>
  <c r="O212" i="18"/>
  <c r="P212" i="18"/>
  <c r="Q212" i="18"/>
  <c r="R212" i="18"/>
  <c r="R213" i="18" s="1"/>
  <c r="S212" i="18"/>
  <c r="S213" i="18" s="1"/>
  <c r="T212" i="18"/>
  <c r="U212" i="18" s="1"/>
  <c r="U213" i="18" s="1"/>
  <c r="H211" i="18"/>
  <c r="F212" i="18"/>
  <c r="H212" i="18" l="1"/>
  <c r="H220" i="18" s="1"/>
  <c r="S214" i="17"/>
  <c r="S214" i="18"/>
  <c r="L214" i="18"/>
  <c r="G3" i="19" l="1"/>
  <c r="Z22" i="11" s="1"/>
  <c r="Z9" i="11" l="1"/>
  <c r="Z10"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I25" i="11"/>
  <c r="AJ25" i="11"/>
  <c r="AK25" i="11"/>
  <c r="AL25" i="11"/>
  <c r="AM25" i="11"/>
  <c r="AN25" i="11"/>
  <c r="AO25" i="11"/>
  <c r="AP25" i="11"/>
  <c r="B25" i="11"/>
  <c r="C25" i="11"/>
  <c r="D9" i="11"/>
  <c r="E9" i="11"/>
  <c r="F9" i="11"/>
  <c r="G9" i="11"/>
  <c r="H9" i="11"/>
  <c r="I9" i="11"/>
  <c r="J9" i="11"/>
  <c r="K9" i="11"/>
  <c r="L9" i="11"/>
  <c r="M9" i="11"/>
  <c r="N9" i="11"/>
  <c r="O9" i="11"/>
  <c r="P9" i="11"/>
  <c r="Q9" i="11"/>
  <c r="R9" i="11"/>
  <c r="S9" i="11"/>
  <c r="T9" i="11"/>
  <c r="U9" i="11"/>
  <c r="V9" i="11"/>
  <c r="W9" i="11"/>
  <c r="X9" i="11"/>
  <c r="Y9" i="11"/>
  <c r="AA9" i="11"/>
  <c r="AB9" i="11"/>
  <c r="AC9" i="11"/>
  <c r="AD9" i="11"/>
  <c r="AE9" i="11"/>
  <c r="AF9" i="11"/>
  <c r="AG9" i="11"/>
  <c r="AH9" i="11"/>
  <c r="AI9" i="11"/>
  <c r="AJ9" i="11"/>
  <c r="AK9" i="11"/>
  <c r="AL9" i="11"/>
  <c r="AM9" i="11"/>
  <c r="AN9" i="11"/>
  <c r="AO9" i="11"/>
  <c r="AP9" i="11"/>
  <c r="C9" i="11"/>
  <c r="D34" i="11"/>
  <c r="D35" i="11"/>
  <c r="E35" i="11"/>
  <c r="E34" i="11"/>
  <c r="F34" i="11"/>
  <c r="F35" i="11"/>
  <c r="G34" i="11"/>
  <c r="G35" i="11"/>
  <c r="H35" i="11"/>
  <c r="H34" i="11"/>
  <c r="I34" i="11"/>
  <c r="I35" i="11"/>
  <c r="J34" i="11"/>
  <c r="J35" i="11"/>
  <c r="K34" i="11"/>
  <c r="K35" i="11"/>
  <c r="L35" i="11"/>
  <c r="L34" i="11"/>
  <c r="M35" i="11"/>
  <c r="M34" i="11"/>
  <c r="N34" i="11"/>
  <c r="N35" i="11"/>
  <c r="O34" i="11"/>
  <c r="O35" i="11"/>
  <c r="P34" i="11"/>
  <c r="P35" i="11"/>
  <c r="Q34" i="11"/>
  <c r="Q35" i="11"/>
  <c r="R34" i="11"/>
  <c r="R35" i="11"/>
  <c r="S34" i="11"/>
  <c r="S35" i="11"/>
  <c r="T34" i="11"/>
  <c r="T35" i="11"/>
  <c r="U34" i="11"/>
  <c r="U35" i="11"/>
  <c r="W34" i="11"/>
  <c r="W35" i="11"/>
  <c r="V34" i="11"/>
  <c r="V35" i="11"/>
  <c r="X34" i="11"/>
  <c r="X35" i="11"/>
  <c r="Y34" i="11"/>
  <c r="Y35" i="11"/>
  <c r="Z34" i="11"/>
  <c r="Z35" i="11"/>
  <c r="AA34" i="11"/>
  <c r="AA35" i="11"/>
  <c r="AB34" i="11"/>
  <c r="AB35" i="11"/>
  <c r="AC34" i="11"/>
  <c r="AC35" i="11"/>
  <c r="AD34" i="11"/>
  <c r="AD35" i="11"/>
  <c r="AE35" i="11"/>
  <c r="AE34" i="11"/>
  <c r="AF34" i="11"/>
  <c r="AF35" i="11"/>
  <c r="AG34" i="11"/>
  <c r="AG35" i="11"/>
  <c r="AH34" i="11"/>
  <c r="AH35" i="11"/>
  <c r="AI34" i="11"/>
  <c r="AI35" i="11"/>
  <c r="AJ35" i="11"/>
  <c r="AJ34" i="11"/>
  <c r="AK35" i="11"/>
  <c r="AK34" i="11"/>
  <c r="AL34" i="11"/>
  <c r="AL35" i="11"/>
  <c r="AM34" i="11"/>
  <c r="AM35" i="11"/>
  <c r="AN34" i="11"/>
  <c r="AN35" i="11"/>
  <c r="AO34" i="11"/>
  <c r="AP34" i="11"/>
  <c r="AP35" i="11"/>
  <c r="AO35" i="11"/>
  <c r="C34" i="11"/>
  <c r="C35" i="11"/>
  <c r="B34" i="11"/>
  <c r="B32" i="16" s="1"/>
  <c r="B35" i="11"/>
  <c r="B33" i="16" s="1"/>
  <c r="P19" i="11"/>
  <c r="P18" i="11"/>
  <c r="Q18" i="11"/>
  <c r="Q19" i="11"/>
  <c r="R18" i="11"/>
  <c r="R19" i="11"/>
  <c r="S19" i="11"/>
  <c r="S18" i="11"/>
  <c r="T18" i="11"/>
  <c r="T19" i="11"/>
  <c r="U18" i="11"/>
  <c r="U19" i="11"/>
  <c r="W18" i="11"/>
  <c r="W19" i="11"/>
  <c r="V18" i="11"/>
  <c r="V19" i="11"/>
  <c r="X18" i="11"/>
  <c r="X19" i="11"/>
  <c r="Y18" i="11"/>
  <c r="Y19" i="11"/>
  <c r="Z18" i="11"/>
  <c r="Z19" i="11"/>
  <c r="AA18" i="11"/>
  <c r="AA19" i="11"/>
  <c r="AB18" i="11"/>
  <c r="AB19" i="11"/>
  <c r="AC18" i="11"/>
  <c r="AC19" i="11"/>
  <c r="AD18" i="11"/>
  <c r="AD19" i="11"/>
  <c r="AE18" i="11"/>
  <c r="AE19" i="11"/>
  <c r="AF18" i="11"/>
  <c r="AF19" i="11"/>
  <c r="AG18" i="11"/>
  <c r="AG19" i="11"/>
  <c r="AH18" i="11"/>
  <c r="AH19" i="11"/>
  <c r="AI18" i="11"/>
  <c r="AI19" i="11"/>
  <c r="AJ19" i="11"/>
  <c r="AJ18" i="11"/>
  <c r="AK18" i="11"/>
  <c r="AK19" i="11"/>
  <c r="AL18" i="11"/>
  <c r="AL19" i="11"/>
  <c r="AM18" i="11"/>
  <c r="AM19" i="11"/>
  <c r="AN18" i="11"/>
  <c r="AN19" i="11"/>
  <c r="AO18" i="11"/>
  <c r="AO19" i="11"/>
  <c r="AP18" i="11"/>
  <c r="AP19" i="11"/>
  <c r="O19" i="11"/>
  <c r="D18" i="11"/>
  <c r="D19" i="11"/>
  <c r="E18" i="11"/>
  <c r="E19" i="11"/>
  <c r="F18" i="11"/>
  <c r="F19" i="11"/>
  <c r="G18" i="11"/>
  <c r="G19" i="11"/>
  <c r="H18" i="11"/>
  <c r="H19" i="11"/>
  <c r="I18" i="11"/>
  <c r="I19" i="11"/>
  <c r="J19" i="11"/>
  <c r="J18" i="11"/>
  <c r="K18" i="11"/>
  <c r="K19" i="11"/>
  <c r="L18" i="11"/>
  <c r="L19" i="11"/>
  <c r="M19" i="11"/>
  <c r="M18" i="11"/>
  <c r="N18" i="11"/>
  <c r="N19" i="11"/>
  <c r="B18" i="11"/>
  <c r="C18" i="11"/>
  <c r="B19" i="11"/>
  <c r="B17" i="16" s="1"/>
  <c r="C19" i="11"/>
  <c r="B6" i="11"/>
  <c r="B7" i="11"/>
  <c r="B10" i="11"/>
  <c r="B26" i="11"/>
  <c r="AO26" i="11"/>
  <c r="D22" i="11"/>
  <c r="D23" i="11"/>
  <c r="D26" i="11"/>
  <c r="E22" i="11"/>
  <c r="E26" i="11"/>
  <c r="E23" i="11"/>
  <c r="F22" i="11"/>
  <c r="F23" i="11"/>
  <c r="F26" i="11"/>
  <c r="G22" i="11"/>
  <c r="G23" i="11"/>
  <c r="G26" i="11"/>
  <c r="H22" i="11"/>
  <c r="H23" i="11"/>
  <c r="H26" i="11"/>
  <c r="I23" i="11"/>
  <c r="I22" i="11"/>
  <c r="I26" i="11"/>
  <c r="J22" i="11"/>
  <c r="J23" i="11"/>
  <c r="J26" i="11"/>
  <c r="K23" i="11"/>
  <c r="K22" i="11"/>
  <c r="K26" i="11"/>
  <c r="L22" i="11"/>
  <c r="L23" i="11"/>
  <c r="L26" i="11"/>
  <c r="M23" i="11"/>
  <c r="M26" i="11"/>
  <c r="M22" i="11"/>
  <c r="N22" i="11"/>
  <c r="N23" i="11"/>
  <c r="N26" i="11"/>
  <c r="O22" i="11"/>
  <c r="O23" i="11"/>
  <c r="O26" i="11"/>
  <c r="P23" i="11"/>
  <c r="P26" i="11"/>
  <c r="P22" i="11"/>
  <c r="Q23" i="11"/>
  <c r="Q26" i="11"/>
  <c r="Q22" i="11"/>
  <c r="R22" i="11"/>
  <c r="R23" i="11"/>
  <c r="R26" i="11"/>
  <c r="S22" i="11"/>
  <c r="S23" i="11"/>
  <c r="S26" i="11"/>
  <c r="T23" i="11"/>
  <c r="T22" i="11"/>
  <c r="T26" i="11"/>
  <c r="U22" i="11"/>
  <c r="U23" i="11"/>
  <c r="U26" i="11"/>
  <c r="W22" i="11"/>
  <c r="W26" i="11"/>
  <c r="V22" i="11"/>
  <c r="V23" i="11"/>
  <c r="W23" i="11"/>
  <c r="V26" i="11"/>
  <c r="X22" i="11"/>
  <c r="X23" i="11"/>
  <c r="X26" i="11"/>
  <c r="Y22" i="11"/>
  <c r="Y23" i="11"/>
  <c r="Y26" i="11"/>
  <c r="Z23" i="11"/>
  <c r="Z26" i="11"/>
  <c r="AA22" i="11"/>
  <c r="AA23" i="11"/>
  <c r="AA26" i="11"/>
  <c r="AB23" i="11"/>
  <c r="AB22" i="11"/>
  <c r="AB26" i="11"/>
  <c r="AC23" i="11"/>
  <c r="AC26" i="11"/>
  <c r="AC22" i="11"/>
  <c r="AD23" i="11"/>
  <c r="AD22" i="11"/>
  <c r="AD26" i="11"/>
  <c r="AE23" i="11"/>
  <c r="AE22" i="11"/>
  <c r="AE26" i="11"/>
  <c r="AF22" i="11"/>
  <c r="AF23" i="11"/>
  <c r="AF26" i="11"/>
  <c r="AG22" i="11"/>
  <c r="AG23" i="11"/>
  <c r="AG26" i="11"/>
  <c r="AH22" i="11"/>
  <c r="AH23" i="11"/>
  <c r="AH26" i="11"/>
  <c r="AI22" i="11"/>
  <c r="AI26" i="11"/>
  <c r="AI23" i="11"/>
  <c r="AJ22" i="11"/>
  <c r="AJ23" i="11"/>
  <c r="AJ26" i="11"/>
  <c r="AK22" i="11"/>
  <c r="AK23" i="11"/>
  <c r="AK26" i="11"/>
  <c r="AL23" i="11"/>
  <c r="AL26" i="11"/>
  <c r="AL22" i="11"/>
  <c r="AM22" i="11"/>
  <c r="AM26" i="11"/>
  <c r="AM23" i="11"/>
  <c r="AN23" i="11"/>
  <c r="AN26" i="11"/>
  <c r="AN22" i="11"/>
  <c r="AO22" i="11"/>
  <c r="AO23" i="11"/>
  <c r="AP23" i="11"/>
  <c r="AP26" i="11"/>
  <c r="AP22" i="11"/>
  <c r="C26" i="11"/>
  <c r="C22" i="11"/>
  <c r="C23" i="11"/>
  <c r="O18" i="11"/>
  <c r="AP6" i="11"/>
  <c r="AP7" i="11"/>
  <c r="AP10" i="11"/>
  <c r="AO10" i="11"/>
  <c r="AO7" i="11"/>
  <c r="AO6" i="11"/>
  <c r="AJ10" i="11"/>
  <c r="AJ7" i="11"/>
  <c r="AJ6" i="11"/>
  <c r="AK10" i="11"/>
  <c r="AK7" i="11"/>
  <c r="AK6" i="11"/>
  <c r="AL10" i="11"/>
  <c r="AL7" i="11"/>
  <c r="AL6" i="11"/>
  <c r="AM6" i="11"/>
  <c r="AN7" i="11"/>
  <c r="AM10" i="11"/>
  <c r="AM7" i="11"/>
  <c r="AN10" i="11"/>
  <c r="AN6" i="11"/>
  <c r="W7" i="11"/>
  <c r="W6" i="11"/>
  <c r="W10" i="11"/>
  <c r="X10" i="11"/>
  <c r="X7" i="11"/>
  <c r="X6" i="11"/>
  <c r="Y10" i="11"/>
  <c r="Y6" i="11"/>
  <c r="Y7" i="11"/>
  <c r="Z7" i="11"/>
  <c r="Z6" i="11"/>
  <c r="AA10" i="11"/>
  <c r="AA7" i="11"/>
  <c r="AA6" i="11"/>
  <c r="AB10" i="11"/>
  <c r="AB7" i="11"/>
  <c r="AB6" i="11"/>
  <c r="AC10" i="11"/>
  <c r="AC7" i="11"/>
  <c r="AC6" i="11"/>
  <c r="AD10" i="11"/>
  <c r="AD7" i="11"/>
  <c r="AD6" i="11"/>
  <c r="AE10" i="11"/>
  <c r="AE7" i="11"/>
  <c r="AE6" i="11"/>
  <c r="AF7" i="11"/>
  <c r="AF10" i="11"/>
  <c r="AF6" i="11"/>
  <c r="AG10" i="11"/>
  <c r="AG7" i="11"/>
  <c r="AG6" i="11"/>
  <c r="AH10" i="11"/>
  <c r="AH7" i="11"/>
  <c r="AH6" i="11"/>
  <c r="AI10" i="11"/>
  <c r="AI7" i="11"/>
  <c r="AI6" i="11"/>
  <c r="D10" i="11"/>
  <c r="E10" i="11"/>
  <c r="F10" i="11"/>
  <c r="G10" i="11"/>
  <c r="H10" i="11"/>
  <c r="I10" i="11"/>
  <c r="J10" i="11"/>
  <c r="K10" i="11"/>
  <c r="L10" i="11"/>
  <c r="M10" i="11"/>
  <c r="N10" i="11"/>
  <c r="O10" i="11"/>
  <c r="P10" i="11"/>
  <c r="Q10" i="11"/>
  <c r="R10" i="11"/>
  <c r="S10" i="11"/>
  <c r="T10" i="11"/>
  <c r="U10" i="11"/>
  <c r="V10" i="11"/>
  <c r="C10" i="11"/>
  <c r="D6" i="11"/>
  <c r="D7" i="11"/>
  <c r="E6" i="11"/>
  <c r="E7" i="11"/>
  <c r="F6" i="11"/>
  <c r="F7" i="11"/>
  <c r="G6" i="11"/>
  <c r="G7" i="11"/>
  <c r="H6" i="11"/>
  <c r="H7" i="11"/>
  <c r="I7" i="11"/>
  <c r="I6" i="11"/>
  <c r="J6" i="11"/>
  <c r="J7" i="11"/>
  <c r="K7" i="11"/>
  <c r="K6" i="11"/>
  <c r="L6" i="11"/>
  <c r="L7" i="11"/>
  <c r="M6" i="11"/>
  <c r="M7" i="11"/>
  <c r="N6" i="11"/>
  <c r="N7" i="11"/>
  <c r="O6" i="11"/>
  <c r="O7" i="11"/>
  <c r="P7" i="11"/>
  <c r="P6" i="11"/>
  <c r="Q6" i="11"/>
  <c r="Q7" i="11"/>
  <c r="R7" i="11"/>
  <c r="R6" i="11"/>
  <c r="S6" i="11"/>
  <c r="S7" i="11"/>
  <c r="T6" i="11"/>
  <c r="T7" i="11"/>
  <c r="U6" i="11"/>
  <c r="U7" i="11"/>
  <c r="V6" i="11"/>
  <c r="V7" i="11"/>
  <c r="C6" i="11"/>
  <c r="C7" i="11"/>
  <c r="Z29" i="11" l="1"/>
  <c r="Z31" i="11"/>
  <c r="Z30" i="11"/>
  <c r="Z32" i="11"/>
  <c r="Z13" i="11"/>
  <c r="Z15" i="11"/>
  <c r="Z14" i="11"/>
  <c r="Z16" i="11"/>
  <c r="U36" i="11"/>
  <c r="V36" i="11"/>
  <c r="AN36" i="11"/>
  <c r="AO36" i="11"/>
  <c r="AP36" i="11"/>
  <c r="D36" i="11"/>
  <c r="E36" i="11"/>
  <c r="F36" i="11"/>
  <c r="G36" i="11"/>
  <c r="H36" i="11"/>
  <c r="I36" i="11"/>
  <c r="J36" i="11"/>
  <c r="K36" i="11"/>
  <c r="L36" i="11"/>
  <c r="M36" i="11"/>
  <c r="N36" i="11"/>
  <c r="O36" i="11"/>
  <c r="P36" i="11"/>
  <c r="Q36" i="11"/>
  <c r="R36" i="11"/>
  <c r="S36" i="11"/>
  <c r="T36" i="11"/>
  <c r="W36" i="11"/>
  <c r="X36" i="11"/>
  <c r="Y36" i="11"/>
  <c r="Z36" i="11"/>
  <c r="AA36" i="11"/>
  <c r="AB36" i="11"/>
  <c r="AC36" i="11"/>
  <c r="AD36" i="11"/>
  <c r="AE36" i="11"/>
  <c r="AF36" i="11"/>
  <c r="AG36" i="11"/>
  <c r="AH36" i="11"/>
  <c r="AI36" i="11"/>
  <c r="AJ36" i="11"/>
  <c r="AK36" i="11"/>
  <c r="AL36" i="11"/>
  <c r="AM36" i="11"/>
  <c r="C36" i="11"/>
  <c r="T20" i="11"/>
  <c r="Z20" i="11"/>
  <c r="AA20" i="11"/>
  <c r="AB20" i="11"/>
  <c r="AC20" i="11"/>
  <c r="AD20" i="11"/>
  <c r="AE20" i="11"/>
  <c r="AF20" i="11"/>
  <c r="AG20" i="11"/>
  <c r="AH20" i="11"/>
  <c r="AI20" i="11"/>
  <c r="AJ20" i="11"/>
  <c r="AK20" i="11"/>
  <c r="AL20" i="11"/>
  <c r="AM20" i="11"/>
  <c r="AN20" i="11"/>
  <c r="AO20" i="11"/>
  <c r="AP20" i="11"/>
  <c r="V20" i="11"/>
  <c r="W20" i="11"/>
  <c r="X20" i="11"/>
  <c r="Y20" i="11"/>
  <c r="U20" i="11"/>
  <c r="M20" i="11"/>
  <c r="C20" i="11"/>
  <c r="N20" i="11"/>
  <c r="O20" i="11"/>
  <c r="D20" i="11"/>
  <c r="E20" i="11"/>
  <c r="F20" i="11"/>
  <c r="G20" i="11"/>
  <c r="H20" i="11"/>
  <c r="I20" i="11"/>
  <c r="J20" i="11"/>
  <c r="K20" i="11"/>
  <c r="L20" i="11"/>
  <c r="P20" i="11"/>
  <c r="Q20" i="11"/>
  <c r="R20" i="11"/>
  <c r="S20" i="11"/>
  <c r="B23" i="16"/>
  <c r="B34" i="16" s="1"/>
  <c r="B36" i="11"/>
  <c r="Y31" i="11"/>
  <c r="Y29" i="11"/>
  <c r="Y32" i="11"/>
  <c r="Y30" i="11"/>
  <c r="Y15" i="11"/>
  <c r="Y13" i="11"/>
  <c r="Y16" i="11"/>
  <c r="Y14" i="11"/>
  <c r="C23" i="16"/>
  <c r="D23" i="16"/>
  <c r="E23" i="16"/>
  <c r="F23" i="16"/>
  <c r="G23" i="16"/>
  <c r="H23" i="16"/>
  <c r="J23" i="16"/>
  <c r="K23" i="16"/>
  <c r="I23" i="16"/>
  <c r="C7" i="16"/>
  <c r="I7" i="16"/>
  <c r="D7" i="16"/>
  <c r="E7" i="16"/>
  <c r="F7" i="16"/>
  <c r="G7" i="16"/>
  <c r="H7" i="16"/>
  <c r="J7" i="16"/>
  <c r="K7" i="16"/>
  <c r="W16" i="11"/>
  <c r="D29" i="11"/>
  <c r="E29" i="11"/>
  <c r="F29" i="11"/>
  <c r="G29" i="11"/>
  <c r="H29" i="11"/>
  <c r="I29" i="11"/>
  <c r="J29" i="11"/>
  <c r="K29" i="11"/>
  <c r="L29" i="11"/>
  <c r="M29" i="11"/>
  <c r="N29" i="11"/>
  <c r="O29" i="11"/>
  <c r="P29" i="11"/>
  <c r="Q29" i="11"/>
  <c r="R29" i="11"/>
  <c r="S29" i="11"/>
  <c r="T29" i="11"/>
  <c r="U31" i="11"/>
  <c r="U29" i="11"/>
  <c r="V31" i="11"/>
  <c r="V29" i="11"/>
  <c r="W31" i="11"/>
  <c r="W29" i="11"/>
  <c r="X31" i="11"/>
  <c r="X29" i="11"/>
  <c r="C29" i="11"/>
  <c r="D30" i="11"/>
  <c r="E30" i="11"/>
  <c r="F30" i="11"/>
  <c r="G30" i="11"/>
  <c r="H30" i="11"/>
  <c r="I30" i="11"/>
  <c r="J30" i="11"/>
  <c r="K30" i="11"/>
  <c r="L30" i="11"/>
  <c r="M30" i="11"/>
  <c r="N30" i="11"/>
  <c r="O30" i="11"/>
  <c r="P30" i="11"/>
  <c r="Q30" i="11"/>
  <c r="R30" i="11"/>
  <c r="S30" i="11"/>
  <c r="T30" i="11"/>
  <c r="U30" i="11"/>
  <c r="U32" i="11"/>
  <c r="W30" i="11"/>
  <c r="W32" i="11"/>
  <c r="V30" i="11"/>
  <c r="V32" i="11"/>
  <c r="X30" i="11"/>
  <c r="X32" i="11"/>
  <c r="C30" i="11"/>
  <c r="AR25" i="11"/>
  <c r="U15" i="11"/>
  <c r="V15" i="11"/>
  <c r="W15" i="11"/>
  <c r="X15" i="11"/>
  <c r="X16" i="11"/>
  <c r="U16" i="11"/>
  <c r="V16" i="11"/>
  <c r="K14" i="11"/>
  <c r="L14" i="11"/>
  <c r="M14" i="11"/>
  <c r="N14" i="11"/>
  <c r="B14" i="11"/>
  <c r="W14" i="11"/>
  <c r="O14" i="11"/>
  <c r="P14" i="11"/>
  <c r="Q14" i="11"/>
  <c r="R14" i="11"/>
  <c r="S14" i="11"/>
  <c r="T14" i="11"/>
  <c r="U14" i="11"/>
  <c r="V14" i="11"/>
  <c r="C14" i="11"/>
  <c r="X14" i="11"/>
  <c r="D14" i="11"/>
  <c r="E14" i="11"/>
  <c r="F14" i="11"/>
  <c r="G14" i="11"/>
  <c r="H14" i="11"/>
  <c r="I14" i="11"/>
  <c r="J14" i="11"/>
  <c r="K13" i="11"/>
  <c r="L13" i="11"/>
  <c r="M13" i="11"/>
  <c r="N13" i="11"/>
  <c r="O13" i="11"/>
  <c r="P13" i="11"/>
  <c r="Q13" i="11"/>
  <c r="X13" i="11"/>
  <c r="D13" i="11"/>
  <c r="E13" i="11"/>
  <c r="F13" i="11"/>
  <c r="G13" i="11"/>
  <c r="H13" i="11"/>
  <c r="I13" i="11"/>
  <c r="J13" i="11"/>
  <c r="R13" i="11"/>
  <c r="S13" i="11"/>
  <c r="T13" i="11"/>
  <c r="C13" i="11"/>
  <c r="U13" i="11"/>
  <c r="V13" i="11"/>
  <c r="W13" i="11"/>
  <c r="AR9" i="11"/>
  <c r="C32" i="16"/>
  <c r="C33" i="16"/>
  <c r="F32" i="16"/>
  <c r="F33" i="16"/>
  <c r="D33" i="16"/>
  <c r="D32" i="16"/>
  <c r="E33" i="16"/>
  <c r="E32" i="16"/>
  <c r="J32" i="16"/>
  <c r="K33" i="16"/>
  <c r="G32" i="16"/>
  <c r="G33" i="16"/>
  <c r="H32" i="16"/>
  <c r="H33" i="16"/>
  <c r="I32" i="16"/>
  <c r="I33" i="16"/>
  <c r="J33" i="16"/>
  <c r="K32" i="16"/>
  <c r="F17" i="16"/>
  <c r="F16" i="16"/>
  <c r="G16" i="16"/>
  <c r="G17" i="16"/>
  <c r="H16" i="16"/>
  <c r="H17" i="16"/>
  <c r="I16" i="16"/>
  <c r="I17" i="16"/>
  <c r="J16" i="16"/>
  <c r="J17" i="16"/>
  <c r="K16" i="16"/>
  <c r="K17" i="16"/>
  <c r="D16" i="16"/>
  <c r="D17" i="16"/>
  <c r="E16" i="16"/>
  <c r="E17" i="16"/>
  <c r="C16" i="16"/>
  <c r="C17" i="16"/>
  <c r="AR35" i="11"/>
  <c r="AR19" i="11"/>
  <c r="B16" i="16"/>
  <c r="B8" i="16"/>
  <c r="B4" i="16"/>
  <c r="B5" i="16"/>
  <c r="B24" i="16"/>
  <c r="H24" i="16"/>
  <c r="D24" i="16"/>
  <c r="E24" i="16"/>
  <c r="F24" i="16"/>
  <c r="G24" i="16"/>
  <c r="I24" i="16"/>
  <c r="K24" i="16"/>
  <c r="J24" i="16"/>
  <c r="D20" i="16"/>
  <c r="D21" i="16"/>
  <c r="K21" i="16"/>
  <c r="C24" i="16"/>
  <c r="F21" i="16"/>
  <c r="I20" i="16"/>
  <c r="E20" i="16"/>
  <c r="E21" i="16"/>
  <c r="F20" i="16"/>
  <c r="G20" i="16"/>
  <c r="G21" i="16"/>
  <c r="H20" i="16"/>
  <c r="H21" i="16"/>
  <c r="I21" i="16"/>
  <c r="J20" i="16"/>
  <c r="J21" i="16"/>
  <c r="K20" i="16"/>
  <c r="C20" i="16"/>
  <c r="C21" i="16"/>
  <c r="C8" i="16"/>
  <c r="H8" i="16"/>
  <c r="K8" i="16"/>
  <c r="I8" i="16"/>
  <c r="J8" i="16"/>
  <c r="D8" i="16"/>
  <c r="E8" i="16"/>
  <c r="F8" i="16"/>
  <c r="G8" i="16"/>
  <c r="I4" i="16"/>
  <c r="D4" i="16"/>
  <c r="C5" i="16"/>
  <c r="H4" i="16"/>
  <c r="H5" i="16"/>
  <c r="K5" i="16"/>
  <c r="K4" i="16"/>
  <c r="J5" i="16"/>
  <c r="J4" i="16"/>
  <c r="D5" i="16"/>
  <c r="E4" i="16"/>
  <c r="E5" i="16"/>
  <c r="F5" i="16"/>
  <c r="F4" i="16"/>
  <c r="G4" i="16"/>
  <c r="G5" i="16"/>
  <c r="I5" i="16"/>
  <c r="C4" i="16"/>
  <c r="AR34" i="11"/>
  <c r="AR18" i="11"/>
  <c r="AR26" i="11"/>
  <c r="AR22" i="11"/>
  <c r="AR23" i="11"/>
  <c r="AR10" i="11"/>
  <c r="AR7" i="11"/>
  <c r="AR6" i="11"/>
  <c r="C34" i="16" l="1"/>
  <c r="F34" i="16"/>
  <c r="J34" i="16"/>
  <c r="K34" i="16"/>
  <c r="D34" i="16"/>
  <c r="E34" i="16"/>
  <c r="H34" i="16"/>
  <c r="I34" i="16"/>
  <c r="G34" i="16"/>
  <c r="G18" i="16"/>
  <c r="D18" i="16"/>
  <c r="E18" i="16"/>
  <c r="J18" i="16"/>
  <c r="C18" i="16"/>
  <c r="F18" i="16"/>
  <c r="K18" i="16"/>
  <c r="I18" i="16"/>
  <c r="H18" i="16"/>
  <c r="AR36" i="11"/>
  <c r="AR20" i="11"/>
  <c r="C27" i="16"/>
  <c r="C29" i="16"/>
  <c r="D27" i="16"/>
  <c r="D29" i="16"/>
  <c r="E27" i="16"/>
  <c r="E29" i="16"/>
  <c r="F27" i="16"/>
  <c r="F29" i="16"/>
  <c r="G27" i="16"/>
  <c r="G29" i="16"/>
  <c r="H27" i="16"/>
  <c r="H29" i="16"/>
  <c r="H28" i="16"/>
  <c r="H30" i="16"/>
  <c r="D28" i="16"/>
  <c r="D30" i="16"/>
  <c r="E28" i="16"/>
  <c r="E30" i="16"/>
  <c r="F28" i="16"/>
  <c r="F30" i="16"/>
  <c r="G28" i="16"/>
  <c r="G30" i="16"/>
  <c r="C28" i="16"/>
  <c r="C30" i="16"/>
  <c r="H11" i="16"/>
  <c r="H13" i="16"/>
  <c r="H12" i="16"/>
  <c r="H14" i="16"/>
  <c r="C11" i="16"/>
  <c r="D11" i="16"/>
  <c r="E11" i="16"/>
  <c r="F11" i="16"/>
  <c r="G11" i="16"/>
  <c r="G13" i="16"/>
  <c r="C12" i="16"/>
  <c r="D12" i="16"/>
  <c r="E12" i="16"/>
  <c r="F12" i="16"/>
  <c r="G12" i="16"/>
  <c r="G14" i="16"/>
  <c r="B12" i="16"/>
  <c r="M23" i="16"/>
  <c r="M7" i="16"/>
  <c r="AR31" i="11"/>
  <c r="AR29" i="11"/>
  <c r="AR32" i="11"/>
  <c r="AR30" i="11"/>
  <c r="AS34" i="11"/>
  <c r="AS18" i="11"/>
  <c r="AS35" i="11"/>
  <c r="AS19" i="11"/>
  <c r="AR15" i="11"/>
  <c r="AR16" i="11"/>
  <c r="AR14" i="11"/>
  <c r="M33" i="16"/>
  <c r="M17" i="16"/>
  <c r="I36" i="16"/>
  <c r="J36" i="16"/>
  <c r="H36" i="16"/>
  <c r="K36" i="16"/>
  <c r="D36" i="16"/>
  <c r="C36" i="16"/>
  <c r="G36" i="16"/>
  <c r="F36" i="16"/>
  <c r="E36" i="16"/>
  <c r="M32" i="16"/>
  <c r="M24" i="16"/>
  <c r="M21" i="16"/>
  <c r="M16" i="16"/>
  <c r="M8" i="16"/>
  <c r="M5" i="16"/>
  <c r="M4" i="16"/>
  <c r="AR13" i="11"/>
  <c r="M34" i="16" l="1"/>
  <c r="M18" i="16"/>
  <c r="M14" i="16"/>
  <c r="M12" i="16"/>
  <c r="M13" i="16"/>
  <c r="N33" i="16"/>
  <c r="N17" i="16"/>
  <c r="N32" i="16"/>
  <c r="N16" i="16"/>
  <c r="E6" i="1" l="1"/>
  <c r="S6" i="1" l="1"/>
  <c r="E9" i="19"/>
  <c r="E20" i="19" s="1"/>
  <c r="E13" i="19" l="1"/>
  <c r="GL13" i="19" s="1"/>
  <c r="B9" i="11"/>
  <c r="B20" i="11" s="1"/>
  <c r="E22" i="19"/>
  <c r="GL15" i="19"/>
  <c r="B13" i="11" l="1"/>
  <c r="B7" i="16"/>
  <c r="B18" i="16" s="1"/>
  <c r="E29" i="19"/>
  <c r="GL29" i="19" s="1"/>
  <c r="E30" i="19"/>
  <c r="GL30" i="19" s="1"/>
  <c r="B22" i="11"/>
  <c r="B11" i="16" l="1"/>
  <c r="M11" i="16" s="1"/>
  <c r="GL31" i="19"/>
  <c r="GL32" i="19"/>
  <c r="B29" i="11"/>
  <c r="B30" i="11"/>
  <c r="B20" i="16"/>
  <c r="M20" i="16" s="1"/>
  <c r="B23" i="11"/>
  <c r="B27" i="16" l="1"/>
  <c r="M27" i="16" s="1"/>
  <c r="B28" i="16"/>
  <c r="M28" i="16" s="1"/>
  <c r="B21" i="16"/>
  <c r="B29" i="16" l="1"/>
  <c r="M29" i="16" s="1"/>
  <c r="B30" i="16"/>
  <c r="M30"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tc={6662BE30-1F59-4B34-B119-3F401B7169C6}</author>
    <author>tc={7B817960-2EA7-460F-B2A5-FA79F8292F1C}</author>
  </authors>
  <commentList>
    <comment ref="A11" authorId="0" shapeId="0" xr:uid="{6662BE30-1F59-4B34-B119-3F401B7169C6}">
      <text>
        <t>[Threaded comment]
Your version of Excel allows you to read this threaded comment; however, any edits to it will get removed if the file is opened in a newer version of Excel. Learn more: https://go.microsoft.com/fwlink/?linkid=870924
Comment:
    Packed</t>
      </text>
    </comment>
    <comment ref="A27" authorId="1" shapeId="0" xr:uid="{7B817960-2EA7-460F-B2A5-FA79F8292F1C}">
      <text>
        <t>[Threaded comment]
Your version of Excel allows you to read this threaded comment; however, any edits to it will get removed if the file is opened in a newer version of Excel. Learn more: https://go.microsoft.com/fwlink/?linkid=870924
Comment:
    Packed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tc={7229E9F6-33EB-436F-B2B6-A8647AAE336F}</author>
    <author>tc={68876224-895D-4635-B246-780210A3EC0E}</author>
    <author>tc={6A15AE64-B6A7-4753-BC6F-123E62A570A4}</author>
    <author>tc={F5C23B39-694A-4F8E-BE98-6637207C3316}</author>
    <author>tc={FFC2315B-7B19-4840-98DA-7C425C2A6A2A}</author>
  </authors>
  <commentList>
    <comment ref="A13" authorId="0" shapeId="0" xr:uid="{7229E9F6-33EB-436F-B2B6-A8647AAE336F}">
      <text>
        <t>[Threaded comment]
Your version of Excel allows you to read this threaded comment; however, any edits to it will get removed if the file is opened in a newer version of Excel. Learn more: https://go.microsoft.com/fwlink/?linkid=870924
Comment:
    Packed</t>
      </text>
    </comment>
    <comment ref="A29" authorId="1" shapeId="0" xr:uid="{68876224-895D-4635-B246-780210A3EC0E}">
      <text>
        <t>[Threaded comment]
Your version of Excel allows you to read this threaded comment; however, any edits to it will get removed if the file is opened in a newer version of Excel. Learn more: https://go.microsoft.com/fwlink/?linkid=870924
Comment:
    Packed</t>
      </text>
    </comment>
    <comment ref="U58" authorId="2" shapeId="0" xr:uid="{6A15AE64-B6A7-4753-BC6F-123E62A570A4}">
      <text>
        <t>[Threaded comment]
Your version of Excel allows you to read this threaded comment; however, any edits to it will get removed if the file is opened in a newer version of Excel. Learn more: https://go.microsoft.com/fwlink/?linkid=870924
Comment:
    Non-Sellable Product</t>
      </text>
    </comment>
    <comment ref="V58" authorId="3" shapeId="0" xr:uid="{F5C23B39-694A-4F8E-BE98-6637207C3316}">
      <text>
        <t>[Threaded comment]
Your version of Excel allows you to read this threaded comment; however, any edits to it will get removed if the file is opened in a newer version of Excel. Learn more: https://go.microsoft.com/fwlink/?linkid=870924
Comment:
    Non-Sellable Product</t>
      </text>
    </comment>
    <comment ref="L74" authorId="4" shapeId="0" xr:uid="{FFC2315B-7B19-4840-98DA-7C425C2A6A2A}">
      <text>
        <t>[Threaded comment]
Your version of Excel allows you to read this threaded comment; however, any edits to it will get removed if the file is opened in a newer version of Excel. Learn more: https://go.microsoft.com/fwlink/?linkid=870924
Comment:
    Includes 5/26 Product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tc={044C5DEC-6BB3-4DF7-B3F0-547FDEEAAEF8}</author>
    <author>tc={506357B7-6417-4DB1-8950-27824EF8C1C2}</author>
  </authors>
  <commentList>
    <comment ref="A13" authorId="0" shapeId="0" xr:uid="{044C5DEC-6BB3-4DF7-B3F0-547FDEEAAEF8}">
      <text>
        <t>[Threaded comment]
Your version of Excel allows you to read this threaded comment; however, any edits to it will get removed if the file is opened in a newer version of Excel. Learn more: https://go.microsoft.com/fwlink/?linkid=870924
Comment:
    Packed</t>
      </text>
    </comment>
    <comment ref="A29" authorId="1" shapeId="0" xr:uid="{506357B7-6417-4DB1-8950-27824EF8C1C2}">
      <text>
        <t>[Threaded comment]
Your version of Excel allows you to read this threaded comment; however, any edits to it will get removed if the file is opened in a newer version of Excel. Learn more: https://go.microsoft.com/fwlink/?linkid=870924
Comment:
    Packed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tc={29D0772F-B346-4438-864A-425022E0BCF8}</author>
    <author>tc={644364D9-ECDE-4720-8075-191C0A7B7C7B}</author>
    <author>tc={7951E960-9F9F-42F4-AB01-94AAA2C0BDFB}</author>
    <author>tc={08E28496-4582-4061-B233-F94E6DF9A2E9}</author>
    <author>tc={36FAB553-82FF-4CF6-A5F2-C3AB70DB3A08}</author>
    <author>tc={8D9346F5-DF36-425F-BC37-708151E48539}</author>
    <author>tc={06372B68-2F03-438F-98EB-49507315AEE4}</author>
    <author>tc={2784985B-AA71-4C33-A961-208E8BF35167}</author>
    <author>tc={1A1FF8DB-D35C-4D49-83CB-CD6D6E368755}</author>
    <author>tc={8DD8CD95-35B6-4C14-A2CD-0F50F207DE16}</author>
    <author>tc={06D41479-2A2A-42DC-A430-012C9254736D}</author>
    <author>tc={C484FF8D-7ADD-4849-BA50-7DB908A9AB1E}</author>
    <author>tc={FD35CA52-6920-4062-B6E9-17300FDEA152}</author>
  </authors>
  <commentList>
    <comment ref="L48" authorId="0" shapeId="0" xr:uid="{29D0772F-B346-4438-864A-425022E0BCF8}">
      <text>
        <t>[Threaded comment]
Your version of Excel allows you to read this threaded comment; however, any edits to it will get removed if the file is opened in a newer version of Excel. Learn more: https://go.microsoft.com/fwlink/?linkid=870924
Comment:
    Counted Freezer.  #’s Should be Accruate within 5%</t>
      </text>
    </comment>
    <comment ref="M48" authorId="1" shapeId="0" xr:uid="{644364D9-ECDE-4720-8075-191C0A7B7C7B}">
      <text>
        <t>[Threaded comment]
Your version of Excel allows you to read this threaded comment; however, any edits to it will get removed if the file is opened in a newer version of Excel. Learn more: https://go.microsoft.com/fwlink/?linkid=870924
Comment:
    Counted Freezer.  #’s Should be Accruate within 5%</t>
      </text>
    </comment>
    <comment ref="J49" authorId="2" shapeId="0" xr:uid="{7951E960-9F9F-42F4-AB01-94AAA2C0BDFB}">
      <text>
        <t>[Threaded comment]
Your version of Excel allows you to read this threaded comment; however, any edits to it will get removed if the file is opened in a newer version of Excel. Learn more: https://go.microsoft.com/fwlink/?linkid=870924
Comment:
    252 4-Pack, 89 FS</t>
      </text>
    </comment>
    <comment ref="I51" authorId="3" shapeId="0" xr:uid="{08E28496-4582-4061-B233-F94E6DF9A2E9}">
      <text>
        <t>[Threaded comment]
Your version of Excel allows you to read this threaded comment; however, any edits to it will get removed if the file is opened in a newer version of Excel. Learn more: https://go.microsoft.com/fwlink/?linkid=870924
Comment:
    Includes remainder of 5/27 Rework</t>
      </text>
    </comment>
    <comment ref="L51" authorId="4" shapeId="0" xr:uid="{36FAB553-82FF-4CF6-A5F2-C3AB70DB3A08}">
      <text>
        <t>[Threaded comment]
Your version of Excel allows you to read this threaded comment; however, any edits to it will get removed if the file is opened in a newer version of Excel. Learn more: https://go.microsoft.com/fwlink/?linkid=870924
Comment:
    No more SD to Pack.  Backlog at Zero</t>
      </text>
    </comment>
    <comment ref="M53" authorId="5" shapeId="0" xr:uid="{8D9346F5-DF36-425F-BC37-708151E48539}">
      <text>
        <t>[Threaded comment]
Your version of Excel allows you to read this threaded comment; however, any edits to it will get removed if the file is opened in a newer version of Excel. Learn more: https://go.microsoft.com/fwlink/?linkid=870924
Comment:
    Backlog to zero</t>
      </text>
    </comment>
    <comment ref="M54" authorId="6" shapeId="0" xr:uid="{06372B68-2F03-438F-98EB-49507315AEE4}">
      <text>
        <t>[Threaded comment]
Your version of Excel allows you to read this threaded comment; however, any edits to it will get removed if the file is opened in a newer version of Excel. Learn more: https://go.microsoft.com/fwlink/?linkid=870924
Comment:
    ~1,600 pcs were produced but scrapped after steaming due to Steam Pressure.  Overproofed and fallen BAO.</t>
      </text>
    </comment>
    <comment ref="L55" authorId="7" shapeId="0" xr:uid="{2784985B-AA71-4C33-A961-208E8BF35167}">
      <text>
        <t>[Threaded comment]
Your version of Excel allows you to read this threaded comment; however, any edits to it will get removed if the file is opened in a newer version of Excel. Learn more: https://go.microsoft.com/fwlink/?linkid=870924
Comment:
    Difference in Production &amp; Packing is Waste Related</t>
      </text>
    </comment>
    <comment ref="M55" authorId="8" shapeId="0" xr:uid="{1A1FF8DB-D35C-4D49-83CB-CD6D6E368755}">
      <text>
        <t>[Threaded comment]
Your version of Excel allows you to read this threaded comment; however, any edits to it will get removed if the file is opened in a newer version of Excel. Learn more: https://go.microsoft.com/fwlink/?linkid=870924
Comment:
    272 lbs of Dough Waste &amp; 250 lbs of other waste accounts for difference between produced and packed.</t>
      </text>
    </comment>
    <comment ref="L59" authorId="9" shapeId="0" xr:uid="{8DD8CD95-35B6-4C14-A2CD-0F50F207DE16}">
      <text>
        <t>[Threaded comment]
Your version of Excel allows you to read this threaded comment; however, any edits to it will get removed if the file is opened in a newer version of Excel. Learn more: https://go.microsoft.com/fwlink/?linkid=870924
Comment:
    Estimated QTY in Freezer</t>
      </text>
    </comment>
    <comment ref="L62" authorId="10" shapeId="0" xr:uid="{06D41479-2A2A-42DC-A430-012C9254736D}">
      <text>
        <t>[Threaded comment]
Your version of Excel allows you to read this threaded comment; however, any edits to it will get removed if the file is opened in a newer version of Excel. Learn more: https://go.microsoft.com/fwlink/?linkid=870924
Comment:
    Estimated amount left over from Thursday</t>
      </text>
    </comment>
    <comment ref="M62" authorId="11" shapeId="0" xr:uid="{C484FF8D-7ADD-4849-BA50-7DB908A9AB1E}">
      <text>
        <t>[Threaded comment]
Your version of Excel allows you to read this threaded comment; however, any edits to it will get removed if the file is opened in a newer version of Excel. Learn more: https://go.microsoft.com/fwlink/?linkid=870924
Comment:
    Estimated amount left over from Thursday</t>
      </text>
    </comment>
    <comment ref="L103" authorId="12" shapeId="0" xr:uid="{FD35CA52-6920-4062-B6E9-17300FDEA152}">
      <text>
        <t>[Threaded comment]
Your version of Excel allows you to read this threaded comment; however, any edits to it will get removed if the file is opened in a newer version of Excel. Learn more: https://go.microsoft.com/fwlink/?linkid=870924
Comment:
    Going to check back through production records.  I believe the Saucy Dumplings may have not been recorded</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Sharif Ismail</author>
    <author>Maxwell Krohn</author>
    <author>tc={9C1A7D58-99B1-4082-A700-35124F2B5A6C}</author>
    <author>tc={DBD31FE4-033E-4F0E-BF58-F1E34F4EDBC9}</author>
  </authors>
  <commentList>
    <comment ref="P23" authorId="0" shapeId="0" xr:uid="{E7F7FA45-FF5A-4A55-BFC8-5AC478B6A4CC}">
      <text>
        <r>
          <rPr>
            <b/>
            <sz val="9"/>
            <color indexed="81"/>
            <rFont val="Tahoma"/>
            <family val="2"/>
          </rPr>
          <t>Sharif Ismail:</t>
        </r>
        <r>
          <rPr>
            <sz val="9"/>
            <color indexed="81"/>
            <rFont val="Tahoma"/>
            <family val="2"/>
          </rPr>
          <t xml:space="preserve">
food cost + waste</t>
        </r>
      </text>
    </comment>
    <comment ref="S131" authorId="0" shapeId="0" xr:uid="{1029053E-1C5F-4B7E-9597-9399A4CD0082}">
      <text>
        <r>
          <rPr>
            <b/>
            <sz val="9"/>
            <color indexed="81"/>
            <rFont val="Tahoma"/>
            <family val="2"/>
          </rPr>
          <t>Sharif Ismail:</t>
        </r>
        <r>
          <rPr>
            <sz val="9"/>
            <color indexed="81"/>
            <rFont val="Tahoma"/>
            <family val="2"/>
          </rPr>
          <t xml:space="preserve">
Cooler Rack, 2 SD Machines Oven, Steam Recapture, hoods, lotus machine</t>
        </r>
      </text>
    </comment>
    <comment ref="U131" authorId="0" shapeId="0" xr:uid="{75BB3C80-5A2E-4EDA-89E1-DCBA3EE71209}">
      <text>
        <r>
          <rPr>
            <b/>
            <sz val="9"/>
            <color indexed="81"/>
            <rFont val="Tahoma"/>
            <family val="2"/>
          </rPr>
          <t>Sharif Ismail:</t>
        </r>
        <r>
          <rPr>
            <sz val="9"/>
            <color indexed="81"/>
            <rFont val="Tahoma"/>
            <family val="2"/>
          </rPr>
          <t xml:space="preserve">
Remaining amount due on P4 equipment</t>
        </r>
      </text>
    </comment>
    <comment ref="S139" authorId="1" shapeId="0" xr:uid="{CEEF8F38-EA33-4CB8-816F-9BB00485FB8F}">
      <text>
        <r>
          <rPr>
            <b/>
            <sz val="9"/>
            <color indexed="81"/>
            <rFont val="Tahoma"/>
            <family val="2"/>
          </rPr>
          <t>Maxwell Krohn:</t>
        </r>
        <r>
          <rPr>
            <sz val="9"/>
            <color indexed="81"/>
            <rFont val="Tahoma"/>
            <family val="2"/>
          </rPr>
          <t xml:space="preserve">
15 yr useful life</t>
        </r>
      </text>
    </comment>
    <comment ref="B216" authorId="2" shapeId="0" xr:uid="{9C1A7D58-99B1-4082-A700-35124F2B5A6C}">
      <text>
        <t>[Threaded comment]
Your version of Excel allows you to read this threaded comment; however, any edits to it will get removed if the file is opened in a newer version of Excel. Learn more: https://go.microsoft.com/fwlink/?linkid=870924
Comment:
    This seems like “Inventory Required”? The formulas also look inconsistent… is that intentional?</t>
      </text>
    </comment>
    <comment ref="B285" authorId="3" shapeId="0" xr:uid="{DBD31FE4-033E-4F0E-BF58-F1E34F4EDBC9}">
      <text>
        <t>[Threaded comment]
Your version of Excel allows you to read this threaded comment; however, any edits to it will get removed if the file is opened in a newer version of Excel. Learn more: https://go.microsoft.com/fwlink/?linkid=870924
Comment:
    Sharif – to extent any of this is just ad hoc calc’s to get to the Contribution profit calc (now in it’s own tab), can we remove? 
Need to condense where we can to simplify</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<sst xmlns="http://schemas.openxmlformats.org/spreadsheetml/2006/main" count="850" uniqueCount="242">
  <si>
    <t>Holidays</t>
  </si>
  <si>
    <t>Date</t>
  </si>
  <si>
    <t>JBM #1</t>
  </si>
  <si>
    <t>JBM #2</t>
  </si>
  <si>
    <t>Rheon #1</t>
  </si>
  <si>
    <t>Rheon #2</t>
  </si>
  <si>
    <t>Rheon #3</t>
  </si>
  <si>
    <t>PFM #1</t>
  </si>
  <si>
    <t>PFM #2</t>
  </si>
  <si>
    <t>Adco #1</t>
  </si>
  <si>
    <t>Adco #2</t>
  </si>
  <si>
    <t>Total Waste in #'s</t>
  </si>
  <si>
    <t>Bao Produced</t>
  </si>
  <si>
    <t>Downtime Tracker in Minutes</t>
  </si>
  <si>
    <t>Item</t>
  </si>
  <si>
    <t>Chicken SD</t>
  </si>
  <si>
    <t>Pork SD</t>
  </si>
  <si>
    <t>BBQ Pork Bao</t>
  </si>
  <si>
    <t>Week</t>
  </si>
  <si>
    <t>Scrap %</t>
  </si>
  <si>
    <t>Weight / Pounds</t>
  </si>
  <si>
    <t># Individual Pieces Formed</t>
  </si>
  <si>
    <t>Bao Packed</t>
  </si>
  <si>
    <t>Dowtime Minutes</t>
  </si>
  <si>
    <t># SD Packed</t>
  </si>
  <si>
    <t># Bao Packed</t>
  </si>
  <si>
    <t>SD Waste #</t>
  </si>
  <si>
    <t>Bao Waste #</t>
  </si>
  <si>
    <t>JBM</t>
  </si>
  <si>
    <t>Rheon</t>
  </si>
  <si>
    <t>Daily Goal #</t>
  </si>
  <si>
    <t>Week #</t>
  </si>
  <si>
    <t>SD Produced</t>
  </si>
  <si>
    <t>Total</t>
  </si>
  <si>
    <t>SD Good Pounds Prod</t>
  </si>
  <si>
    <t>Attainment (v Cycle Time)</t>
  </si>
  <si>
    <t>Overall OEE</t>
  </si>
  <si>
    <t>Uptime</t>
  </si>
  <si>
    <t>SD Waste LBS</t>
  </si>
  <si>
    <t>Bao Waste LBS</t>
  </si>
  <si>
    <t>SD Packed</t>
  </si>
  <si>
    <t>Month</t>
  </si>
  <si>
    <t>SD Ramp Plan</t>
  </si>
  <si>
    <t>Bao Ramp Plan</t>
  </si>
  <si>
    <r>
      <t xml:space="preserve">Underlying Demand </t>
    </r>
    <r>
      <rPr>
        <sz val="11"/>
        <color theme="1"/>
        <rFont val="Aptos Narrow"/>
        <family val="2"/>
        <scheme val="minor"/>
      </rPr>
      <t>(in pieces)</t>
    </r>
  </si>
  <si>
    <t>CPG</t>
  </si>
  <si>
    <t>Bao</t>
  </si>
  <si>
    <t>Mini Bao</t>
  </si>
  <si>
    <t>Soup Dumplings</t>
  </si>
  <si>
    <t xml:space="preserve">Food Service </t>
  </si>
  <si>
    <t>Restaurant Operations</t>
  </si>
  <si>
    <t>Procurement Savings</t>
  </si>
  <si>
    <t>Raw Cost / Piece</t>
  </si>
  <si>
    <t>Food Service / Restaurant Operations</t>
  </si>
  <si>
    <t>Packaging Cost / Piece</t>
  </si>
  <si>
    <t>Labor Assumptions</t>
  </si>
  <si>
    <t>Headcount</t>
  </si>
  <si>
    <t>DL</t>
  </si>
  <si>
    <t>Operator 1</t>
  </si>
  <si>
    <t>Operator 2</t>
  </si>
  <si>
    <t>TBD Position</t>
  </si>
  <si>
    <t>OH</t>
  </si>
  <si>
    <t>Facilitiy Tech.</t>
  </si>
  <si>
    <t>Production Lead</t>
  </si>
  <si>
    <t>Sanitation 1</t>
  </si>
  <si>
    <t>Sanitation 2</t>
  </si>
  <si>
    <t>Warehouse Clerk</t>
  </si>
  <si>
    <t>Warehouse Associate</t>
  </si>
  <si>
    <t>QA Lead</t>
  </si>
  <si>
    <t>QA</t>
  </si>
  <si>
    <t>Maintenance</t>
  </si>
  <si>
    <t>Pay Rates</t>
  </si>
  <si>
    <t>Operational Output</t>
  </si>
  <si>
    <t>Rheon Max Output (pieces/min)</t>
  </si>
  <si>
    <t>OEE</t>
  </si>
  <si>
    <t>Rheon Count</t>
  </si>
  <si>
    <t>Hours Per Shift</t>
  </si>
  <si>
    <t>Shifts Per Day</t>
  </si>
  <si>
    <t>Ineffective Hours Per Day</t>
  </si>
  <si>
    <t>Days Per Week</t>
  </si>
  <si>
    <t>Plant Closures in Period (days)</t>
  </si>
  <si>
    <t>Monthly Production</t>
  </si>
  <si>
    <t>Weekly Production</t>
  </si>
  <si>
    <t>JBM Max Output (pieces/min)</t>
  </si>
  <si>
    <t>JBM Count</t>
  </si>
  <si>
    <t>Avg Weekly Production</t>
  </si>
  <si>
    <t>% of Demand Produced Internally</t>
  </si>
  <si>
    <t>Bao / Mini Bao</t>
  </si>
  <si>
    <t>Labor Costs</t>
  </si>
  <si>
    <t>Direct Hourly Labor</t>
  </si>
  <si>
    <t>Overhead Hourly Labor</t>
  </si>
  <si>
    <t>Taxes/Benefits</t>
  </si>
  <si>
    <t>Management Labor Expense</t>
  </si>
  <si>
    <t>Other Plant Overhead</t>
  </si>
  <si>
    <t>Lease</t>
  </si>
  <si>
    <t>Utilities</t>
  </si>
  <si>
    <t>Travel</t>
  </si>
  <si>
    <t>Others (insurance, maintenance,etc.)</t>
  </si>
  <si>
    <t>Start Up Expenses</t>
  </si>
  <si>
    <t>92001 - Start Up Expense Forest City Travel and Meals</t>
  </si>
  <si>
    <t>92002 - Start Up Expense Forest City Professional Services</t>
  </si>
  <si>
    <t>92003 - Start Up Expense Forest City R&amp;D</t>
  </si>
  <si>
    <t>92004 - Start Up Expense Forest City Payroll</t>
  </si>
  <si>
    <t>92005 - Start Up Expense Forest City Supplies</t>
  </si>
  <si>
    <t>Ramp up costs</t>
  </si>
  <si>
    <t>CapEx</t>
  </si>
  <si>
    <t>Steamer</t>
  </si>
  <si>
    <t>Maintenance CapEx</t>
  </si>
  <si>
    <t>Efficiency CapEx</t>
  </si>
  <si>
    <t>Balance Payment</t>
  </si>
  <si>
    <t>Deposits</t>
  </si>
  <si>
    <t>Total CapEx</t>
  </si>
  <si>
    <t>Depreciation</t>
  </si>
  <si>
    <t>Maintenance Depreciation</t>
  </si>
  <si>
    <t>Accumulated Depreciation</t>
  </si>
  <si>
    <t>Pieces Produced</t>
  </si>
  <si>
    <t>CPG - Bao</t>
  </si>
  <si>
    <t>CPG - Mini Bao</t>
  </si>
  <si>
    <t>CPG - Soup Dumplings</t>
  </si>
  <si>
    <t>FS/RO - Bao</t>
  </si>
  <si>
    <t>FS/RO - Mini Bao</t>
  </si>
  <si>
    <t>FS/RO - Soup Dumplings</t>
  </si>
  <si>
    <t>L/OH</t>
  </si>
  <si>
    <t>Labor/OH to be Allocated</t>
  </si>
  <si>
    <t xml:space="preserve">Efficiency from CapEx </t>
  </si>
  <si>
    <t>COGS</t>
  </si>
  <si>
    <t>% of Demand Produced</t>
  </si>
  <si>
    <t>EM COGS</t>
  </si>
  <si>
    <t>Blended COGS</t>
  </si>
  <si>
    <t>Plant Inventory</t>
  </si>
  <si>
    <t>Produced</t>
  </si>
  <si>
    <t>Sold Out</t>
  </si>
  <si>
    <t>Remaining</t>
  </si>
  <si>
    <t>$ Inventory FG Remaining</t>
  </si>
  <si>
    <t>Food Inventory</t>
  </si>
  <si>
    <t>Pack Inventory</t>
  </si>
  <si>
    <t>Lost efficency Costs</t>
  </si>
  <si>
    <t>Current COGS</t>
  </si>
  <si>
    <t>Efficient COGS</t>
  </si>
  <si>
    <t xml:space="preserve"> Amount </t>
  </si>
  <si>
    <t>Cost</t>
  </si>
  <si>
    <t>Cost per case</t>
  </si>
  <si>
    <t>Cost per Box</t>
  </si>
  <si>
    <t>Cost per Bao</t>
  </si>
  <si>
    <t>Plant COGS</t>
  </si>
  <si>
    <t>Vendor COGS</t>
  </si>
  <si>
    <t>Underlying Demand (Pieces)</t>
  </si>
  <si>
    <t>Produced Internally</t>
  </si>
  <si>
    <t>COGS Savings</t>
  </si>
  <si>
    <t>Revenue</t>
  </si>
  <si>
    <t>Bao - 4 Pack</t>
  </si>
  <si>
    <t>Potstickers</t>
  </si>
  <si>
    <t>Innov (2027)</t>
  </si>
  <si>
    <t>Innov (2028)</t>
  </si>
  <si>
    <t>Bao - Cstore</t>
  </si>
  <si>
    <t>Club</t>
  </si>
  <si>
    <t>Gross Profit</t>
  </si>
  <si>
    <t>P3</t>
  </si>
  <si>
    <t>P4</t>
  </si>
  <si>
    <t>P5</t>
  </si>
  <si>
    <t>P6</t>
  </si>
  <si>
    <t>Bao Good Pounds Prod</t>
  </si>
  <si>
    <t>BBQ Pork Bao FS</t>
  </si>
  <si>
    <t>BBQ Pork Bao 4-Pack</t>
  </si>
  <si>
    <t>FG OH (End Week)</t>
  </si>
  <si>
    <t>Left to Pack (EOW)</t>
  </si>
  <si>
    <t>Running Unpacked SD</t>
  </si>
  <si>
    <t>Running Unpacked Bao</t>
  </si>
  <si>
    <t>DL Per Soup Dumpling</t>
  </si>
  <si>
    <t xml:space="preserve"> SD Packed</t>
  </si>
  <si>
    <t>Chili Crisp SD</t>
  </si>
  <si>
    <t>Teriyaki Chicken Bao 4-Pack</t>
  </si>
  <si>
    <t>Eaches Packed</t>
  </si>
  <si>
    <t>P7</t>
  </si>
  <si>
    <t>Saucy Chicken SD</t>
  </si>
  <si>
    <t>JBM PPM</t>
  </si>
  <si>
    <t>RHEON PPM</t>
  </si>
  <si>
    <t>STD</t>
  </si>
  <si>
    <t>SD</t>
  </si>
  <si>
    <t>Period</t>
  </si>
  <si>
    <t>Cases</t>
  </si>
  <si>
    <t>Pieces</t>
  </si>
  <si>
    <t xml:space="preserve"> </t>
  </si>
  <si>
    <t>P8</t>
  </si>
  <si>
    <t>BBQ Pork Bao 2-Pack</t>
  </si>
  <si>
    <t>New SD Plant Plan</t>
  </si>
  <si>
    <t>New Bao Plant Plan</t>
  </si>
  <si>
    <t>BAO</t>
  </si>
  <si>
    <t>RAMP PLAN</t>
  </si>
  <si>
    <t>PRODUCED</t>
  </si>
  <si>
    <t>ESTIMATED PRODUCTION</t>
  </si>
  <si>
    <t>RUNNING TOTAL RAMP</t>
  </si>
  <si>
    <t>RUNNING TOTAL PLANT</t>
  </si>
  <si>
    <t>VARIANCE</t>
  </si>
  <si>
    <t>Cost per Piece| Ramp</t>
  </si>
  <si>
    <t>Extended</t>
  </si>
  <si>
    <t>Cost per Piece| Produced</t>
  </si>
  <si>
    <t>Variance</t>
  </si>
  <si>
    <t>Sale Price per Piece</t>
  </si>
  <si>
    <t>Margin % Actual</t>
  </si>
  <si>
    <t>Margin % Ramp</t>
  </si>
  <si>
    <t>Sales| Ramp</t>
  </si>
  <si>
    <t>Sales | Actual</t>
  </si>
  <si>
    <t>Gross Profit | Piece</t>
  </si>
  <si>
    <t>Gross Profit | Extended</t>
  </si>
  <si>
    <t>X</t>
  </si>
  <si>
    <t>3 RHOEONS @ 25,OOO PER DAY</t>
  </si>
  <si>
    <t>Sept 18 begin 5th day</t>
  </si>
  <si>
    <t>SOUP DUMPLINGS</t>
  </si>
  <si>
    <t>STEAMER INSTALL</t>
  </si>
  <si>
    <t>JBM 3</t>
  </si>
  <si>
    <t>5th DAY</t>
  </si>
  <si>
    <t>JBM 4</t>
  </si>
  <si>
    <t xml:space="preserve">Sept 1 JBM 3 </t>
  </si>
  <si>
    <t>Nov 4th machine</t>
  </si>
  <si>
    <t>Fri SD additional sales</t>
  </si>
  <si>
    <t>Fri SD 4th machine add'tl sales</t>
  </si>
  <si>
    <t>P9</t>
  </si>
  <si>
    <t>P10</t>
  </si>
  <si>
    <t>P11</t>
  </si>
  <si>
    <t>P12</t>
  </si>
  <si>
    <t>FY 2026</t>
  </si>
  <si>
    <t>JBM #3</t>
  </si>
  <si>
    <t>Pieces SD</t>
  </si>
  <si>
    <t>Pieces Bao</t>
  </si>
  <si>
    <t>Total Pieces Packed</t>
  </si>
  <si>
    <t>Honey Chicken Mini Bao</t>
  </si>
  <si>
    <t>Chili Crisp Mini Bao</t>
  </si>
  <si>
    <t>Total OH</t>
  </si>
  <si>
    <t>Waste Pcs Production</t>
  </si>
  <si>
    <t>Waste Pcs Packing</t>
  </si>
  <si>
    <t>Produced v Ramp Plan</t>
  </si>
  <si>
    <t>Packed v Ramp Plan</t>
  </si>
  <si>
    <t>Produced v New Plant Plan</t>
  </si>
  <si>
    <t>Packed v New Plant Plan</t>
  </si>
  <si>
    <t>SD %</t>
  </si>
  <si>
    <t>Bao %</t>
  </si>
  <si>
    <t>Waste % (v Produced)</t>
  </si>
  <si>
    <t>SD To Pack</t>
  </si>
  <si>
    <t>Bao To Pack</t>
  </si>
  <si>
    <t>SD Backlog</t>
  </si>
  <si>
    <t>Bao Backlog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</si>
</sst>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_(&quot;$&quot;* \(#,##0.00\);_(&quot;$&quot;* &quot;-&quot;??_);_(@_)"/>
    <numFmt numFmtId="43" formatCode="_(* #,##0.00_);_(* \(#,##0.00\);_(* &quot;-&quot;??_);_(@_)"/>
    <numFmt numFmtId="164" formatCode="_(* #,##0_);_(* \(#,##0\);_(* &quot;-&quot;??_);_(@_)"/>
    <numFmt numFmtId="165" formatCode="_(* #,##0.0000_);_(* \(#,##0.0000\);_(* &quot;-&quot;??_);_(@_)"/>
    <numFmt numFmtId="166" formatCode="&quot;FY&quot;00"/>
    <numFmt numFmtId="167" formatCode="&quot;P&quot;00"/>
    <numFmt numFmtId="168" formatCode="#,##0.0%_);\(#,##0.0%\)"/>
    <numFmt numFmtId="169" formatCode="#,##0.0_);\(#,##0.0\)"/>
    <numFmt numFmtId="170" formatCode="0.0%"/>
    <numFmt numFmtId="171" formatCode="_(&quot;$&quot;* #,##0.000_);_(&quot;$&quot;* \(#,##0.000\);_(&quot;$&quot;* &quot;-&quot;??_);_(@_)"/>
    <numFmt numFmtId="172" formatCode="_(* #,##0.00000_);_(* \(#,##0.00000\);_(* &quot;-&quot;??_);_(@_)"/>
    <numFmt numFmtId="173" formatCode="_(&quot;$&quot;* #,##0_);_(&quot;$&quot;* \(#,##0\);_(&quot;$&quot;* &quot;-&quot;??_);_(@_)"/>
  </numFmts>
  <fonts count="23"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rial"/>
      <family val="2"/>
    </font>
    <font>
      <b/>
      <sz val="11"/>
      <color theme="0"/>
      <name val="Aptos Narrow"/>
      <family val="2"/>
      <scheme val="minor"/>
    </font>
    <font>
      <sz val="9"/>
      <color indexed="81"/>
      <name val="Tahoma"/>
      <family val="2"/>
    </font>
    <font>
      <sz val="8"/>
      <name val="Aptos Narrow"/>
      <family val="2"/>
      <scheme val="minor"/>
    </font>
    <font>
      <i/>
      <sz val="11"/>
      <color theme="1"/>
      <name val="Aptos Narrow"/>
      <family val="2"/>
      <scheme val="minor"/>
    </font>
    <font>
      <i/>
      <sz val="11"/>
      <color rgb="FF0042E9"/>
      <name val="Aptos Narrow"/>
      <family val="2"/>
      <scheme val="minor"/>
    </font>
    <font>
      <sz val="11"/>
      <color rgb="FF0042E9"/>
      <name val="Aptos Narrow"/>
      <family val="2"/>
      <scheme val="minor"/>
    </font>
    <font>
      <sz val="11"/>
      <name val="Aptos Narrow"/>
      <family val="2"/>
      <scheme val="minor"/>
    </font>
    <font>
      <sz val="10"/>
      <color rgb="FF0042E9"/>
      <name val="Aptos Narrow"/>
      <family val="2"/>
      <scheme val="minor"/>
    </font>
    <font>
      <b/>
      <sz val="9"/>
      <color indexed="81"/>
      <name val="Tahoma"/>
      <family val="2"/>
    </font>
    <font>
      <sz val="11"/>
      <color rgb="FFFF0000"/>
      <name val="Aptos Narrow"/>
      <family val="2"/>
      <scheme val="minor"/>
    </font>
    <font>
      <i/>
      <sz val="8"/>
      <color rgb="FFFF0000"/>
      <name val="Aptos Narrow"/>
      <family val="2"/>
      <scheme val="minor"/>
    </font>
    <font>
      <b/>
      <sz val="16"/>
      <color theme="1"/>
      <name val="Aptos Narrow"/>
      <family val="2"/>
      <scheme val="minor"/>
    </font>
    <font>
      <b/>
      <sz val="11"/>
      <color theme="1"/>
      <name val="Arial"/>
      <family val="2"/>
    </font>
    <font>
      <b/>
      <sz val="12"/>
      <color theme="1"/>
      <name val="Aptos Narrow"/>
      <family val="2"/>
      <scheme val="minor"/>
    </font>
    <font>
      <b/>
      <sz val="12"/>
      <color rgb="FFFF0000"/>
      <name val="Aptos Narrow"/>
      <family val="2"/>
      <scheme val="minor"/>
    </font>
    <font>
      <sz val="12"/>
      <color rgb="FF000000"/>
      <name val="Aptos Narrow"/>
      <family val="2"/>
      <scheme val="minor"/>
    </font>
    <font>
      <sz val="12"/>
      <name val="Aptos Narrow"/>
      <family val="2"/>
      <scheme val="minor"/>
    </font>
    <font>
      <sz val="12"/>
      <color rgb="FFFF0000"/>
      <name val="Aptos Narrow"/>
      <family val="2"/>
      <scheme val="minor"/>
    </font>
    <font>
      <b/>
      <sz val="12"/>
      <name val="Aptos Narrow"/>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rgb="FFE63E30"/>
        <bgColor indexed="64"/>
      </patternFill>
    </fill>
    <fill>
      <patternFill patternType="solid">
        <fgColor theme="0" tint="-0.14996795556505021"/>
        <bgColor indexed="64"/>
      </patternFill>
    </fill>
    <fill>
      <patternFill patternType="solid">
        <fgColor rgb="FFFFFFCC"/>
        <bgColor indexed="64"/>
      </patternFill>
    </fill>
    <fill>
      <patternFill patternType="solid">
        <fgColor rgb="FFFFC000"/>
        <bgColor indexed="64"/>
      </patternFill>
    </fill>
    <fill>
      <patternFill patternType="solid">
        <fgColor theme="7"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27">
    <xf numFmtId="0" fontId="0" fillId="0" borderId="0" xfId="0"/>
    <xf numFmtId="16" fontId="0" fillId="0" borderId="0" xfId="0" applyNumberFormat="1"/>
    <xf numFmtId="14" fontId="0" fillId="0" borderId="0" xfId="0" applyNumberFormat="1"/>
    <xf numFmtId="0" fontId="2" fillId="0" borderId="0" xfId="0" applyFont="1"/>
    <xf numFmtId="14" fontId="0" fillId="3" borderId="1" xfId="0" applyNumberFormat="1" applyFill="1" applyBorder="1" applyAlignment="1">
      <alignment horizontal="left"/>
    </xf>
    <xf numFmtId="0" fontId="0" fillId="3" borderId="1" xfId="0" applyFill="1" applyBorder="1" applyAlignment="1">
      <alignment horizontal="left"/>
    </xf>
    <xf numFmtId="0" fontId="0" fillId="0" borderId="1" xfId="0" applyBorder="1" applyAlignment="1">
      <alignment horizontal="center"/>
    </xf>
    <xf numFmtId="0" fontId="0" fillId="4" borderId="1" xfId="0" applyFill="1" applyBorder="1"/>
    <xf numFmtId="0" fontId="0" fillId="4" borderId="1" xfId="0" applyFill="1" applyBorder="1" applyAlignment="1">
      <alignment horizontal="right"/>
    </xf>
    <xf numFmtId="0" fontId="0" fillId="5" borderId="1" xfId="0" applyFill="1" applyBorder="1" applyAlignment="1">
      <alignment horizontal="right"/>
    </xf>
    <xf numFmtId="0" fontId="2" fillId="0" borderId="1" xfId="0" applyFont="1" applyBorder="1" applyAlignment="1">
      <alignment horizontal="center"/>
    </xf>
    <xf numFmtId="164" fontId="0" fillId="0" borderId="0" xfId="1" applyNumberFormat="1" applyFont="1"/>
    <xf numFmtId="0" fontId="2" fillId="0" borderId="0" xfId="0" applyFont="1" applyAlignment="1">
      <alignment horizontal="center"/>
    </xf>
    <xf numFmtId="10" fontId="0" fillId="0" borderId="0" xfId="2" applyNumberFormat="1" applyFont="1"/>
    <xf numFmtId="164" fontId="0" fillId="4" borderId="1" xfId="1" applyNumberFormat="1" applyFont="1" applyFill="1" applyBorder="1"/>
    <xf numFmtId="164" fontId="0" fillId="5" borderId="1" xfId="1" applyNumberFormat="1" applyFont="1" applyFill="1" applyBorder="1" applyAlignment="1">
      <alignment horizontal="right"/>
    </xf>
    <xf numFmtId="164" fontId="0" fillId="4" borderId="1" xfId="1" applyNumberFormat="1" applyFont="1" applyFill="1" applyBorder="1" applyAlignment="1">
      <alignment horizontal="right"/>
    </xf>
    <xf numFmtId="164" fontId="2" fillId="0" borderId="0" xfId="1" applyNumberFormat="1" applyFont="1"/>
    <xf numFmtId="165" fontId="0" fillId="0" borderId="0" xfId="1" applyNumberFormat="1" applyFont="1"/>
    <xf numFmtId="0" fontId="3" fillId="0" borderId="0" xfId="0" applyFont="1" applyAlignment="1">
      <alignment horizontal="center"/>
    </xf>
    <xf numFmtId="164" fontId="0" fillId="0" borderId="0" xfId="1" applyNumberFormat="1" applyFont="1" applyFill="1" applyBorder="1" applyAlignment="1">
      <alignment horizontal="right"/>
    </xf>
    <xf numFmtId="0" fontId="0" fillId="0" borderId="0" xfId="0" applyAlignment="1">
      <alignment horizontal="right"/>
    </xf>
    <xf numFmtId="0" fontId="2" fillId="0" borderId="2" xfId="0" applyFont="1" applyBorder="1" applyAlignment="1">
      <alignment horizontal="center"/>
    </xf>
    <xf numFmtId="0" fontId="3" fillId="2" borderId="3" xfId="0" applyFont="1" applyFill="1" applyBorder="1" applyAlignment="1">
      <alignment horizontal="center" wrapText="1"/>
    </xf>
    <xf numFmtId="0" fontId="2" fillId="3" borderId="4" xfId="0" applyFont="1" applyFill="1" applyBorder="1"/>
    <xf numFmtId="164" fontId="0" fillId="3" borderId="5" xfId="1" applyNumberFormat="1" applyFont="1" applyFill="1" applyBorder="1"/>
    <xf numFmtId="0" fontId="2" fillId="5" borderId="6" xfId="0" applyFont="1" applyFill="1" applyBorder="1"/>
    <xf numFmtId="164" fontId="0" fillId="5" borderId="0" xfId="0" applyNumberFormat="1" applyFill="1"/>
    <xf numFmtId="0" fontId="0" fillId="5" borderId="0" xfId="0" applyFill="1"/>
    <xf numFmtId="0" fontId="2" fillId="4" borderId="6" xfId="0" applyFont="1" applyFill="1" applyBorder="1"/>
    <xf numFmtId="0" fontId="0" fillId="4" borderId="0" xfId="0" applyFill="1"/>
    <xf numFmtId="0" fontId="2" fillId="0" borderId="6" xfId="0" applyFont="1" applyBorder="1"/>
    <xf numFmtId="166" fontId="4" fillId="7" borderId="0" xfId="0" applyNumberFormat="1" applyFont="1" applyFill="1" applyAlignment="1">
      <alignment horizontal="centerContinuous" vertical="top" wrapText="1" readingOrder="1"/>
    </xf>
    <xf numFmtId="167" fontId="4" fillId="7" borderId="0" xfId="0" applyNumberFormat="1" applyFont="1" applyFill="1" applyAlignment="1">
      <alignment horizontal="centerContinuous" vertical="top" wrapText="1" readingOrder="1"/>
    </xf>
    <xf numFmtId="0" fontId="7" fillId="8" borderId="0" xfId="0" applyFont="1" applyFill="1" applyAlignment="1">
      <alignment horizontal="left" indent="3"/>
    </xf>
    <xf numFmtId="37" fontId="0" fillId="0" borderId="0" xfId="0" applyNumberFormat="1"/>
    <xf numFmtId="37" fontId="0" fillId="9" borderId="0" xfId="0" applyNumberFormat="1" applyFill="1"/>
    <xf numFmtId="168" fontId="8" fillId="8" borderId="0" xfId="0" applyNumberFormat="1" applyFont="1" applyFill="1" applyAlignment="1">
      <alignment horizontal="left" indent="3"/>
    </xf>
    <xf numFmtId="39" fontId="9" fillId="9" borderId="0" xfId="0" applyNumberFormat="1" applyFont="1" applyFill="1"/>
    <xf numFmtId="39" fontId="9" fillId="0" borderId="0" xfId="0" applyNumberFormat="1" applyFont="1"/>
    <xf numFmtId="39" fontId="0" fillId="0" borderId="0" xfId="0" applyNumberFormat="1"/>
    <xf numFmtId="0" fontId="0" fillId="9" borderId="0" xfId="0" applyFill="1"/>
    <xf numFmtId="0" fontId="9" fillId="0" borderId="0" xfId="0" applyFont="1"/>
    <xf numFmtId="37" fontId="9" fillId="0" borderId="0" xfId="0" applyNumberFormat="1" applyFont="1"/>
    <xf numFmtId="37" fontId="9" fillId="9" borderId="0" xfId="0" applyNumberFormat="1" applyFont="1" applyFill="1"/>
    <xf numFmtId="168" fontId="9" fillId="9" borderId="0" xfId="0" applyNumberFormat="1" applyFont="1" applyFill="1"/>
    <xf numFmtId="37" fontId="10" fillId="0" borderId="0" xfId="0" applyNumberFormat="1" applyFont="1"/>
    <xf numFmtId="169" fontId="9" fillId="0" borderId="0" xfId="0" applyNumberFormat="1" applyFont="1"/>
    <xf numFmtId="169" fontId="0" fillId="0" borderId="0" xfId="0" applyNumberFormat="1"/>
    <xf numFmtId="168" fontId="0" fillId="0" borderId="0" xfId="0" applyNumberFormat="1"/>
    <xf numFmtId="37" fontId="2" fillId="0" borderId="0" xfId="0" applyNumberFormat="1" applyFont="1"/>
    <xf numFmtId="0" fontId="0" fillId="8" borderId="0" xfId="0" applyFill="1"/>
    <xf numFmtId="37" fontId="0" fillId="8" borderId="0" xfId="0" applyNumberFormat="1" applyFill="1"/>
    <xf numFmtId="9" fontId="9" fillId="9" borderId="0" xfId="0" applyNumberFormat="1" applyFont="1" applyFill="1"/>
    <xf numFmtId="37" fontId="11" fillId="9" borderId="0" xfId="0" applyNumberFormat="1" applyFont="1" applyFill="1"/>
    <xf numFmtId="170" fontId="0" fillId="0" borderId="0" xfId="0" applyNumberFormat="1"/>
    <xf numFmtId="39" fontId="0" fillId="9" borderId="0" xfId="0" applyNumberFormat="1" applyFill="1"/>
    <xf numFmtId="4" fontId="0" fillId="0" borderId="0" xfId="0" applyNumberFormat="1"/>
    <xf numFmtId="9" fontId="0" fillId="0" borderId="0" xfId="2" applyFont="1"/>
    <xf numFmtId="2" fontId="0" fillId="0" borderId="0" xfId="0" applyNumberFormat="1"/>
    <xf numFmtId="0" fontId="0" fillId="10" borderId="0" xfId="0" applyFill="1"/>
    <xf numFmtId="44" fontId="0" fillId="0" borderId="0" xfId="3" applyFont="1"/>
    <xf numFmtId="44" fontId="0" fillId="0" borderId="0" xfId="0" applyNumberFormat="1"/>
    <xf numFmtId="0" fontId="8" fillId="9" borderId="0" xfId="0" applyFont="1" applyFill="1" applyAlignment="1">
      <alignment horizontal="centerContinuous" vertical="top" wrapText="1" readingOrder="1"/>
    </xf>
    <xf numFmtId="44" fontId="2" fillId="0" borderId="0" xfId="0" applyNumberFormat="1" applyFont="1"/>
    <xf numFmtId="0" fontId="3" fillId="0" borderId="3" xfId="0" applyFont="1" applyBorder="1" applyAlignment="1">
      <alignment horizontal="center" wrapText="1"/>
    </xf>
    <xf numFmtId="164" fontId="0" fillId="0" borderId="1" xfId="1" applyNumberFormat="1" applyFont="1" applyFill="1" applyBorder="1"/>
    <xf numFmtId="0" fontId="0" fillId="0" borderId="1" xfId="0" applyBorder="1"/>
    <xf numFmtId="164" fontId="0" fillId="0" borderId="0" xfId="1" applyNumberFormat="1" applyFont="1" applyFill="1" applyAlignment="1">
      <alignment wrapText="1"/>
    </xf>
    <xf numFmtId="0" fontId="0" fillId="0" borderId="0" xfId="0" applyAlignment="1">
      <alignment wrapText="1"/>
    </xf>
    <xf numFmtId="164" fontId="0" fillId="11" borderId="0" xfId="1" applyNumberFormat="1" applyFont="1" applyFill="1" applyBorder="1"/>
    <xf numFmtId="171" fontId="2" fillId="5" borderId="0" xfId="3" applyNumberFormat="1" applyFont="1" applyFill="1"/>
    <xf numFmtId="171" fontId="0" fillId="5" borderId="0" xfId="3" applyNumberFormat="1" applyFont="1" applyFill="1"/>
    <xf numFmtId="164" fontId="0" fillId="6" borderId="0" xfId="1" applyNumberFormat="1" applyFont="1" applyFill="1" applyAlignment="1">
      <alignment wrapText="1"/>
    </xf>
    <xf numFmtId="3" fontId="0" fillId="0" borderId="0" xfId="0" applyNumberFormat="1"/>
    <xf numFmtId="172" fontId="0" fillId="0" borderId="0" xfId="0" applyNumberFormat="1"/>
    <xf numFmtId="0" fontId="13" fillId="0" borderId="0" xfId="0" applyFont="1"/>
    <xf numFmtId="0" fontId="14" fillId="0" borderId="0" xfId="0" applyFont="1" applyAlignment="1">
      <alignment horizontal="centerContinuous" vertical="top" wrapText="1" readingOrder="1"/>
    </xf>
    <xf numFmtId="43" fontId="0" fillId="0" borderId="0" xfId="0" applyNumberFormat="1"/>
    <xf numFmtId="170" fontId="0" fillId="0" borderId="0" xfId="2" applyNumberFormat="1" applyFont="1"/>
    <xf numFmtId="0" fontId="3" fillId="0" borderId="0" xfId="0" applyFont="1" applyAlignment="1">
      <alignment horizontal="center" wrapText="1"/>
    </xf>
    <xf numFmtId="0" fontId="3" fillId="0" borderId="9" xfId="0" applyFont="1" applyBorder="1" applyAlignment="1">
      <alignment horizontal="center" wrapText="1"/>
    </xf>
    <xf numFmtId="164" fontId="15" fillId="0" borderId="0" xfId="0" applyNumberFormat="1" applyFont="1" applyAlignment="1">
      <alignment horizontal="center"/>
    </xf>
    <xf numFmtId="164" fontId="0" fillId="0" borderId="0" xfId="0" applyNumberFormat="1"/>
    <xf numFmtId="0" fontId="16" fillId="0" borderId="9" xfId="0" applyFont="1" applyBorder="1" applyAlignment="1">
      <alignment horizontal="center" wrapText="1"/>
    </xf>
    <xf numFmtId="164" fontId="3" fillId="0" borderId="0" xfId="1" applyNumberFormat="1" applyFont="1" applyAlignment="1">
      <alignment horizontal="center" wrapText="1"/>
    </xf>
    <xf numFmtId="0" fontId="17" fillId="0" borderId="0" xfId="0" applyFont="1" applyAlignment="1">
      <alignment horizontal="center" vertical="center"/>
    </xf>
    <xf numFmtId="164" fontId="0" fillId="0" borderId="0" xfId="1" applyNumberFormat="1" applyFont="1" applyAlignment="1">
      <alignment horizontal="center" vertical="center"/>
    </xf>
    <xf numFmtId="164" fontId="0" fillId="0" borderId="0" xfId="1" applyNumberFormat="1" applyFont="1" applyAlignment="1">
      <alignment horizontal="center" vertical="center" wrapText="1"/>
    </xf>
    <xf numFmtId="164" fontId="18" fillId="0" borderId="0" xfId="1" applyNumberFormat="1"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44" fontId="0" fillId="0" borderId="0" xfId="3" applyFont="1" applyAlignment="1">
      <alignment horizontal="center" vertical="center" wrapText="1"/>
    </xf>
    <xf numFmtId="164" fontId="0" fillId="0" borderId="0" xfId="1" applyNumberFormat="1" applyFont="1" applyAlignment="1">
      <alignment horizontal="center"/>
    </xf>
    <xf numFmtId="44" fontId="0" fillId="0" borderId="0" xfId="3" applyFont="1" applyFill="1"/>
    <xf numFmtId="173" fontId="0" fillId="0" borderId="0" xfId="3" applyNumberFormat="1" applyFont="1"/>
    <xf numFmtId="164" fontId="0" fillId="0" borderId="0" xfId="1" applyNumberFormat="1" applyFont="1" applyAlignment="1">
      <alignment vertical="center" wrapText="1"/>
    </xf>
    <xf numFmtId="164" fontId="19" fillId="0" borderId="0" xfId="0" applyNumberFormat="1" applyFont="1"/>
    <xf numFmtId="173" fontId="0" fillId="0" borderId="0" xfId="0" applyNumberFormat="1"/>
    <xf numFmtId="44" fontId="20" fillId="0" borderId="0" xfId="3" applyFont="1"/>
    <xf numFmtId="173" fontId="21" fillId="0" borderId="0" xfId="0" applyNumberFormat="1" applyFont="1"/>
    <xf numFmtId="164" fontId="0" fillId="0" borderId="0" xfId="1" applyNumberFormat="1" applyFont="1" applyBorder="1"/>
    <xf numFmtId="0" fontId="18" fillId="0" borderId="0" xfId="0" applyFont="1"/>
    <xf numFmtId="0" fontId="17" fillId="0" borderId="0" xfId="0" applyFont="1" applyAlignment="1">
      <alignment horizontal="center" vertical="center" wrapText="1"/>
    </xf>
    <xf numFmtId="173" fontId="22" fillId="0" borderId="0" xfId="0" applyNumberFormat="1" applyFont="1"/>
    <xf numFmtId="44" fontId="18" fillId="0" borderId="0" xfId="0" applyNumberFormat="1" applyFont="1"/>
    <xf numFmtId="164" fontId="0" fillId="0" borderId="0" xfId="1" applyNumberFormat="1" applyFont="1" applyFill="1" applyBorder="1"/>
    <xf numFmtId="164" fontId="0" fillId="4" borderId="0" xfId="1" applyNumberFormat="1" applyFont="1" applyFill="1" applyBorder="1"/>
    <xf numFmtId="0" fontId="2" fillId="4" borderId="7" xfId="0" applyFont="1" applyFill="1" applyBorder="1"/>
    <xf numFmtId="164" fontId="0" fillId="4" borderId="8" xfId="1" applyNumberFormat="1" applyFont="1" applyFill="1" applyBorder="1"/>
    <xf numFmtId="0" fontId="0" fillId="4" borderId="8" xfId="0" applyFill="1" applyBorder="1"/>
    <xf numFmtId="164" fontId="0" fillId="5" borderId="0" xfId="1" applyNumberFormat="1" applyFont="1" applyFill="1"/>
    <xf numFmtId="0" fontId="2" fillId="11" borderId="4" xfId="0" applyFont="1" applyFill="1" applyBorder="1"/>
    <xf numFmtId="164" fontId="0" fillId="11" borderId="5" xfId="1" applyNumberFormat="1" applyFont="1" applyFill="1" applyBorder="1"/>
    <xf numFmtId="0" fontId="0" fillId="11" borderId="5" xfId="0" applyFill="1" applyBorder="1"/>
    <xf numFmtId="0" fontId="2" fillId="11" borderId="6" xfId="0" applyFont="1" applyFill="1" applyBorder="1"/>
    <xf numFmtId="0" fontId="0" fillId="11" borderId="0" xfId="0" applyFill="1"/>
    <xf numFmtId="170" fontId="7" fillId="0" borderId="0" xfId="2" applyNumberFormat="1" applyFont="1" applyBorder="1"/>
    <xf numFmtId="164" fontId="0" fillId="6" borderId="0" xfId="1" applyNumberFormat="1" applyFont="1" applyFill="1"/>
    <xf numFmtId="164" fontId="0" fillId="11" borderId="5" xfId="0" applyNumberFormat="1" applyFill="1" applyBorder="1"/>
    <xf numFmtId="164" fontId="0" fillId="4" borderId="0" xfId="1" applyNumberFormat="1" applyFont="1" applyFill="1"/>
    <xf numFmtId="170" fontId="7" fillId="0" borderId="0" xfId="2" applyNumberFormat="1" applyFont="1"/>
    <xf numFmtId="164" fontId="0" fillId="4" borderId="0" xfId="0" applyNumberFormat="1" applyFill="1"/>
    <xf numFmtId="0" fontId="2" fillId="0" borderId="1" xfId="0" applyFont="1" applyBorder="1" applyAlignment="1">
      <alignment horizontal="center"/>
    </xf>
    <xf numFmtId="164" fontId="2" fillId="0" borderId="1" xfId="1" applyNumberFormat="1" applyFont="1" applyBorder="1" applyAlignment="1">
      <alignment horizontal="center"/>
    </xf>
    <xf numFmtId="0" fontId="2" fillId="0" borderId="0" xfId="0" applyFont="1" applyAlignment="1">
      <alignment horizontal="center"/>
    </xf>
    <xf numFmtId="164" fontId="0" fillId="0" borderId="0" xfId="1" applyNumberFormat="1" applyFont="1" applyAlignment="1">
      <alignment horizontal="center" vertical="center" wrapText="1"/>
    </xf>
  </cellXfs>
  <cellStyles count="4">
    <cellStyle name="Comma" xfId="1" builtinId="3"/>
    <cellStyle name="Currency" xfId="3" builtinId="4"/>
    <cellStyle name="Normal" xfId="0" builtinId="0"/>
    <cellStyle name="Percent" xfId="2" builtinId="5"/>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wbao-my.sharepoint.com/personal/mcoan_wowbao_com/Documents/Forest%20City%20Updated%20Plan.xlsx" TargetMode="External"/><Relationship Id="rId1" Type="http://schemas.openxmlformats.org/officeDocument/2006/relationships/externalLinkPath" Target="Forest%20City%20Updated%20Pl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ily Performance"/>
      <sheetName val="Overview"/>
      <sheetName val="SUMMARY"/>
      <sheetName val="Ramp Plan"/>
      <sheetName val="Sold"/>
      <sheetName val="Inventory 0626"/>
      <sheetName val="Soup Dumplings"/>
      <sheetName val="Bao"/>
      <sheetName val="CapEx"/>
      <sheetName val="SD2"/>
      <sheetName val="Bao2"/>
      <sheetName val="Rolls"/>
    </sheetNames>
    <sheetDataSet>
      <sheetData sheetId="0"/>
      <sheetData sheetId="1"/>
      <sheetData sheetId="2"/>
      <sheetData sheetId="3">
        <row r="82">
          <cell r="S82">
            <v>237600</v>
          </cell>
          <cell r="T82">
            <v>415800</v>
          </cell>
          <cell r="U82">
            <v>1029600</v>
          </cell>
          <cell r="V82">
            <v>1833975</v>
          </cell>
          <cell r="W82">
            <v>1853280</v>
          </cell>
          <cell r="X82">
            <v>1737450</v>
          </cell>
          <cell r="Y82">
            <v>2673000</v>
          </cell>
          <cell r="Z82">
            <v>2289047.610567553</v>
          </cell>
          <cell r="AA82">
            <v>2289047.610567553</v>
          </cell>
        </row>
        <row r="94">
          <cell r="S94">
            <v>230400</v>
          </cell>
          <cell r="T94">
            <v>576000</v>
          </cell>
          <cell r="U94">
            <v>1152000</v>
          </cell>
          <cell r="V94">
            <v>1658880</v>
          </cell>
          <cell r="W94">
            <v>1728000</v>
          </cell>
          <cell r="X94">
            <v>1969920</v>
          </cell>
          <cell r="Y94">
            <v>2592000</v>
          </cell>
          <cell r="Z94">
            <v>1969920</v>
          </cell>
          <cell r="AA94">
            <v>1969920</v>
          </cell>
        </row>
        <row r="163">
          <cell r="T163">
            <v>0.74419508374352383</v>
          </cell>
          <cell r="U163">
            <v>0.53152201957415701</v>
          </cell>
          <cell r="V163">
            <v>0.48583115845251479</v>
          </cell>
          <cell r="W163">
            <v>0.45672799610836934</v>
          </cell>
          <cell r="X163">
            <v>0.45574934196019845</v>
          </cell>
          <cell r="Y163">
            <v>0.43371982734219533</v>
          </cell>
          <cell r="Z163">
            <v>0.44805010496960956</v>
          </cell>
          <cell r="AA163">
            <v>0.44805010496960956</v>
          </cell>
        </row>
        <row r="255">
          <cell r="S255">
            <v>1.2349606808738591</v>
          </cell>
          <cell r="T255">
            <v>0.5841950837435238</v>
          </cell>
          <cell r="U255">
            <v>0.37152201957415687</v>
          </cell>
          <cell r="V255">
            <v>0.32583115845251476</v>
          </cell>
          <cell r="W255">
            <v>0.29672799610836931</v>
          </cell>
          <cell r="X255">
            <v>0.29574934196019842</v>
          </cell>
          <cell r="Y255">
            <v>0.2737198273421953</v>
          </cell>
          <cell r="Z255">
            <v>0.28805010496960959</v>
          </cell>
          <cell r="AA255">
            <v>0.28805010496960959</v>
          </cell>
        </row>
        <row r="308">
          <cell r="A308">
            <v>3.6881386376751015</v>
          </cell>
          <cell r="B308">
            <v>6</v>
          </cell>
        </row>
      </sheetData>
      <sheetData sheetId="4">
        <row r="2">
          <cell r="D2">
            <v>3276</v>
          </cell>
        </row>
        <row r="3">
          <cell r="D3">
            <v>3528</v>
          </cell>
        </row>
        <row r="4">
          <cell r="D4">
            <v>1638</v>
          </cell>
        </row>
        <row r="5">
          <cell r="D5">
            <v>3276</v>
          </cell>
        </row>
        <row r="6">
          <cell r="E6">
            <v>3276</v>
          </cell>
        </row>
        <row r="7">
          <cell r="D7">
            <v>3276</v>
          </cell>
        </row>
        <row r="8">
          <cell r="E8">
            <v>3276</v>
          </cell>
        </row>
        <row r="9">
          <cell r="D9">
            <v>3276</v>
          </cell>
        </row>
        <row r="10">
          <cell r="E10">
            <v>350</v>
          </cell>
          <cell r="G10">
            <v>939</v>
          </cell>
          <cell r="H10">
            <v>76</v>
          </cell>
        </row>
        <row r="11">
          <cell r="D11">
            <v>3528</v>
          </cell>
        </row>
        <row r="12">
          <cell r="F12">
            <v>2898</v>
          </cell>
        </row>
        <row r="13">
          <cell r="D13">
            <v>3780</v>
          </cell>
        </row>
      </sheetData>
      <sheetData sheetId="5">
        <row r="3">
          <cell r="B3">
            <v>126</v>
          </cell>
          <cell r="E3">
            <v>135</v>
          </cell>
          <cell r="H3">
            <v>43</v>
          </cell>
        </row>
        <row r="4">
          <cell r="B4">
            <v>504</v>
          </cell>
          <cell r="E4">
            <v>135</v>
          </cell>
          <cell r="H4">
            <v>21</v>
          </cell>
        </row>
        <row r="5">
          <cell r="B5">
            <v>756</v>
          </cell>
          <cell r="E5">
            <v>140</v>
          </cell>
          <cell r="H5">
            <v>342</v>
          </cell>
        </row>
        <row r="6">
          <cell r="B6">
            <v>756</v>
          </cell>
          <cell r="E6">
            <v>135</v>
          </cell>
        </row>
        <row r="7">
          <cell r="B7">
            <v>610</v>
          </cell>
          <cell r="E7">
            <v>135</v>
          </cell>
        </row>
        <row r="8">
          <cell r="B8">
            <v>951</v>
          </cell>
          <cell r="E8">
            <v>41</v>
          </cell>
        </row>
        <row r="9">
          <cell r="B9">
            <v>250</v>
          </cell>
          <cell r="E9">
            <v>181</v>
          </cell>
        </row>
        <row r="10">
          <cell r="B10">
            <v>252</v>
          </cell>
          <cell r="E10">
            <v>241</v>
          </cell>
        </row>
        <row r="11">
          <cell r="B11">
            <v>758</v>
          </cell>
          <cell r="E11">
            <v>391</v>
          </cell>
        </row>
        <row r="12">
          <cell r="B12">
            <v>256</v>
          </cell>
          <cell r="E12">
            <v>60</v>
          </cell>
        </row>
        <row r="13">
          <cell r="B13">
            <v>126</v>
          </cell>
          <cell r="E13">
            <v>135</v>
          </cell>
        </row>
        <row r="14">
          <cell r="B14">
            <v>124</v>
          </cell>
          <cell r="E14">
            <v>135</v>
          </cell>
        </row>
        <row r="15">
          <cell r="B15">
            <v>511</v>
          </cell>
          <cell r="E15">
            <v>135</v>
          </cell>
        </row>
        <row r="16">
          <cell r="B16">
            <v>1008</v>
          </cell>
          <cell r="E16">
            <v>135</v>
          </cell>
        </row>
        <row r="17">
          <cell r="B17">
            <v>1134</v>
          </cell>
          <cell r="E17">
            <v>135</v>
          </cell>
        </row>
        <row r="18">
          <cell r="B18">
            <v>928</v>
          </cell>
          <cell r="E18">
            <v>135</v>
          </cell>
        </row>
        <row r="19">
          <cell r="B19">
            <v>1289</v>
          </cell>
          <cell r="E19">
            <v>135</v>
          </cell>
        </row>
        <row r="20">
          <cell r="B20">
            <v>1616</v>
          </cell>
        </row>
        <row r="21">
          <cell r="B21">
            <v>24</v>
          </cell>
        </row>
        <row r="22">
          <cell r="B22">
            <v>123</v>
          </cell>
        </row>
        <row r="23">
          <cell r="B23">
            <v>110</v>
          </cell>
        </row>
        <row r="24">
          <cell r="B24">
            <v>126</v>
          </cell>
        </row>
        <row r="25">
          <cell r="B25">
            <v>126</v>
          </cell>
        </row>
        <row r="26">
          <cell r="B26">
            <v>126</v>
          </cell>
        </row>
        <row r="27">
          <cell r="B27">
            <v>126</v>
          </cell>
        </row>
        <row r="28">
          <cell r="B28">
            <v>126</v>
          </cell>
        </row>
      </sheetData>
      <sheetData sheetId="6"/>
      <sheetData sheetId="7">
        <row r="212">
          <cell r="G212">
            <v>8579320.6666666586</v>
          </cell>
        </row>
      </sheetData>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Michael Coan" id="{8DD1D606-6A2D-4964-9D26-CBC7A308E0E5}" userId="S::MCoan@wowbao.com::5dcb83b4-12bd-4f9c-9c3f-b60ece3b7609" providerId="AD"/>
  <person displayName="Maxwell Krohn" id="{0F99CB98-42B3-4707-8C21-D458721D2347}" userId="S::mkrohn@valorep.com::d5f1d0b3-6ff8-46c9-ba5b-7df90e79df4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1" dT="2026-08-13T17:47:58.24" personId="{8DD1D606-6A2D-4964-9D26-CBC7A308E0E5}" id="{6662BE30-1F59-4B34-B119-3F401B7169C6}">
    <text>Packed</text>
  </threadedComment>
  <threadedComment ref="A27" dT="2026-08-13T17:47:58.24" personId="{8DD1D606-6A2D-4964-9D26-CBC7A308E0E5}" id="{7B817960-2EA7-460F-B2A5-FA79F8292F1C}">
    <text>Packed</text>
  </threadedComment>
</ThreadedComments>
</file>

<file path=xl/threadedComments/threadedComment2.xml><?xml version="1.0" encoding="utf-8"?>
<ThreadedComments xmlns="http://schemas.microsoft.com/office/spreadsheetml/2018/threadedcomments" xmlns:x="http://schemas.openxmlformats.org/spreadsheetml/2006/main">
  <threadedComment ref="A13" dT="2026-08-13T17:47:58.24" personId="{8DD1D606-6A2D-4964-9D26-CBC7A308E0E5}" id="{7229E9F6-33EB-436F-B2B6-A8647AAE336F}">
    <text>Packed</text>
  </threadedComment>
  <threadedComment ref="A29" dT="2026-08-13T17:47:58.24" personId="{8DD1D606-6A2D-4964-9D26-CBC7A308E0E5}" id="{68876224-895D-4635-B246-780210A3EC0E}">
    <text>Packed</text>
  </threadedComment>
  <threadedComment ref="U58" dT="2026-08-07T12:22:22.69" personId="{8DD1D606-6A2D-4964-9D26-CBC7A308E0E5}" id="{6A15AE64-B6A7-4753-BC6F-123E62A570A4}">
    <text>Non-Sellable Product</text>
  </threadedComment>
  <threadedComment ref="V58" dT="2026-08-07T12:22:22.69" personId="{8DD1D606-6A2D-4964-9D26-CBC7A308E0E5}" id="{F5C23B39-694A-4F8E-BE98-6637207C3316}">
    <text>Non-Sellable Product</text>
  </threadedComment>
  <threadedComment ref="L74" dT="2026-06-05T18:34:10.98" personId="{8DD1D606-6A2D-4964-9D26-CBC7A308E0E5}" id="{FFC2315B-7B19-4840-98DA-7C425C2A6A2A}">
    <text>Includes 5/26 Product</text>
  </threadedComment>
</ThreadedComments>
</file>

<file path=xl/threadedComments/threadedComment3.xml><?xml version="1.0" encoding="utf-8"?>
<ThreadedComments xmlns="http://schemas.microsoft.com/office/spreadsheetml/2018/threadedcomments" xmlns:x="http://schemas.openxmlformats.org/spreadsheetml/2006/main">
  <threadedComment ref="A13" dT="2026-08-13T17:47:58.24" personId="{8DD1D606-6A2D-4964-9D26-CBC7A308E0E5}" id="{044C5DEC-6BB3-4DF7-B3F0-547FDEEAAEF8}">
    <text>Packed</text>
  </threadedComment>
  <threadedComment ref="A29" dT="2026-08-13T17:47:58.24" personId="{8DD1D606-6A2D-4964-9D26-CBC7A308E0E5}" id="{506357B7-6417-4DB1-8950-27824EF8C1C2}">
    <text>Packed</text>
  </threadedComment>
</ThreadedComments>
</file>

<file path=xl/threadedComments/threadedComment4.xml><?xml version="1.0" encoding="utf-8"?>
<ThreadedComments xmlns="http://schemas.microsoft.com/office/spreadsheetml/2018/threadedcomments" xmlns:x="http://schemas.openxmlformats.org/spreadsheetml/2006/main">
  <threadedComment ref="L48" dT="2026-06-16T11:44:31.26" personId="{8DD1D606-6A2D-4964-9D26-CBC7A308E0E5}" id="{29D0772F-B346-4438-864A-425022E0BCF8}">
    <text>Counted Freezer.  #’s Should be Accruate within 5%</text>
  </threadedComment>
  <threadedComment ref="M48" dT="2026-06-16T11:44:31.26" personId="{8DD1D606-6A2D-4964-9D26-CBC7A308E0E5}" id="{644364D9-ECDE-4720-8075-191C0A7B7C7B}">
    <text>Counted Freezer.  #’s Should be Accruate within 5%</text>
  </threadedComment>
  <threadedComment ref="J49" dT="2026-06-16T11:43:28.85" personId="{8DD1D606-6A2D-4964-9D26-CBC7A308E0E5}" id="{7951E960-9F9F-42F4-AB01-94AAA2C0BDFB}">
    <text>252 4-Pack, 89 FS</text>
  </threadedComment>
  <threadedComment ref="I51" dT="2026-06-18T11:54:03.06" personId="{8DD1D606-6A2D-4964-9D26-CBC7A308E0E5}" id="{08E28496-4582-4061-B233-F94E6DF9A2E9}">
    <text>Includes remainder of 5/27 Rework</text>
  </threadedComment>
  <threadedComment ref="L51" dT="2026-06-18T11:53:52.09" personId="{8DD1D606-6A2D-4964-9D26-CBC7A308E0E5}" id="{36FAB553-82FF-4CF6-A5F2-C3AB70DB3A08}">
    <text>No more SD to Pack.  Backlog at Zero</text>
  </threadedComment>
  <threadedComment ref="M53" dT="2026-06-22T15:39:09.11" personId="{8DD1D606-6A2D-4964-9D26-CBC7A308E0E5}" id="{8D9346F5-DF36-425F-BC37-708151E48539}">
    <text>Backlog to zero</text>
  </threadedComment>
  <threadedComment ref="M54" dT="2026-06-23T12:29:33.04" personId="{8DD1D606-6A2D-4964-9D26-CBC7A308E0E5}" id="{06372B68-2F03-438F-98EB-49507315AEE4}">
    <text>~1,600 pcs were produced but scrapped after steaming due to Steam Pressure.  Overproofed and fallen BAO.</text>
  </threadedComment>
  <threadedComment ref="L55" dT="2026-06-24T13:27:34.31" personId="{8DD1D606-6A2D-4964-9D26-CBC7A308E0E5}" id="{2784985B-AA71-4C33-A961-208E8BF35167}">
    <text>Difference in Production &amp; Packing is Waste Related</text>
  </threadedComment>
  <threadedComment ref="M55" dT="2026-06-24T12:30:35.29" personId="{8DD1D606-6A2D-4964-9D26-CBC7A308E0E5}" id="{1A1FF8DB-D35C-4D49-83CB-CD6D6E368755}">
    <text>272 lbs of Dough Waste &amp; 250 lbs of other waste accounts for difference between produced and packed.</text>
  </threadedComment>
  <threadedComment ref="L59" dT="2026-06-30T12:54:44.59" personId="{8DD1D606-6A2D-4964-9D26-CBC7A308E0E5}" id="{8DD8CD95-35B6-4C14-A2CD-0F50F207DE16}">
    <text>Estimated QTY in Freezer</text>
  </threadedComment>
  <threadedComment ref="L62" dT="2026-07-06T12:14:03.48" personId="{8DD1D606-6A2D-4964-9D26-CBC7A308E0E5}" id="{06D41479-2A2A-42DC-A430-012C9254736D}">
    <text>Estimated amount left over from Thursday</text>
  </threadedComment>
  <threadedComment ref="M62" dT="2026-07-06T12:14:03.48" personId="{8DD1D606-6A2D-4964-9D26-CBC7A308E0E5}" id="{C484FF8D-7ADD-4849-BA50-7DB908A9AB1E}">
    <text>Estimated amount left over from Thursday</text>
  </threadedComment>
  <threadedComment ref="L103" dT="2026-08-31T13:06:42.19" personId="{8DD1D606-6A2D-4964-9D26-CBC7A308E0E5}" id="{FD35CA52-6920-4062-B6E9-17300FDEA152}">
    <text>Going to check back through production records.  I believe the Saucy Dumplings may have not been recorded</text>
  </threadedComment>
</ThreadedComments>
</file>

<file path=xl/threadedComments/threadedComment5.xml><?xml version="1.0" encoding="utf-8"?>
<ThreadedComments xmlns="http://schemas.microsoft.com/office/spreadsheetml/2018/threadedcomments" xmlns:x="http://schemas.openxmlformats.org/spreadsheetml/2006/main">
  <threadedComment ref="B216" dT="2026-03-02T16:35:31.23" personId="{0F99CB98-42B3-4707-8C21-D458721D2347}" id="{9C1A7D58-99B1-4082-A700-35124F2B5A6C}">
    <text>This seems like “Inventory Required”? The formulas also look inconsistent… is that intentional?</text>
  </threadedComment>
  <threadedComment ref="B285" dT="2026-02-28T16:41:37.58" personId="{0F99CB98-42B3-4707-8C21-D458721D2347}" id="{DBD31FE4-033E-4F0E-BF58-F1E34F4EDBC9}">
    <text>Sharif – to extent any of this is just ad hoc calc’s to get to the Contribution profit calc (now in it’s own tab), can we remove? 
Need to condense where we can to simplify</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 Id="rId4"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A8FAF-16E6-41BD-8BD5-450F3FDB2200}">
  <sheetPr>
    <tabColor rgb="FF92D050"/>
  </sheetPr>
  <dimension ref="A1:N36"/>
  <sheetViews>
    <sheetView topLeftCell="D1" zoomScaleNormal="100" workbookViewId="0">
      <selection activeCell="H24" activeCellId="1" sqref="H8 H24"/>
    </sheetView>
  </sheetViews>
  <sheetFormatPr defaultRowHeight="14.5" x14ac:dyDescent="0.35"/>
  <cols>
    <col min="1" max="1" width="22.36328125" bestFit="1" customWidth="1"/>
    <col min="2" max="2" width="7.6328125" bestFit="1" customWidth="1"/>
    <col min="3" max="3" width="10.6328125" bestFit="1" customWidth="1"/>
    <col min="4" max="4" width="9.6328125" bestFit="1" customWidth="1"/>
    <col min="5" max="8" width="11.26953125" bestFit="1" customWidth="1"/>
    <col min="9" max="9" width="11.81640625" bestFit="1" customWidth="1"/>
    <col min="10" max="11" width="12.36328125" bestFit="1" customWidth="1"/>
    <col min="13" max="13" width="12.36328125" bestFit="1" customWidth="1"/>
  </cols>
  <sheetData>
    <row r="1" spans="1:14" x14ac:dyDescent="0.35">
      <c r="A1" s="3"/>
    </row>
    <row r="2" spans="1:14" x14ac:dyDescent="0.35">
      <c r="A2" s="3" t="s">
        <v>41</v>
      </c>
      <c r="B2" t="s">
        <v>157</v>
      </c>
      <c r="C2" t="s">
        <v>158</v>
      </c>
      <c r="D2" t="s">
        <v>159</v>
      </c>
      <c r="E2" t="s">
        <v>160</v>
      </c>
      <c r="F2" t="s">
        <v>173</v>
      </c>
      <c r="G2" t="s">
        <v>183</v>
      </c>
      <c r="H2" t="s">
        <v>217</v>
      </c>
      <c r="I2" t="s">
        <v>218</v>
      </c>
      <c r="J2" t="s">
        <v>219</v>
      </c>
      <c r="K2" t="s">
        <v>220</v>
      </c>
      <c r="M2" t="s">
        <v>221</v>
      </c>
    </row>
    <row r="3" spans="1:14" ht="15" thickBot="1" x14ac:dyDescent="0.4"/>
    <row r="4" spans="1:14" x14ac:dyDescent="0.35">
      <c r="A4" s="24" t="s">
        <v>42</v>
      </c>
      <c r="B4" s="25">
        <f>SUMIF('Weekly Summary'!$2:$2,B$2,'Weekly Summary'!6:6)</f>
        <v>0</v>
      </c>
      <c r="C4" s="25">
        <f>SUMIF('Weekly Summary'!$2:$2,C$2,'Weekly Summary'!6:6)</f>
        <v>230400</v>
      </c>
      <c r="D4" s="25">
        <f>SUMIF('Weekly Summary'!$2:$2,D$2,'Weekly Summary'!6:6)</f>
        <v>540000</v>
      </c>
      <c r="E4" s="25">
        <f>SUMIF('Weekly Summary'!$2:$2,E$2,'Weekly Summary'!6:6)</f>
        <v>1152000</v>
      </c>
      <c r="F4" s="25">
        <f>SUMIF('Weekly Summary'!$2:$2,F$2,'Weekly Summary'!6:6)</f>
        <v>1592524.8</v>
      </c>
      <c r="G4" s="25">
        <f>SUMIF('Weekly Summary'!$2:$2,G$2,'Weekly Summary'!6:6)</f>
        <v>1728000</v>
      </c>
      <c r="H4" s="25">
        <f>SUMIF('Weekly Summary'!$2:$2,H$2,'Weekly Summary'!6:6)</f>
        <v>1871424</v>
      </c>
      <c r="I4" s="25">
        <f>SUMIF('Weekly Summary'!$2:$2,I$2,'Weekly Summary'!6:6)</f>
        <v>2592000</v>
      </c>
      <c r="J4" s="25">
        <f>SUMIF('Weekly Summary'!$2:$2,J$2,'Weekly Summary'!6:6)</f>
        <v>1772928</v>
      </c>
      <c r="K4" s="25">
        <f>SUMIF('Weekly Summary'!$2:$2,K$2,'Weekly Summary'!6:6)</f>
        <v>1772928</v>
      </c>
      <c r="L4" s="25"/>
      <c r="M4" s="25">
        <f>SUM(C4:L4)</f>
        <v>13252204.800000001</v>
      </c>
    </row>
    <row r="5" spans="1:14" s="30" customFormat="1" x14ac:dyDescent="0.35">
      <c r="A5" s="29" t="s">
        <v>185</v>
      </c>
      <c r="B5" s="107">
        <f>SUMIF('Weekly Summary'!$2:$2,B$2,'Weekly Summary'!7:7)</f>
        <v>0</v>
      </c>
      <c r="C5" s="107">
        <f>SUMIF('Weekly Summary'!$2:$2,C$2,'Weekly Summary'!7:7)</f>
        <v>0</v>
      </c>
      <c r="D5" s="107">
        <f>SUMIF('Weekly Summary'!$2:$2,D$2,'Weekly Summary'!7:7)</f>
        <v>0</v>
      </c>
      <c r="E5" s="107">
        <f>SUMIF('Weekly Summary'!$2:$2,E$2,'Weekly Summary'!7:7)</f>
        <v>0</v>
      </c>
      <c r="F5" s="107">
        <f>SUMIF('Weekly Summary'!$2:$2,F$2,'Weekly Summary'!7:7)</f>
        <v>0</v>
      </c>
      <c r="G5" s="107">
        <f>SUMIF('Weekly Summary'!$2:$2,G$2,'Weekly Summary'!7:7)</f>
        <v>1120000</v>
      </c>
      <c r="H5" s="107">
        <f>SUMIF('Weekly Summary'!$2:$2,H$2,'Weekly Summary'!7:7)</f>
        <v>1920000</v>
      </c>
      <c r="I5" s="107">
        <f>SUMIF('Weekly Summary'!$2:$2,I$2,'Weekly Summary'!7:7)</f>
        <v>3000000</v>
      </c>
      <c r="J5" s="107">
        <f>SUMIF('Weekly Summary'!$2:$2,J$2,'Weekly Summary'!7:7)</f>
        <v>2880000</v>
      </c>
      <c r="K5" s="107">
        <f>SUMIF('Weekly Summary'!$2:$2,K$2,'Weekly Summary'!7:7)</f>
        <v>2880000</v>
      </c>
      <c r="L5" s="107"/>
      <c r="M5" s="107">
        <f>SUM(C5:L5)</f>
        <v>11800000</v>
      </c>
    </row>
    <row r="6" spans="1:14" x14ac:dyDescent="0.35">
      <c r="A6" s="31"/>
      <c r="B6" s="106"/>
      <c r="C6" s="106"/>
      <c r="D6" s="106"/>
      <c r="E6" s="106"/>
      <c r="F6" s="106"/>
      <c r="G6" s="106"/>
      <c r="H6" s="106"/>
      <c r="I6" s="106"/>
      <c r="J6" s="106"/>
      <c r="K6" s="106"/>
      <c r="L6" s="106"/>
      <c r="M6" s="106"/>
    </row>
    <row r="7" spans="1:14" s="28" customFormat="1" x14ac:dyDescent="0.35">
      <c r="A7" s="26" t="s">
        <v>32</v>
      </c>
      <c r="B7" s="111">
        <f>SUMIF('Weekly Summary'!$2:$2,B$2,'Weekly Summary'!9:9)</f>
        <v>76320</v>
      </c>
      <c r="C7" s="111">
        <f>SUMIF('Weekly Summary'!$2:$2,C$2,'Weekly Summary'!9:9)</f>
        <v>1122876.1728395061</v>
      </c>
      <c r="D7" s="111">
        <f>SUMIF('Weekly Summary'!$2:$2,D$2,'Weekly Summary'!9:9)</f>
        <v>908334.12345679011</v>
      </c>
      <c r="E7" s="111">
        <f>SUMIF('Weekly Summary'!$2:$2,E$2,'Weekly Summary'!9:9)</f>
        <v>1025020.5925925926</v>
      </c>
      <c r="F7" s="111">
        <f>SUMIF('Weekly Summary'!$2:$2,F$2,'Weekly Summary'!9:9)</f>
        <v>1092496.0543209875</v>
      </c>
      <c r="G7" s="111">
        <f>SUMIF('Weekly Summary'!$2:$2,G$2,'Weekly Summary'!9:9)</f>
        <v>1073207.111111111</v>
      </c>
      <c r="H7" s="111">
        <f>SUMIF('Weekly Summary'!$2:$2,H$2,'Weekly Summary'!9:9)</f>
        <v>460981.17283950618</v>
      </c>
      <c r="I7" s="111">
        <f>SUMIF('Weekly Summary'!$2:$2,I$2,'Weekly Summary'!9:9)</f>
        <v>0</v>
      </c>
      <c r="J7" s="111">
        <f>SUMIF('Weekly Summary'!$2:$2,J$2,'Weekly Summary'!9:9)</f>
        <v>0</v>
      </c>
      <c r="K7" s="111">
        <f>SUMIF('Weekly Summary'!$2:$2,K$2,'Weekly Summary'!9:9)</f>
        <v>0</v>
      </c>
      <c r="L7" s="111"/>
      <c r="M7" s="111">
        <f t="shared" ref="M7" si="0">SUM(C7:L7)</f>
        <v>5682915.2271604938</v>
      </c>
    </row>
    <row r="8" spans="1:14" s="28" customFormat="1" x14ac:dyDescent="0.35">
      <c r="A8" s="26" t="s">
        <v>40</v>
      </c>
      <c r="B8" s="111">
        <f>SUMIF('Weekly Summary'!$2:$2,B$2,'Weekly Summary'!10:10)</f>
        <v>76320</v>
      </c>
      <c r="C8" s="111">
        <f>SUMIF('Weekly Summary'!$2:$2,C$2,'Weekly Summary'!10:10)</f>
        <v>996390</v>
      </c>
      <c r="D8" s="111">
        <f>SUMIF('Weekly Summary'!$2:$2,D$2,'Weekly Summary'!10:10)</f>
        <v>801000</v>
      </c>
      <c r="E8" s="111">
        <f>SUMIF('Weekly Summary'!$2:$2,E$2,'Weekly Summary'!10:10)</f>
        <v>1090392</v>
      </c>
      <c r="F8" s="111">
        <f>SUMIF('Weekly Summary'!$2:$2,F$2,'Weekly Summary'!10:10)</f>
        <v>909570</v>
      </c>
      <c r="G8" s="111">
        <f>SUMIF('Weekly Summary'!$2:$2,G$2,'Weekly Summary'!10:10)</f>
        <v>867120</v>
      </c>
      <c r="H8" s="111">
        <f>SUMIF('Weekly Summary'!$2:$2,H$2,'Weekly Summary'!10:10)</f>
        <v>457460</v>
      </c>
      <c r="I8" s="111">
        <f>SUMIF('Weekly Summary'!$2:$2,I$2,'Weekly Summary'!10:10)</f>
        <v>0</v>
      </c>
      <c r="J8" s="111">
        <f>SUMIF('Weekly Summary'!$2:$2,J$2,'Weekly Summary'!10:10)</f>
        <v>0</v>
      </c>
      <c r="K8" s="111">
        <f>SUMIF('Weekly Summary'!$2:$2,K$2,'Weekly Summary'!10:10)</f>
        <v>0</v>
      </c>
      <c r="L8" s="111"/>
      <c r="M8" s="111">
        <f t="shared" ref="M8" si="1">SUM(C8:L8)</f>
        <v>5121932</v>
      </c>
    </row>
    <row r="9" spans="1:14" x14ac:dyDescent="0.35">
      <c r="A9" s="31"/>
    </row>
    <row r="10" spans="1:14" ht="15" thickBot="1" x14ac:dyDescent="0.4">
      <c r="A10" s="3"/>
    </row>
    <row r="11" spans="1:14" s="114" customFormat="1" x14ac:dyDescent="0.35">
      <c r="A11" s="112" t="s">
        <v>231</v>
      </c>
      <c r="B11" s="113">
        <f>+B7-B4</f>
        <v>76320</v>
      </c>
      <c r="C11" s="113">
        <f t="shared" ref="C11:G11" si="2">+C7-C4</f>
        <v>892476.17283950606</v>
      </c>
      <c r="D11" s="113">
        <f t="shared" si="2"/>
        <v>368334.12345679011</v>
      </c>
      <c r="E11" s="113">
        <f t="shared" si="2"/>
        <v>-126979.40740740742</v>
      </c>
      <c r="F11" s="113">
        <f t="shared" si="2"/>
        <v>-500028.7456790125</v>
      </c>
      <c r="G11" s="113">
        <f t="shared" si="2"/>
        <v>-654792.88888888899</v>
      </c>
      <c r="H11" s="113">
        <f>+H7-H4</f>
        <v>-1410442.8271604939</v>
      </c>
      <c r="I11" s="113"/>
      <c r="J11" s="113"/>
      <c r="K11" s="113"/>
      <c r="L11" s="113"/>
      <c r="M11" s="113">
        <f>SUM(B11:L11)</f>
        <v>-1355113.5728395067</v>
      </c>
    </row>
    <row r="12" spans="1:14" s="116" customFormat="1" x14ac:dyDescent="0.35">
      <c r="A12" s="115" t="s">
        <v>232</v>
      </c>
      <c r="B12" s="70">
        <f>+B8-B4</f>
        <v>76320</v>
      </c>
      <c r="C12" s="70">
        <f t="shared" ref="C12:G12" si="3">+C8-C4</f>
        <v>765990</v>
      </c>
      <c r="D12" s="70">
        <f t="shared" si="3"/>
        <v>261000</v>
      </c>
      <c r="E12" s="70">
        <f t="shared" si="3"/>
        <v>-61608</v>
      </c>
      <c r="F12" s="70">
        <f t="shared" si="3"/>
        <v>-682954.8</v>
      </c>
      <c r="G12" s="70">
        <f t="shared" si="3"/>
        <v>-860880</v>
      </c>
      <c r="H12" s="70">
        <f>+H8-H4</f>
        <v>-1413964</v>
      </c>
      <c r="I12" s="70"/>
      <c r="J12" s="70"/>
      <c r="K12" s="70"/>
      <c r="L12" s="70"/>
      <c r="M12" s="70">
        <f t="shared" ref="M12:M14" si="4">SUM(B12:L12)</f>
        <v>-1916096.8</v>
      </c>
    </row>
    <row r="13" spans="1:14" s="30" customFormat="1" x14ac:dyDescent="0.35">
      <c r="A13" s="29" t="s">
        <v>233</v>
      </c>
      <c r="B13" s="107"/>
      <c r="C13" s="107"/>
      <c r="D13" s="107"/>
      <c r="E13" s="107"/>
      <c r="F13" s="107"/>
      <c r="G13" s="107">
        <f t="shared" ref="G13" si="5">+G7-G5</f>
        <v>-46792.888888888992</v>
      </c>
      <c r="H13" s="107">
        <f>+H7-H5</f>
        <v>-1459018.8271604939</v>
      </c>
      <c r="I13" s="107"/>
      <c r="J13" s="107"/>
      <c r="K13" s="107"/>
      <c r="L13" s="107"/>
      <c r="M13" s="107">
        <f t="shared" si="4"/>
        <v>-1505811.7160493829</v>
      </c>
    </row>
    <row r="14" spans="1:14" s="110" customFormat="1" ht="15" thickBot="1" x14ac:dyDescent="0.4">
      <c r="A14" s="108" t="s">
        <v>234</v>
      </c>
      <c r="B14" s="109"/>
      <c r="C14" s="109"/>
      <c r="D14" s="109"/>
      <c r="E14" s="109"/>
      <c r="F14" s="109"/>
      <c r="G14" s="109">
        <f t="shared" ref="G14" si="6">+G8-G5</f>
        <v>-252880</v>
      </c>
      <c r="H14" s="109">
        <f>+H8-H5</f>
        <v>-1462540</v>
      </c>
      <c r="I14" s="109"/>
      <c r="J14" s="109"/>
      <c r="K14" s="109"/>
      <c r="L14" s="109"/>
      <c r="M14" s="109">
        <f t="shared" si="4"/>
        <v>-1715420</v>
      </c>
    </row>
    <row r="15" spans="1:14" x14ac:dyDescent="0.35">
      <c r="A15" s="31"/>
      <c r="B15" s="106"/>
      <c r="C15" s="106"/>
      <c r="D15" s="106"/>
      <c r="E15" s="106"/>
      <c r="F15" s="106"/>
      <c r="G15" s="106"/>
      <c r="H15" s="106"/>
      <c r="I15" s="106"/>
      <c r="J15" s="106"/>
      <c r="K15" s="106"/>
      <c r="L15" s="106"/>
      <c r="M15" s="106"/>
    </row>
    <row r="16" spans="1:14" x14ac:dyDescent="0.35">
      <c r="A16" s="31" t="s">
        <v>229</v>
      </c>
      <c r="B16" s="106">
        <f>SUMIF('Weekly Summary'!$2:$2,B$2,'Weekly Summary'!18:18)</f>
        <v>0</v>
      </c>
      <c r="C16" s="106">
        <f>SUMIF('Weekly Summary'!$2:$2,C$2,'Weekly Summary'!18:18)</f>
        <v>59346.17283950618</v>
      </c>
      <c r="D16" s="106">
        <f>SUMIF('Weekly Summary'!$2:$2,D$2,'Weekly Summary'!18:18)</f>
        <v>54550.123456790127</v>
      </c>
      <c r="E16" s="106">
        <f>SUMIF('Weekly Summary'!$2:$2,E$2,'Weekly Summary'!18:18)</f>
        <v>40912.592592592599</v>
      </c>
      <c r="F16" s="106">
        <f>SUMIF('Weekly Summary'!$2:$2,F$2,'Weekly Summary'!18:18)</f>
        <v>87938.054320987663</v>
      </c>
      <c r="G16" s="106">
        <f>SUMIF('Weekly Summary'!$2:$2,G$2,'Weekly Summary'!18:18)</f>
        <v>90311.111111111124</v>
      </c>
      <c r="H16" s="106">
        <f>SUMIF('Weekly Summary'!$2:$2,H$2,'Weekly Summary'!18:18)</f>
        <v>37910.123456790127</v>
      </c>
      <c r="I16" s="106">
        <f>SUMIF('Weekly Summary'!$2:$2,I$2,'Weekly Summary'!18:18)</f>
        <v>0</v>
      </c>
      <c r="J16" s="106">
        <f>SUMIF('Weekly Summary'!$2:$2,J$2,'Weekly Summary'!18:18)</f>
        <v>0</v>
      </c>
      <c r="K16" s="106">
        <f>SUMIF('Weekly Summary'!$2:$2,K$2,'Weekly Summary'!18:18)</f>
        <v>0</v>
      </c>
      <c r="L16" s="106"/>
      <c r="M16" s="106">
        <f>SUM(C16:K16)</f>
        <v>370968.17777777778</v>
      </c>
      <c r="N16" s="121">
        <f>+M16/SUM(M16:M17)</f>
        <v>0.90260812593503703</v>
      </c>
    </row>
    <row r="17" spans="1:14" x14ac:dyDescent="0.35">
      <c r="A17" s="31" t="s">
        <v>230</v>
      </c>
      <c r="B17" s="106">
        <f>SUMIF('Weekly Summary'!$2:$2,B$2,'Weekly Summary'!19:19)</f>
        <v>0</v>
      </c>
      <c r="C17" s="106">
        <f>SUMIF('Weekly Summary'!$2:$2,C$2,'Weekly Summary'!19:19)</f>
        <v>0</v>
      </c>
      <c r="D17" s="106">
        <f>SUMIF('Weekly Summary'!$2:$2,D$2,'Weekly Summary'!19:19)</f>
        <v>3950.6172839506175</v>
      </c>
      <c r="E17" s="106">
        <f>SUMIF('Weekly Summary'!$2:$2,E$2,'Weekly Summary'!19:19)</f>
        <v>4456.2962962962965</v>
      </c>
      <c r="F17" s="106">
        <f>SUMIF('Weekly Summary'!$2:$2,F$2,'Weekly Summary'!19:19)</f>
        <v>13921.975308641977</v>
      </c>
      <c r="G17" s="106">
        <f>SUMIF('Weekly Summary'!$2:$2,G$2,'Weekly Summary'!19:19)</f>
        <v>11093.333333333334</v>
      </c>
      <c r="H17" s="106">
        <f>SUMIF('Weekly Summary'!$2:$2,H$2,'Weekly Summary'!19:19)</f>
        <v>6605.4320987654319</v>
      </c>
      <c r="I17" s="106">
        <f>SUMIF('Weekly Summary'!$2:$2,I$2,'Weekly Summary'!19:19)</f>
        <v>0</v>
      </c>
      <c r="J17" s="106">
        <f>SUMIF('Weekly Summary'!$2:$2,J$2,'Weekly Summary'!19:19)</f>
        <v>0</v>
      </c>
      <c r="K17" s="106">
        <f>SUMIF('Weekly Summary'!$2:$2,K$2,'Weekly Summary'!19:19)</f>
        <v>0</v>
      </c>
      <c r="L17" s="106"/>
      <c r="M17" s="106">
        <f>SUM(C17:K17)</f>
        <v>40027.654320987655</v>
      </c>
      <c r="N17" s="121">
        <f>+M17/SUM(M16:M17)</f>
        <v>9.7391874064963038E-2</v>
      </c>
    </row>
    <row r="18" spans="1:14" x14ac:dyDescent="0.35">
      <c r="A18" s="31" t="s">
        <v>237</v>
      </c>
      <c r="B18" s="117">
        <f>IFERROR(SUM(B16:B17)/B7,"")</f>
        <v>0</v>
      </c>
      <c r="C18" s="117">
        <f t="shared" ref="C18:M18" si="7">IFERROR(SUM(C16:C17)/C7,"")</f>
        <v>5.2851929958966717E-2</v>
      </c>
      <c r="D18" s="117">
        <f t="shared" si="7"/>
        <v>6.4404429196283142E-2</v>
      </c>
      <c r="E18" s="117">
        <f t="shared" si="7"/>
        <v>4.4261441396154795E-2</v>
      </c>
      <c r="F18" s="117">
        <f t="shared" si="7"/>
        <v>9.323606179331978E-2</v>
      </c>
      <c r="G18" s="117">
        <f t="shared" si="7"/>
        <v>9.4487302026408093E-2</v>
      </c>
      <c r="H18" s="117">
        <f t="shared" si="7"/>
        <v>9.6566971013920269E-2</v>
      </c>
      <c r="I18" s="117" t="str">
        <f t="shared" si="7"/>
        <v/>
      </c>
      <c r="J18" s="117" t="str">
        <f t="shared" si="7"/>
        <v/>
      </c>
      <c r="K18" s="117" t="str">
        <f t="shared" si="7"/>
        <v/>
      </c>
      <c r="L18" s="117" t="str">
        <f t="shared" ref="L18" si="8">+IFERROR(L16/L8,"")</f>
        <v/>
      </c>
      <c r="M18" s="117">
        <f t="shared" si="7"/>
        <v>7.2321302653694908E-2</v>
      </c>
    </row>
    <row r="19" spans="1:14" ht="15" thickBot="1" x14ac:dyDescent="0.4">
      <c r="A19" s="3"/>
      <c r="B19" s="83"/>
      <c r="C19" s="83"/>
      <c r="D19" s="83"/>
      <c r="E19" s="83"/>
      <c r="F19" s="83"/>
      <c r="G19" s="83"/>
      <c r="H19" s="83"/>
      <c r="I19" s="83"/>
      <c r="J19" s="83"/>
      <c r="K19" s="83"/>
      <c r="L19" s="83"/>
      <c r="M19" s="83"/>
    </row>
    <row r="20" spans="1:14" x14ac:dyDescent="0.35">
      <c r="A20" s="24" t="s">
        <v>43</v>
      </c>
      <c r="B20" s="25">
        <f>SUMIF('Weekly Summary'!$2:$2,B$2,'Weekly Summary'!22:22)</f>
        <v>0</v>
      </c>
      <c r="C20" s="25">
        <f>SUMIF('Weekly Summary'!$2:$2,C$2,'Weekly Summary'!22:22)</f>
        <v>311107.5</v>
      </c>
      <c r="D20" s="25">
        <f>SUMIF('Weekly Summary'!$2:$2,D$2,'Weekly Summary'!22:22)</f>
        <v>493762.5</v>
      </c>
      <c r="E20" s="25">
        <f>SUMIF('Weekly Summary'!$2:$2,E$2,'Weekly Summary'!22:22)</f>
        <v>1287000</v>
      </c>
      <c r="F20" s="25">
        <f>SUMIF('Weekly Summary'!$2:$2,F$2,'Weekly Summary'!22:22)</f>
        <v>2200770</v>
      </c>
      <c r="G20" s="25">
        <f>SUMIF('Weekly Summary'!$2:$2,G$2,'Weekly Summary'!22:22)</f>
        <v>2316600</v>
      </c>
      <c r="H20" s="25">
        <f>SUMIF('Weekly Summary'!$2:$2,H$2,'Weekly Summary'!22:22)</f>
        <v>542953.125</v>
      </c>
      <c r="I20" s="25">
        <f>SUMIF('Weekly Summary'!$2:$2,I$2,'Weekly Summary'!22:22)</f>
        <v>0</v>
      </c>
      <c r="J20" s="25">
        <f>SUMIF('Weekly Summary'!$2:$2,J$2,'Weekly Summary'!22:22)</f>
        <v>0</v>
      </c>
      <c r="K20" s="25">
        <f>SUMIF('Weekly Summary'!$2:$2,K$2,'Weekly Summary'!22:22)</f>
        <v>0</v>
      </c>
      <c r="L20" s="25"/>
      <c r="M20" s="25">
        <f>SUM(B20:L20)</f>
        <v>7152193.125</v>
      </c>
    </row>
    <row r="21" spans="1:14" s="30" customFormat="1" x14ac:dyDescent="0.35">
      <c r="A21" s="29" t="s">
        <v>186</v>
      </c>
      <c r="B21" s="107">
        <f>SUMIF('Weekly Summary'!$2:$2,B$2,'Weekly Summary'!23:23)</f>
        <v>0</v>
      </c>
      <c r="C21" s="107">
        <f>SUMIF('Weekly Summary'!$2:$2,C$2,'Weekly Summary'!23:23)</f>
        <v>0</v>
      </c>
      <c r="D21" s="107">
        <f>SUMIF('Weekly Summary'!$2:$2,D$2,'Weekly Summary'!23:23)</f>
        <v>0</v>
      </c>
      <c r="E21" s="107">
        <f>SUMIF('Weekly Summary'!$2:$2,E$2,'Weekly Summary'!23:23)</f>
        <v>0</v>
      </c>
      <c r="F21" s="107">
        <f>SUMIF('Weekly Summary'!$2:$2,F$2,'Weekly Summary'!23:23)</f>
        <v>0</v>
      </c>
      <c r="G21" s="107">
        <f>SUMIF('Weekly Summary'!$2:$2,G$2,'Weekly Summary'!23:23)</f>
        <v>210000</v>
      </c>
      <c r="H21" s="107">
        <f>SUMIF('Weekly Summary'!$2:$2,H$2,'Weekly Summary'!23:23)</f>
        <v>1350000</v>
      </c>
      <c r="I21" s="107">
        <f>SUMIF('Weekly Summary'!$2:$2,I$2,'Weekly Summary'!23:23)</f>
        <v>1875000</v>
      </c>
      <c r="J21" s="107">
        <f>SUMIF('Weekly Summary'!$2:$2,J$2,'Weekly Summary'!23:23)</f>
        <v>1350000</v>
      </c>
      <c r="K21" s="107">
        <f>SUMIF('Weekly Summary'!$2:$2,K$2,'Weekly Summary'!23:23)</f>
        <v>1350000</v>
      </c>
      <c r="L21" s="107"/>
      <c r="M21" s="107">
        <f>SUM(C21:L21)</f>
        <v>6135000</v>
      </c>
    </row>
    <row r="22" spans="1:14" x14ac:dyDescent="0.35">
      <c r="A22" s="31"/>
      <c r="B22" s="106"/>
      <c r="C22" s="106"/>
      <c r="D22" s="106"/>
      <c r="E22" s="106"/>
      <c r="F22" s="106"/>
      <c r="G22" s="106"/>
      <c r="H22" s="106"/>
      <c r="I22" s="106"/>
      <c r="J22" s="106"/>
      <c r="K22" s="106"/>
      <c r="L22" s="106"/>
      <c r="M22" s="106"/>
    </row>
    <row r="23" spans="1:14" s="28" customFormat="1" x14ac:dyDescent="0.35">
      <c r="A23" s="26" t="s">
        <v>12</v>
      </c>
      <c r="B23" s="111">
        <f>SUMIF('Weekly Summary'!$2:$2,B$2,'Weekly Summary'!25:25)</f>
        <v>0</v>
      </c>
      <c r="C23" s="111">
        <f>SUMIF('Weekly Summary'!$2:$2,C$2,'Weekly Summary'!25:25)</f>
        <v>0</v>
      </c>
      <c r="D23" s="111">
        <f>SUMIF('Weekly Summary'!$2:$2,D$2,'Weekly Summary'!25:25)</f>
        <v>92130.4</v>
      </c>
      <c r="E23" s="111">
        <f>SUMIF('Weekly Summary'!$2:$2,E$2,'Weekly Summary'!25:25)</f>
        <v>95424</v>
      </c>
      <c r="F23" s="111">
        <f>SUMIF('Weekly Summary'!$2:$2,F$2,'Weekly Summary'!25:25)</f>
        <v>317158.5</v>
      </c>
      <c r="G23" s="111">
        <f>SUMIF('Weekly Summary'!$2:$2,G$2,'Weekly Summary'!25:25)</f>
        <v>507382.30000000005</v>
      </c>
      <c r="H23" s="111">
        <f>SUMIF('Weekly Summary'!$2:$2,H$2,'Weekly Summary'!25:25)</f>
        <v>95164.6</v>
      </c>
      <c r="I23" s="111">
        <f>SUMIF('Weekly Summary'!$2:$2,I$2,'Weekly Summary'!25:25)</f>
        <v>0</v>
      </c>
      <c r="J23" s="111">
        <f>SUMIF('Weekly Summary'!$2:$2,J$2,'Weekly Summary'!25:25)</f>
        <v>0</v>
      </c>
      <c r="K23" s="111">
        <f>SUMIF('Weekly Summary'!$2:$2,K$2,'Weekly Summary'!25:25)</f>
        <v>0</v>
      </c>
      <c r="L23" s="111"/>
      <c r="M23" s="111">
        <f t="shared" ref="M23" si="9">SUM(C23:L23)</f>
        <v>1107259.8</v>
      </c>
    </row>
    <row r="24" spans="1:14" s="28" customFormat="1" x14ac:dyDescent="0.35">
      <c r="A24" s="26" t="s">
        <v>22</v>
      </c>
      <c r="B24" s="111">
        <f>SUMIF('Weekly Summary'!$2:$2,B$2,'Weekly Summary'!26:26)</f>
        <v>0</v>
      </c>
      <c r="C24" s="111">
        <f>SUMIF('Weekly Summary'!$2:$2,C$2,'Weekly Summary'!26:26)</f>
        <v>0</v>
      </c>
      <c r="D24" s="111">
        <f>SUMIF('Weekly Summary'!$2:$2,D$2,'Weekly Summary'!26:26)</f>
        <v>35152</v>
      </c>
      <c r="E24" s="111">
        <f>SUMIF('Weekly Summary'!$2:$2,E$2,'Weekly Summary'!26:26)</f>
        <v>86600</v>
      </c>
      <c r="F24" s="111">
        <f>SUMIF('Weekly Summary'!$2:$2,F$2,'Weekly Summary'!26:26)</f>
        <v>267869</v>
      </c>
      <c r="G24" s="111">
        <f>SUMIF('Weekly Summary'!$2:$2,G$2,'Weekly Summary'!26:26)</f>
        <v>393402</v>
      </c>
      <c r="H24" s="111">
        <f>SUMIF('Weekly Summary'!$2:$2,H$2,'Weekly Summary'!26:26)</f>
        <v>42104</v>
      </c>
      <c r="I24" s="111">
        <f>SUMIF('Weekly Summary'!$2:$2,I$2,'Weekly Summary'!26:26)</f>
        <v>0</v>
      </c>
      <c r="J24" s="111">
        <f>SUMIF('Weekly Summary'!$2:$2,J$2,'Weekly Summary'!26:26)</f>
        <v>0</v>
      </c>
      <c r="K24" s="111">
        <f>SUMIF('Weekly Summary'!$2:$2,K$2,'Weekly Summary'!26:26)</f>
        <v>0</v>
      </c>
      <c r="L24" s="111"/>
      <c r="M24" s="111">
        <f t="shared" ref="M24" si="10">SUM(C24:L24)</f>
        <v>825127</v>
      </c>
    </row>
    <row r="25" spans="1:14" x14ac:dyDescent="0.35">
      <c r="A25" s="31"/>
    </row>
    <row r="26" spans="1:14" ht="15" thickBot="1" x14ac:dyDescent="0.4">
      <c r="A26" s="3"/>
    </row>
    <row r="27" spans="1:14" s="114" customFormat="1" x14ac:dyDescent="0.35">
      <c r="A27" s="112" t="s">
        <v>231</v>
      </c>
      <c r="B27" s="113">
        <f>+B23-B20</f>
        <v>0</v>
      </c>
      <c r="C27" s="113">
        <f t="shared" ref="C27:H27" si="11">+C23-C20</f>
        <v>-311107.5</v>
      </c>
      <c r="D27" s="113">
        <f t="shared" si="11"/>
        <v>-401632.1</v>
      </c>
      <c r="E27" s="113">
        <f t="shared" si="11"/>
        <v>-1191576</v>
      </c>
      <c r="F27" s="113">
        <f t="shared" si="11"/>
        <v>-1883611.5</v>
      </c>
      <c r="G27" s="113">
        <f t="shared" si="11"/>
        <v>-1809217.7</v>
      </c>
      <c r="H27" s="113">
        <f t="shared" si="11"/>
        <v>-447788.52500000002</v>
      </c>
      <c r="I27" s="113"/>
      <c r="J27" s="113"/>
      <c r="K27" s="113"/>
      <c r="L27" s="113"/>
      <c r="M27" s="113">
        <f>SUM(B27:L27)</f>
        <v>-6044933.3250000002</v>
      </c>
    </row>
    <row r="28" spans="1:14" s="116" customFormat="1" x14ac:dyDescent="0.35">
      <c r="A28" s="115" t="s">
        <v>232</v>
      </c>
      <c r="B28" s="70">
        <f>+B24-B20</f>
        <v>0</v>
      </c>
      <c r="C28" s="70">
        <f t="shared" ref="C28:H28" si="12">+C24-C20</f>
        <v>-311107.5</v>
      </c>
      <c r="D28" s="70">
        <f t="shared" si="12"/>
        <v>-458610.5</v>
      </c>
      <c r="E28" s="70">
        <f t="shared" si="12"/>
        <v>-1200400</v>
      </c>
      <c r="F28" s="70">
        <f t="shared" si="12"/>
        <v>-1932901</v>
      </c>
      <c r="G28" s="70">
        <f t="shared" si="12"/>
        <v>-1923198</v>
      </c>
      <c r="H28" s="70">
        <f t="shared" si="12"/>
        <v>-500849.125</v>
      </c>
      <c r="I28" s="70"/>
      <c r="J28" s="70"/>
      <c r="K28" s="70"/>
      <c r="L28" s="70"/>
      <c r="M28" s="70">
        <f t="shared" ref="M28:M30" si="13">SUM(B28:L28)</f>
        <v>-6327066.125</v>
      </c>
    </row>
    <row r="29" spans="1:14" s="30" customFormat="1" x14ac:dyDescent="0.35">
      <c r="A29" s="29" t="s">
        <v>233</v>
      </c>
      <c r="B29" s="107">
        <f>+B23-B21</f>
        <v>0</v>
      </c>
      <c r="C29" s="107">
        <f t="shared" ref="C29:H29" si="14">+C23-C21</f>
        <v>0</v>
      </c>
      <c r="D29" s="107">
        <f t="shared" si="14"/>
        <v>92130.4</v>
      </c>
      <c r="E29" s="107">
        <f t="shared" si="14"/>
        <v>95424</v>
      </c>
      <c r="F29" s="107">
        <f t="shared" si="14"/>
        <v>317158.5</v>
      </c>
      <c r="G29" s="107">
        <f t="shared" si="14"/>
        <v>297382.30000000005</v>
      </c>
      <c r="H29" s="107">
        <f t="shared" si="14"/>
        <v>-1254835.3999999999</v>
      </c>
      <c r="I29" s="107"/>
      <c r="J29" s="107"/>
      <c r="K29" s="107"/>
      <c r="L29" s="107"/>
      <c r="M29" s="107">
        <f t="shared" si="13"/>
        <v>-452740.19999999984</v>
      </c>
    </row>
    <row r="30" spans="1:14" s="110" customFormat="1" ht="15" thickBot="1" x14ac:dyDescent="0.4">
      <c r="A30" s="108" t="s">
        <v>234</v>
      </c>
      <c r="B30" s="109">
        <f>+B24-B21</f>
        <v>0</v>
      </c>
      <c r="C30" s="109">
        <f t="shared" ref="C30:H30" si="15">+C24-C21</f>
        <v>0</v>
      </c>
      <c r="D30" s="109">
        <f t="shared" si="15"/>
        <v>35152</v>
      </c>
      <c r="E30" s="109">
        <f t="shared" si="15"/>
        <v>86600</v>
      </c>
      <c r="F30" s="109">
        <f t="shared" si="15"/>
        <v>267869</v>
      </c>
      <c r="G30" s="109">
        <f t="shared" si="15"/>
        <v>183402</v>
      </c>
      <c r="H30" s="109">
        <f t="shared" si="15"/>
        <v>-1307896</v>
      </c>
      <c r="I30" s="109"/>
      <c r="J30" s="109"/>
      <c r="K30" s="109"/>
      <c r="L30" s="109"/>
      <c r="M30" s="109">
        <f t="shared" si="13"/>
        <v>-734873</v>
      </c>
    </row>
    <row r="31" spans="1:14" x14ac:dyDescent="0.35">
      <c r="A31" s="31"/>
      <c r="B31" s="106"/>
      <c r="C31" s="106"/>
      <c r="D31" s="106"/>
      <c r="E31" s="106"/>
      <c r="F31" s="106"/>
      <c r="G31" s="106"/>
      <c r="H31" s="106"/>
      <c r="I31" s="106"/>
      <c r="J31" s="106"/>
      <c r="K31" s="106"/>
      <c r="L31" s="106"/>
      <c r="M31" s="106"/>
    </row>
    <row r="32" spans="1:14" x14ac:dyDescent="0.35">
      <c r="A32" s="31" t="s">
        <v>229</v>
      </c>
      <c r="B32" s="106">
        <f>SUMIF('Weekly Summary'!$2:$2,B$2,'Weekly Summary'!34:34)</f>
        <v>0</v>
      </c>
      <c r="C32" s="106">
        <f>SUMIF('Weekly Summary'!$2:$2,C$2,'Weekly Summary'!34:34)</f>
        <v>0</v>
      </c>
      <c r="D32" s="106">
        <f>SUMIF('Weekly Summary'!$2:$2,D$2,'Weekly Summary'!34:34)</f>
        <v>9318.4</v>
      </c>
      <c r="E32" s="106">
        <f>SUMIF('Weekly Summary'!$2:$2,E$2,'Weekly Summary'!34:34)</f>
        <v>12736</v>
      </c>
      <c r="F32" s="106">
        <f>SUMIF('Weekly Summary'!$2:$2,F$2,'Weekly Summary'!34:34)</f>
        <v>27520</v>
      </c>
      <c r="G32" s="106">
        <f>SUMIF('Weekly Summary'!$2:$2,G$2,'Weekly Summary'!34:34)</f>
        <v>34444.800000000003</v>
      </c>
      <c r="H32" s="106">
        <f>SUMIF('Weekly Summary'!$2:$2,H$2,'Weekly Summary'!34:34)</f>
        <v>15609.6</v>
      </c>
      <c r="I32" s="106">
        <f>SUMIF('Weekly Summary'!$2:$2,I$2,'Weekly Summary'!34:34)</f>
        <v>0</v>
      </c>
      <c r="J32" s="106">
        <f>SUMIF('Weekly Summary'!$2:$2,J$2,'Weekly Summary'!34:34)</f>
        <v>0</v>
      </c>
      <c r="K32" s="106">
        <f>SUMIF('Weekly Summary'!$2:$2,K$2,'Weekly Summary'!34:34)</f>
        <v>0</v>
      </c>
      <c r="L32" s="106"/>
      <c r="M32" s="106">
        <f>SUM(C32:K32)</f>
        <v>99628.800000000017</v>
      </c>
      <c r="N32" s="121">
        <f>+M32/SUM(M32:M33)</f>
        <v>0.83084928947895131</v>
      </c>
    </row>
    <row r="33" spans="1:14" x14ac:dyDescent="0.35">
      <c r="A33" s="31" t="s">
        <v>230</v>
      </c>
      <c r="B33" s="106">
        <f>SUMIF('Weekly Summary'!$2:$2,B$2,'Weekly Summary'!35:35)</f>
        <v>0</v>
      </c>
      <c r="C33" s="106">
        <f>SUMIF('Weekly Summary'!$2:$2,C$2,'Weekly Summary'!35:35)</f>
        <v>0</v>
      </c>
      <c r="D33" s="106">
        <f>SUMIF('Weekly Summary'!$2:$2,D$2,'Weekly Summary'!35:35)</f>
        <v>0</v>
      </c>
      <c r="E33" s="106">
        <f>SUMIF('Weekly Summary'!$2:$2,E$2,'Weekly Summary'!35:35)</f>
        <v>332.8</v>
      </c>
      <c r="F33" s="106">
        <f>SUMIF('Weekly Summary'!$2:$2,F$2,'Weekly Summary'!35:35)</f>
        <v>8705.6</v>
      </c>
      <c r="G33" s="106">
        <f>SUMIF('Weekly Summary'!$2:$2,G$2,'Weekly Summary'!35:35)</f>
        <v>9881.5999999999985</v>
      </c>
      <c r="H33" s="106">
        <f>SUMIF('Weekly Summary'!$2:$2,H$2,'Weekly Summary'!35:35)</f>
        <v>1363.1999999999998</v>
      </c>
      <c r="I33" s="106">
        <f>SUMIF('Weekly Summary'!$2:$2,I$2,'Weekly Summary'!35:35)</f>
        <v>0</v>
      </c>
      <c r="J33" s="106">
        <f>SUMIF('Weekly Summary'!$2:$2,J$2,'Weekly Summary'!35:35)</f>
        <v>0</v>
      </c>
      <c r="K33" s="106">
        <f>SUMIF('Weekly Summary'!$2:$2,K$2,'Weekly Summary'!35:35)</f>
        <v>0</v>
      </c>
      <c r="L33" s="106"/>
      <c r="M33" s="106">
        <f>SUM(C33:K33)</f>
        <v>20283.2</v>
      </c>
      <c r="N33" s="121">
        <f>+M33/SUM(M32:M33)</f>
        <v>0.16915071052104874</v>
      </c>
    </row>
    <row r="34" spans="1:14" x14ac:dyDescent="0.35">
      <c r="A34" s="31" t="s">
        <v>237</v>
      </c>
      <c r="B34" s="117" t="str">
        <f>IFERROR(SUM(B32:B33)/B23,"")</f>
        <v/>
      </c>
      <c r="C34" s="117" t="str">
        <f t="shared" ref="C34:M34" si="16">IFERROR(SUM(C32:C33)/C23,"")</f>
        <v/>
      </c>
      <c r="D34" s="117">
        <f t="shared" si="16"/>
        <v>0.10114359646761546</v>
      </c>
      <c r="E34" s="117">
        <f t="shared" si="16"/>
        <v>0.1369550637156271</v>
      </c>
      <c r="F34" s="117">
        <f t="shared" si="16"/>
        <v>0.11421923107846707</v>
      </c>
      <c r="G34" s="117">
        <f t="shared" si="16"/>
        <v>8.7362921410541902E-2</v>
      </c>
      <c r="H34" s="117">
        <f t="shared" si="16"/>
        <v>0.17835203426484217</v>
      </c>
      <c r="I34" s="117" t="str">
        <f t="shared" si="16"/>
        <v/>
      </c>
      <c r="J34" s="117" t="str">
        <f t="shared" si="16"/>
        <v/>
      </c>
      <c r="K34" s="117" t="str">
        <f t="shared" si="16"/>
        <v/>
      </c>
      <c r="L34" s="117" t="str">
        <f t="shared" ref="L34" si="17">+IFERROR(L32/L24,"")</f>
        <v/>
      </c>
      <c r="M34" s="117">
        <f t="shared" si="16"/>
        <v>0.10829617403250801</v>
      </c>
    </row>
    <row r="36" spans="1:14" x14ac:dyDescent="0.35">
      <c r="A36" s="3" t="s">
        <v>225</v>
      </c>
      <c r="C36" s="83">
        <f>+C8+C24</f>
        <v>996390</v>
      </c>
      <c r="D36" s="83">
        <f>+D8+D24</f>
        <v>836152</v>
      </c>
      <c r="E36" s="83">
        <f>+E8+E24</f>
        <v>1176992</v>
      </c>
      <c r="F36" s="83">
        <f>+F8+F24</f>
        <v>1177439</v>
      </c>
      <c r="G36" s="83">
        <f>+G8+G24</f>
        <v>1260522</v>
      </c>
      <c r="H36" s="83">
        <f t="shared" ref="H36:K36" si="18">+H8+H24</f>
        <v>499564</v>
      </c>
      <c r="I36" s="83">
        <f t="shared" si="18"/>
        <v>0</v>
      </c>
      <c r="J36" s="83">
        <f t="shared" si="18"/>
        <v>0</v>
      </c>
      <c r="K36" s="83">
        <f t="shared" si="18"/>
        <v>0</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163B-6FC3-43DA-95FD-3DC5898AAE57}">
  <sheetPr>
    <tabColor rgb="FF92D050"/>
    <pageSetUpPr fitToPage="1"/>
  </sheetPr>
  <dimension ref="A1:AS77"/>
  <sheetViews>
    <sheetView zoomScale="90" zoomScaleNormal="90" workbookViewId="0">
      <pane xSplit="1" ySplit="5" topLeftCell="O6" activePane="bottomRight" state="frozen"/>
      <selection pane="topRight" activeCell="B1" sqref="B1"/>
      <selection pane="bottomLeft" activeCell="A7" sqref="A7"/>
      <selection pane="bottomRight" activeCell="Y10" sqref="Y10"/>
    </sheetView>
  </sheetViews>
  <sheetFormatPr defaultRowHeight="14.5" x14ac:dyDescent="0.35"/>
  <cols>
    <col min="1" max="1" width="23.7265625" bestFit="1" customWidth="1"/>
    <col min="2" max="2" width="8" bestFit="1" customWidth="1"/>
    <col min="3" max="3" width="9.08984375" bestFit="1" customWidth="1"/>
    <col min="4" max="10" width="9.6328125" bestFit="1" customWidth="1"/>
    <col min="11" max="11" width="10.6328125" bestFit="1" customWidth="1"/>
    <col min="12" max="30" width="11.1796875" bestFit="1" customWidth="1"/>
    <col min="31" max="42" width="12.26953125" bestFit="1" customWidth="1"/>
    <col min="43" max="43" width="5" bestFit="1" customWidth="1"/>
    <col min="44" max="44" width="12.26953125" bestFit="1" customWidth="1"/>
  </cols>
  <sheetData>
    <row r="1" spans="1:44" ht="21" hidden="1" x14ac:dyDescent="0.5">
      <c r="O1" s="82"/>
      <c r="P1" s="82"/>
      <c r="Q1" s="82"/>
      <c r="R1" s="82"/>
      <c r="S1" s="82"/>
      <c r="T1" s="82"/>
      <c r="U1" s="82"/>
      <c r="V1" s="82"/>
    </row>
    <row r="2" spans="1:44" hidden="1" x14ac:dyDescent="0.35">
      <c r="A2" t="s">
        <v>41</v>
      </c>
      <c r="B2" t="s">
        <v>157</v>
      </c>
      <c r="C2" t="s">
        <v>158</v>
      </c>
      <c r="D2" t="s">
        <v>158</v>
      </c>
      <c r="E2" t="s">
        <v>158</v>
      </c>
      <c r="F2" t="s">
        <v>158</v>
      </c>
      <c r="G2" t="s">
        <v>158</v>
      </c>
      <c r="H2" t="s">
        <v>159</v>
      </c>
      <c r="I2" t="s">
        <v>159</v>
      </c>
      <c r="J2" t="s">
        <v>159</v>
      </c>
      <c r="K2" t="s">
        <v>159</v>
      </c>
      <c r="L2" t="s">
        <v>160</v>
      </c>
      <c r="M2" t="s">
        <v>160</v>
      </c>
      <c r="N2" t="s">
        <v>160</v>
      </c>
      <c r="O2" t="s">
        <v>160</v>
      </c>
      <c r="P2" t="s">
        <v>173</v>
      </c>
      <c r="Q2" t="s">
        <v>173</v>
      </c>
      <c r="R2" t="s">
        <v>173</v>
      </c>
      <c r="S2" t="s">
        <v>173</v>
      </c>
      <c r="T2" t="s">
        <v>173</v>
      </c>
      <c r="U2" t="s">
        <v>183</v>
      </c>
      <c r="V2" t="s">
        <v>183</v>
      </c>
      <c r="W2" t="s">
        <v>183</v>
      </c>
      <c r="X2" t="s">
        <v>183</v>
      </c>
      <c r="Y2" t="s">
        <v>217</v>
      </c>
      <c r="Z2" t="s">
        <v>217</v>
      </c>
      <c r="AA2" t="s">
        <v>217</v>
      </c>
      <c r="AB2" t="s">
        <v>217</v>
      </c>
      <c r="AC2" t="s">
        <v>218</v>
      </c>
      <c r="AD2" t="s">
        <v>218</v>
      </c>
      <c r="AE2" t="s">
        <v>218</v>
      </c>
      <c r="AF2" t="s">
        <v>218</v>
      </c>
      <c r="AG2" t="s">
        <v>218</v>
      </c>
      <c r="AH2" t="s">
        <v>219</v>
      </c>
      <c r="AI2" t="s">
        <v>219</v>
      </c>
      <c r="AJ2" t="s">
        <v>219</v>
      </c>
      <c r="AK2" t="s">
        <v>219</v>
      </c>
      <c r="AL2" t="s">
        <v>220</v>
      </c>
      <c r="AM2" t="s">
        <v>220</v>
      </c>
      <c r="AN2" t="s">
        <v>220</v>
      </c>
      <c r="AO2" t="s">
        <v>220</v>
      </c>
      <c r="AP2" t="s">
        <v>220</v>
      </c>
    </row>
    <row r="3" spans="1:44" x14ac:dyDescent="0.35">
      <c r="A3" t="s">
        <v>18</v>
      </c>
      <c r="B3" s="1">
        <v>46104</v>
      </c>
      <c r="C3" s="1">
        <v>46111</v>
      </c>
      <c r="D3" s="1">
        <f>+C3+7</f>
        <v>46118</v>
      </c>
      <c r="E3" s="1">
        <f t="shared" ref="E3:V3" si="0">+D3+7</f>
        <v>46125</v>
      </c>
      <c r="F3" s="1">
        <f t="shared" si="0"/>
        <v>46132</v>
      </c>
      <c r="G3" s="1">
        <f t="shared" si="0"/>
        <v>46139</v>
      </c>
      <c r="H3" s="1">
        <f t="shared" si="0"/>
        <v>46146</v>
      </c>
      <c r="I3" s="1">
        <f t="shared" si="0"/>
        <v>46153</v>
      </c>
      <c r="J3" s="1">
        <f t="shared" si="0"/>
        <v>46160</v>
      </c>
      <c r="K3" s="1">
        <f t="shared" si="0"/>
        <v>46167</v>
      </c>
      <c r="L3" s="1">
        <f t="shared" si="0"/>
        <v>46174</v>
      </c>
      <c r="M3" s="1">
        <f t="shared" si="0"/>
        <v>46181</v>
      </c>
      <c r="N3" s="1">
        <f t="shared" si="0"/>
        <v>46188</v>
      </c>
      <c r="O3" s="1">
        <f t="shared" si="0"/>
        <v>46195</v>
      </c>
      <c r="P3" s="1">
        <f t="shared" si="0"/>
        <v>46202</v>
      </c>
      <c r="Q3" s="1">
        <f t="shared" si="0"/>
        <v>46209</v>
      </c>
      <c r="R3" s="1">
        <f t="shared" si="0"/>
        <v>46216</v>
      </c>
      <c r="S3" s="1">
        <f t="shared" si="0"/>
        <v>46223</v>
      </c>
      <c r="T3" s="1">
        <f t="shared" si="0"/>
        <v>46230</v>
      </c>
      <c r="U3" s="1">
        <f t="shared" si="0"/>
        <v>46237</v>
      </c>
      <c r="V3" s="1">
        <f t="shared" si="0"/>
        <v>46244</v>
      </c>
      <c r="W3" s="1">
        <f t="shared" ref="W3" si="1">+V3+7</f>
        <v>46251</v>
      </c>
      <c r="X3" s="1">
        <f t="shared" ref="X3" si="2">+W3+7</f>
        <v>46258</v>
      </c>
      <c r="Y3" s="1">
        <f t="shared" ref="Y3" si="3">+X3+7</f>
        <v>46265</v>
      </c>
      <c r="Z3" s="1">
        <f t="shared" ref="Z3" si="4">+Y3+7</f>
        <v>46272</v>
      </c>
      <c r="AA3" s="1">
        <f t="shared" ref="AA3" si="5">+Z3+7</f>
        <v>46279</v>
      </c>
      <c r="AB3" s="1">
        <f t="shared" ref="AB3" si="6">+AA3+7</f>
        <v>46286</v>
      </c>
      <c r="AC3" s="1">
        <f t="shared" ref="AC3" si="7">+AB3+7</f>
        <v>46293</v>
      </c>
      <c r="AD3" s="1">
        <f t="shared" ref="AD3" si="8">+AC3+7</f>
        <v>46300</v>
      </c>
      <c r="AE3" s="1">
        <f t="shared" ref="AE3" si="9">+AD3+7</f>
        <v>46307</v>
      </c>
      <c r="AF3" s="1">
        <f t="shared" ref="AF3" si="10">+AE3+7</f>
        <v>46314</v>
      </c>
      <c r="AG3" s="1">
        <f t="shared" ref="AG3" si="11">+AF3+7</f>
        <v>46321</v>
      </c>
      <c r="AH3" s="1">
        <f t="shared" ref="AH3" si="12">+AG3+7</f>
        <v>46328</v>
      </c>
      <c r="AI3" s="1">
        <f t="shared" ref="AI3" si="13">+AH3+7</f>
        <v>46335</v>
      </c>
      <c r="AJ3" s="1">
        <f t="shared" ref="AJ3" si="14">+AI3+7</f>
        <v>46342</v>
      </c>
      <c r="AK3" s="1">
        <f t="shared" ref="AK3" si="15">+AJ3+7</f>
        <v>46349</v>
      </c>
      <c r="AL3" s="1">
        <f t="shared" ref="AL3" si="16">+AK3+7</f>
        <v>46356</v>
      </c>
      <c r="AM3" s="1">
        <f t="shared" ref="AM3" si="17">+AL3+7</f>
        <v>46363</v>
      </c>
      <c r="AN3" s="1">
        <f t="shared" ref="AN3" si="18">+AM3+7</f>
        <v>46370</v>
      </c>
      <c r="AO3" s="1">
        <f t="shared" ref="AO3" si="19">+AN3+7</f>
        <v>46377</v>
      </c>
      <c r="AP3" s="1">
        <f t="shared" ref="AP3" si="20">+AO3+7</f>
        <v>46384</v>
      </c>
      <c r="AR3" t="s">
        <v>221</v>
      </c>
    </row>
    <row r="4" spans="1:44" x14ac:dyDescent="0.35">
      <c r="A4" t="s">
        <v>31</v>
      </c>
      <c r="B4">
        <f>+WEEKNUM(B3)</f>
        <v>13</v>
      </c>
      <c r="C4">
        <f>+WEEKNUM(C3)</f>
        <v>14</v>
      </c>
      <c r="D4">
        <f t="shared" ref="D4:J4" si="21">+WEEKNUM(D3)</f>
        <v>15</v>
      </c>
      <c r="E4">
        <f t="shared" si="21"/>
        <v>16</v>
      </c>
      <c r="F4">
        <f t="shared" si="21"/>
        <v>17</v>
      </c>
      <c r="G4">
        <f t="shared" si="21"/>
        <v>18</v>
      </c>
      <c r="H4">
        <f t="shared" si="21"/>
        <v>19</v>
      </c>
      <c r="I4">
        <f t="shared" si="21"/>
        <v>20</v>
      </c>
      <c r="J4">
        <f t="shared" si="21"/>
        <v>21</v>
      </c>
      <c r="K4">
        <f t="shared" ref="K4:P4" si="22">+WEEKNUM(K3)</f>
        <v>22</v>
      </c>
      <c r="L4">
        <f t="shared" si="22"/>
        <v>23</v>
      </c>
      <c r="M4">
        <f t="shared" si="22"/>
        <v>24</v>
      </c>
      <c r="N4">
        <f t="shared" si="22"/>
        <v>25</v>
      </c>
      <c r="O4">
        <f t="shared" si="22"/>
        <v>26</v>
      </c>
      <c r="P4">
        <f t="shared" si="22"/>
        <v>27</v>
      </c>
      <c r="Q4">
        <f t="shared" ref="Q4:R4" si="23">+WEEKNUM(Q3)</f>
        <v>28</v>
      </c>
      <c r="R4">
        <f t="shared" si="23"/>
        <v>29</v>
      </c>
      <c r="S4">
        <f t="shared" ref="S4:T4" si="24">+WEEKNUM(S3)</f>
        <v>30</v>
      </c>
      <c r="T4">
        <f t="shared" si="24"/>
        <v>31</v>
      </c>
      <c r="U4">
        <f t="shared" ref="U4:V4" si="25">+WEEKNUM(U3)</f>
        <v>32</v>
      </c>
      <c r="V4">
        <f t="shared" si="25"/>
        <v>33</v>
      </c>
      <c r="W4">
        <f t="shared" ref="W4:AJ4" si="26">+WEEKNUM(W3)</f>
        <v>34</v>
      </c>
      <c r="X4">
        <f t="shared" si="26"/>
        <v>35</v>
      </c>
      <c r="Y4">
        <f t="shared" si="26"/>
        <v>36</v>
      </c>
      <c r="Z4">
        <f t="shared" si="26"/>
        <v>37</v>
      </c>
      <c r="AA4">
        <f t="shared" si="26"/>
        <v>38</v>
      </c>
      <c r="AB4">
        <f t="shared" si="26"/>
        <v>39</v>
      </c>
      <c r="AC4">
        <f t="shared" si="26"/>
        <v>40</v>
      </c>
      <c r="AD4">
        <f t="shared" si="26"/>
        <v>41</v>
      </c>
      <c r="AE4">
        <f t="shared" si="26"/>
        <v>42</v>
      </c>
      <c r="AF4">
        <f t="shared" si="26"/>
        <v>43</v>
      </c>
      <c r="AG4">
        <f t="shared" si="26"/>
        <v>44</v>
      </c>
      <c r="AH4">
        <f t="shared" si="26"/>
        <v>45</v>
      </c>
      <c r="AI4">
        <f t="shared" si="26"/>
        <v>46</v>
      </c>
      <c r="AJ4">
        <f t="shared" si="26"/>
        <v>47</v>
      </c>
      <c r="AK4">
        <f t="shared" ref="AK4:AP4" si="27">+WEEKNUM(AK3)</f>
        <v>48</v>
      </c>
      <c r="AL4">
        <f t="shared" si="27"/>
        <v>49</v>
      </c>
      <c r="AM4">
        <f t="shared" si="27"/>
        <v>50</v>
      </c>
      <c r="AN4">
        <f t="shared" si="27"/>
        <v>51</v>
      </c>
      <c r="AO4">
        <f t="shared" si="27"/>
        <v>52</v>
      </c>
      <c r="AP4">
        <f t="shared" si="27"/>
        <v>53</v>
      </c>
    </row>
    <row r="5" spans="1:44" ht="15" thickBot="1" x14ac:dyDescent="0.4"/>
    <row r="6" spans="1:44" x14ac:dyDescent="0.35">
      <c r="A6" s="24" t="s">
        <v>42</v>
      </c>
      <c r="B6" s="25">
        <f>SUMIF('Daily Summary New'!$3:$3,B$4,'Daily Summary New'!6:6)</f>
        <v>0</v>
      </c>
      <c r="C6" s="25">
        <f>SUMIF('Daily Summary New'!$3:$3,C$4,'Daily Summary New'!6:6)</f>
        <v>46080</v>
      </c>
      <c r="D6" s="25">
        <f>SUMIF('Daily Summary New'!$3:$3,D$4,'Daily Summary New'!6:6)</f>
        <v>46080</v>
      </c>
      <c r="E6" s="25">
        <f>SUMIF('Daily Summary New'!$3:$3,E$4,'Daily Summary New'!6:6)</f>
        <v>46080</v>
      </c>
      <c r="F6" s="25">
        <f>SUMIF('Daily Summary New'!$3:$3,F$4,'Daily Summary New'!6:6)</f>
        <v>46080</v>
      </c>
      <c r="G6" s="25">
        <f>SUMIF('Daily Summary New'!$3:$3,G$4,'Daily Summary New'!6:6)</f>
        <v>46080</v>
      </c>
      <c r="H6" s="25">
        <f>SUMIF('Daily Summary New'!$3:$3,H$4,'Daily Summary New'!6:6)</f>
        <v>144000</v>
      </c>
      <c r="I6" s="25">
        <f>SUMIF('Daily Summary New'!$3:$3,I$4,'Daily Summary New'!6:6)</f>
        <v>144000</v>
      </c>
      <c r="J6" s="25">
        <f>SUMIF('Daily Summary New'!$3:$3,J$4,'Daily Summary New'!6:6)</f>
        <v>144000</v>
      </c>
      <c r="K6" s="25">
        <f>SUMIF('Daily Summary New'!$3:$3,K$4,'Daily Summary New'!6:6)</f>
        <v>108000</v>
      </c>
      <c r="L6" s="25">
        <f>SUMIF('Daily Summary New'!$3:$3,L$4,'Daily Summary New'!6:6)</f>
        <v>288000</v>
      </c>
      <c r="M6" s="25">
        <f>SUMIF('Daily Summary New'!$3:$3,M$4,'Daily Summary New'!6:6)</f>
        <v>288000</v>
      </c>
      <c r="N6" s="25">
        <f>SUMIF('Daily Summary New'!$3:$3,N$4,'Daily Summary New'!6:6)</f>
        <v>288000</v>
      </c>
      <c r="O6" s="25">
        <f>SUMIF('Daily Summary New'!$3:$3,O$4,'Daily Summary New'!6:6)</f>
        <v>288000</v>
      </c>
      <c r="P6" s="25">
        <f>SUMIF('Daily Summary New'!$3:$3,P$4,'Daily Summary New'!6:6)</f>
        <v>265420.79999999999</v>
      </c>
      <c r="Q6" s="25">
        <f>SUMIF('Daily Summary New'!$3:$3,Q$4,'Daily Summary New'!6:6)</f>
        <v>331776</v>
      </c>
      <c r="R6" s="25">
        <f>SUMIF('Daily Summary New'!$3:$3,R$4,'Daily Summary New'!6:6)</f>
        <v>331776</v>
      </c>
      <c r="S6" s="25">
        <f>SUMIF('Daily Summary New'!$3:$3,S$4,'Daily Summary New'!6:6)</f>
        <v>331776</v>
      </c>
      <c r="T6" s="25">
        <f>SUMIF('Daily Summary New'!$3:$3,T$4,'Daily Summary New'!6:6)</f>
        <v>331776</v>
      </c>
      <c r="U6" s="25">
        <f>SUMIF('Daily Summary New'!$3:$3,U$4,'Daily Summary New'!6:6)</f>
        <v>432000</v>
      </c>
      <c r="V6" s="25">
        <f>SUMIF('Daily Summary New'!$3:$3,V$4,'Daily Summary New'!6:6)</f>
        <v>432000</v>
      </c>
      <c r="W6" s="25">
        <f>SUMIF('Daily Summary New'!$3:$3,W$4,'Daily Summary New'!6:6)</f>
        <v>432000</v>
      </c>
      <c r="X6" s="25">
        <f>SUMIF('Daily Summary New'!$3:$3,X$4,'Daily Summary New'!6:6)</f>
        <v>432000</v>
      </c>
      <c r="Y6" s="25">
        <f>SUMIF('Daily Summary New'!$3:$3,Y$4,'Daily Summary New'!6:6)</f>
        <v>492480</v>
      </c>
      <c r="Z6" s="25">
        <f>SUMIF('Daily Summary New'!$3:$3,Z$4,'Daily Summary New'!6:6)</f>
        <v>393984</v>
      </c>
      <c r="AA6" s="25">
        <f>SUMIF('Daily Summary New'!$3:$3,AA$4,'Daily Summary New'!6:6)</f>
        <v>492480</v>
      </c>
      <c r="AB6" s="25">
        <f>SUMIF('Daily Summary New'!$3:$3,AB$4,'Daily Summary New'!6:6)</f>
        <v>492480</v>
      </c>
      <c r="AC6" s="25">
        <f>SUMIF('Daily Summary New'!$3:$3,AC$4,'Daily Summary New'!6:6)</f>
        <v>518400</v>
      </c>
      <c r="AD6" s="25">
        <f>SUMIF('Daily Summary New'!$3:$3,AD$4,'Daily Summary New'!6:6)</f>
        <v>518400</v>
      </c>
      <c r="AE6" s="25">
        <f>SUMIF('Daily Summary New'!$3:$3,AE$4,'Daily Summary New'!6:6)</f>
        <v>518400</v>
      </c>
      <c r="AF6" s="25">
        <f>SUMIF('Daily Summary New'!$3:$3,AF$4,'Daily Summary New'!6:6)</f>
        <v>518400</v>
      </c>
      <c r="AG6" s="25">
        <f>SUMIF('Daily Summary New'!$3:$3,AG$4,'Daily Summary New'!6:6)</f>
        <v>518400</v>
      </c>
      <c r="AH6" s="25">
        <f>SUMIF('Daily Summary New'!$3:$3,AH$4,'Daily Summary New'!6:6)</f>
        <v>492480</v>
      </c>
      <c r="AI6" s="25">
        <f>SUMIF('Daily Summary New'!$3:$3,AI$4,'Daily Summary New'!6:6)</f>
        <v>492480</v>
      </c>
      <c r="AJ6" s="25">
        <f>SUMIF('Daily Summary New'!$3:$3,AJ$4,'Daily Summary New'!6:6)</f>
        <v>492480</v>
      </c>
      <c r="AK6" s="25">
        <f>SUMIF('Daily Summary New'!$3:$3,AK$4,'Daily Summary New'!6:6)</f>
        <v>295488</v>
      </c>
      <c r="AL6" s="25">
        <f>SUMIF('Daily Summary New'!$3:$3,AL$4,'Daily Summary New'!6:6)</f>
        <v>492480</v>
      </c>
      <c r="AM6" s="25">
        <f>SUMIF('Daily Summary New'!$3:$3,AM$4,'Daily Summary New'!6:6)</f>
        <v>492480</v>
      </c>
      <c r="AN6" s="25">
        <f>SUMIF('Daily Summary New'!$3:$3,AN$4,'Daily Summary New'!6:6)</f>
        <v>492480</v>
      </c>
      <c r="AO6" s="25">
        <f>SUMIF('Daily Summary New'!$3:$3,AO$4,'Daily Summary New'!6:6)</f>
        <v>295488</v>
      </c>
      <c r="AP6" s="25">
        <f>SUMIF('Daily Summary New'!$3:$3,AP$4,'Daily Summary New'!6:6)</f>
        <v>0</v>
      </c>
      <c r="AQ6" s="25"/>
      <c r="AR6" s="25">
        <f>SUM(C6:AQ6)</f>
        <v>13252204.800000001</v>
      </c>
    </row>
    <row r="7" spans="1:44" s="30" customFormat="1" x14ac:dyDescent="0.35">
      <c r="A7" s="29" t="s">
        <v>185</v>
      </c>
      <c r="B7" s="107">
        <f>SUMIF('Daily Summary New'!$3:$3,B$4,'Daily Summary New'!7:7)</f>
        <v>0</v>
      </c>
      <c r="C7" s="107">
        <f>SUMIF('Daily Summary New'!$3:$3,C$4,'Daily Summary New'!7:7)</f>
        <v>0</v>
      </c>
      <c r="D7" s="107">
        <f>SUMIF('Daily Summary New'!$3:$3,D$4,'Daily Summary New'!7:7)</f>
        <v>0</v>
      </c>
      <c r="E7" s="107">
        <f>SUMIF('Daily Summary New'!$3:$3,E$4,'Daily Summary New'!7:7)</f>
        <v>0</v>
      </c>
      <c r="F7" s="107">
        <f>SUMIF('Daily Summary New'!$3:$3,F$4,'Daily Summary New'!7:7)</f>
        <v>0</v>
      </c>
      <c r="G7" s="107">
        <f>SUMIF('Daily Summary New'!$3:$3,G$4,'Daily Summary New'!7:7)</f>
        <v>0</v>
      </c>
      <c r="H7" s="107">
        <f>SUMIF('Daily Summary New'!$3:$3,H$4,'Daily Summary New'!7:7)</f>
        <v>0</v>
      </c>
      <c r="I7" s="107">
        <f>SUMIF('Daily Summary New'!$3:$3,I$4,'Daily Summary New'!7:7)</f>
        <v>0</v>
      </c>
      <c r="J7" s="107">
        <f>SUMIF('Daily Summary New'!$3:$3,J$4,'Daily Summary New'!7:7)</f>
        <v>0</v>
      </c>
      <c r="K7" s="107">
        <f>SUMIF('Daily Summary New'!$3:$3,K$4,'Daily Summary New'!7:7)</f>
        <v>0</v>
      </c>
      <c r="L7" s="107">
        <f>SUMIF('Daily Summary New'!$3:$3,L$4,'Daily Summary New'!7:7)</f>
        <v>0</v>
      </c>
      <c r="M7" s="107">
        <f>SUMIF('Daily Summary New'!$3:$3,M$4,'Daily Summary New'!7:7)</f>
        <v>0</v>
      </c>
      <c r="N7" s="107">
        <f>SUMIF('Daily Summary New'!$3:$3,N$4,'Daily Summary New'!7:7)</f>
        <v>0</v>
      </c>
      <c r="O7" s="107">
        <f>SUMIF('Daily Summary New'!$3:$3,O$4,'Daily Summary New'!7:7)</f>
        <v>0</v>
      </c>
      <c r="P7" s="107">
        <f>SUMIF('Daily Summary New'!$3:$3,P$4,'Daily Summary New'!7:7)</f>
        <v>0</v>
      </c>
      <c r="Q7" s="107">
        <f>SUMIF('Daily Summary New'!$3:$3,Q$4,'Daily Summary New'!7:7)</f>
        <v>0</v>
      </c>
      <c r="R7" s="107">
        <f>SUMIF('Daily Summary New'!$3:$3,R$4,'Daily Summary New'!7:7)</f>
        <v>0</v>
      </c>
      <c r="S7" s="107">
        <f>SUMIF('Daily Summary New'!$3:$3,S$4,'Daily Summary New'!7:7)</f>
        <v>0</v>
      </c>
      <c r="T7" s="107">
        <f>SUMIF('Daily Summary New'!$3:$3,T$4,'Daily Summary New'!7:7)</f>
        <v>0</v>
      </c>
      <c r="U7" s="107">
        <f>SUMIF('Daily Summary New'!$3:$3,U$4,'Daily Summary New'!7:7)</f>
        <v>320000</v>
      </c>
      <c r="V7" s="107">
        <f>SUMIF('Daily Summary New'!$3:$3,V$4,'Daily Summary New'!7:7)</f>
        <v>320000</v>
      </c>
      <c r="W7" s="107">
        <f>SUMIF('Daily Summary New'!$3:$3,W$4,'Daily Summary New'!7:7)</f>
        <v>160000</v>
      </c>
      <c r="X7" s="107">
        <f>SUMIF('Daily Summary New'!$3:$3,X$4,'Daily Summary New'!7:7)</f>
        <v>320000</v>
      </c>
      <c r="Y7" s="107">
        <f>SUMIF('Daily Summary New'!$3:$3,Y$4,'Daily Summary New'!7:7)</f>
        <v>360000</v>
      </c>
      <c r="Z7" s="107">
        <f>SUMIF('Daily Summary New'!$3:$3,Z$4,'Daily Summary New'!7:7)</f>
        <v>360000</v>
      </c>
      <c r="AA7" s="107">
        <f>SUMIF('Daily Summary New'!$3:$3,AA$4,'Daily Summary New'!7:7)</f>
        <v>600000</v>
      </c>
      <c r="AB7" s="107">
        <f>SUMIF('Daily Summary New'!$3:$3,AB$4,'Daily Summary New'!7:7)</f>
        <v>600000</v>
      </c>
      <c r="AC7" s="107">
        <f>SUMIF('Daily Summary New'!$3:$3,AC$4,'Daily Summary New'!7:7)</f>
        <v>600000</v>
      </c>
      <c r="AD7" s="107">
        <f>SUMIF('Daily Summary New'!$3:$3,AD$4,'Daily Summary New'!7:7)</f>
        <v>600000</v>
      </c>
      <c r="AE7" s="107">
        <f>SUMIF('Daily Summary New'!$3:$3,AE$4,'Daily Summary New'!7:7)</f>
        <v>600000</v>
      </c>
      <c r="AF7" s="107">
        <f>SUMIF('Daily Summary New'!$3:$3,AF$4,'Daily Summary New'!7:7)</f>
        <v>600000</v>
      </c>
      <c r="AG7" s="107">
        <f>SUMIF('Daily Summary New'!$3:$3,AG$4,'Daily Summary New'!7:7)</f>
        <v>600000</v>
      </c>
      <c r="AH7" s="107">
        <f>SUMIF('Daily Summary New'!$3:$3,AH$4,'Daily Summary New'!7:7)</f>
        <v>800000</v>
      </c>
      <c r="AI7" s="107">
        <f>SUMIF('Daily Summary New'!$3:$3,AI$4,'Daily Summary New'!7:7)</f>
        <v>800000</v>
      </c>
      <c r="AJ7" s="107">
        <f>SUMIF('Daily Summary New'!$3:$3,AJ$4,'Daily Summary New'!7:7)</f>
        <v>800000</v>
      </c>
      <c r="AK7" s="107">
        <f>SUMIF('Daily Summary New'!$3:$3,AK$4,'Daily Summary New'!7:7)</f>
        <v>480000</v>
      </c>
      <c r="AL7" s="107">
        <f>SUMIF('Daily Summary New'!$3:$3,AL$4,'Daily Summary New'!7:7)</f>
        <v>800000</v>
      </c>
      <c r="AM7" s="107">
        <f>SUMIF('Daily Summary New'!$3:$3,AM$4,'Daily Summary New'!7:7)</f>
        <v>800000</v>
      </c>
      <c r="AN7" s="107">
        <f>SUMIF('Daily Summary New'!$3:$3,AN$4,'Daily Summary New'!7:7)</f>
        <v>800000</v>
      </c>
      <c r="AO7" s="107">
        <f>SUMIF('Daily Summary New'!$3:$3,AO$4,'Daily Summary New'!7:7)</f>
        <v>480000</v>
      </c>
      <c r="AP7" s="107">
        <f>SUMIF('Daily Summary New'!$3:$3,AP$4,'Daily Summary New'!7:7)</f>
        <v>0</v>
      </c>
      <c r="AQ7" s="107"/>
      <c r="AR7" s="107">
        <f t="shared" ref="AR7:AR10" si="28">SUM(C7:AQ7)</f>
        <v>11800000</v>
      </c>
    </row>
    <row r="8" spans="1:44" x14ac:dyDescent="0.35">
      <c r="A8" s="31"/>
      <c r="B8" s="106"/>
      <c r="C8" s="106"/>
      <c r="D8" s="106"/>
      <c r="E8" s="106"/>
      <c r="F8" s="106"/>
      <c r="G8" s="106"/>
      <c r="H8" s="106"/>
      <c r="I8" s="106"/>
      <c r="J8" s="106"/>
      <c r="K8" s="106"/>
      <c r="L8" s="106"/>
      <c r="M8" s="106"/>
      <c r="N8" s="106"/>
      <c r="O8" s="106"/>
      <c r="P8" s="106"/>
      <c r="Q8" s="106"/>
      <c r="R8" s="106"/>
      <c r="S8" s="106"/>
      <c r="T8" s="106"/>
      <c r="U8" s="106"/>
      <c r="V8" s="106"/>
      <c r="W8" s="106"/>
      <c r="X8" s="106"/>
      <c r="Y8" s="106"/>
      <c r="Z8" s="106"/>
      <c r="AA8" s="106"/>
      <c r="AB8" s="106"/>
      <c r="AC8" s="106"/>
      <c r="AD8" s="106"/>
      <c r="AE8" s="106"/>
      <c r="AF8" s="106"/>
      <c r="AG8" s="106"/>
      <c r="AH8" s="106"/>
      <c r="AI8" s="106"/>
      <c r="AJ8" s="106"/>
      <c r="AK8" s="106"/>
      <c r="AL8" s="106"/>
      <c r="AM8" s="106"/>
      <c r="AN8" s="106"/>
      <c r="AO8" s="106"/>
      <c r="AP8" s="106"/>
      <c r="AQ8" s="106"/>
      <c r="AR8" s="106"/>
    </row>
    <row r="9" spans="1:44" s="28" customFormat="1" x14ac:dyDescent="0.35">
      <c r="A9" s="26" t="s">
        <v>32</v>
      </c>
      <c r="B9" s="111">
        <f>SUMIF('Daily Summary New'!$3:$3,B$4,'Daily Summary New'!9:9)</f>
        <v>76320</v>
      </c>
      <c r="C9" s="111">
        <f>SUMIF('Daily Summary New'!$3:$3,C$4,'Daily Summary New'!9:9)</f>
        <v>155040</v>
      </c>
      <c r="D9" s="111">
        <f>SUMIF('Daily Summary New'!$3:$3,D$4,'Daily Summary New'!9:9)</f>
        <v>171840</v>
      </c>
      <c r="E9" s="111">
        <f>SUMIF('Daily Summary New'!$3:$3,E$4,'Daily Summary New'!9:9)</f>
        <v>216919.01234567902</v>
      </c>
      <c r="F9" s="111">
        <f>SUMIF('Daily Summary New'!$3:$3,F$4,'Daily Summary New'!9:9)</f>
        <v>259877.03703703705</v>
      </c>
      <c r="G9" s="111">
        <f>SUMIF('Daily Summary New'!$3:$3,G$4,'Daily Summary New'!9:9)</f>
        <v>319200.12345679011</v>
      </c>
      <c r="H9" s="111">
        <f>SUMIF('Daily Summary New'!$3:$3,H$4,'Daily Summary New'!9:9)</f>
        <v>251410.37037037039</v>
      </c>
      <c r="I9" s="111">
        <f>SUMIF('Daily Summary New'!$3:$3,I$4,'Daily Summary New'!9:9)</f>
        <v>266266.17283950618</v>
      </c>
      <c r="J9" s="111">
        <f>SUMIF('Daily Summary New'!$3:$3,J$4,'Daily Summary New'!9:9)</f>
        <v>253120.7901234568</v>
      </c>
      <c r="K9" s="111">
        <f>SUMIF('Daily Summary New'!$3:$3,K$4,'Daily Summary New'!9:9)</f>
        <v>137536.7901234568</v>
      </c>
      <c r="L9" s="111">
        <f>SUMIF('Daily Summary New'!$3:$3,L$4,'Daily Summary New'!9:9)</f>
        <v>279159.2098765432</v>
      </c>
      <c r="M9" s="111">
        <f>SUMIF('Daily Summary New'!$3:$3,M$4,'Daily Summary New'!9:9)</f>
        <v>202154.23456790124</v>
      </c>
      <c r="N9" s="111">
        <f>SUMIF('Daily Summary New'!$3:$3,N$4,'Daily Summary New'!9:9)</f>
        <v>226501.33333333331</v>
      </c>
      <c r="O9" s="111">
        <f>SUMIF('Daily Summary New'!$3:$3,O$4,'Daily Summary New'!9:9)</f>
        <v>317205.81481481483</v>
      </c>
      <c r="P9" s="111">
        <f>SUMIF('Daily Summary New'!$3:$3,P$4,'Daily Summary New'!9:9)</f>
        <v>247789.80246913582</v>
      </c>
      <c r="Q9" s="111">
        <f>SUMIF('Daily Summary New'!$3:$3,Q$4,'Daily Summary New'!9:9)</f>
        <v>305941.60987654323</v>
      </c>
      <c r="R9" s="111">
        <f>SUMIF('Daily Summary New'!$3:$3,R$4,'Daily Summary New'!9:9)</f>
        <v>0</v>
      </c>
      <c r="S9" s="111">
        <f>SUMIF('Daily Summary New'!$3:$3,S$4,'Daily Summary New'!9:9)</f>
        <v>305699.35802469135</v>
      </c>
      <c r="T9" s="111">
        <f>SUMIF('Daily Summary New'!$3:$3,T$4,'Daily Summary New'!9:9)</f>
        <v>233065.28395061727</v>
      </c>
      <c r="U9" s="111">
        <f>SUMIF('Daily Summary New'!$3:$3,U$4,'Daily Summary New'!9:9)</f>
        <v>324129.77777777775</v>
      </c>
      <c r="V9" s="111">
        <f>SUMIF('Daily Summary New'!$3:$3,V$4,'Daily Summary New'!9:9)</f>
        <v>256963.16049382716</v>
      </c>
      <c r="W9" s="111">
        <f>SUMIF('Daily Summary New'!$3:$3,W$4,'Daily Summary New'!9:9)</f>
        <v>116887.70370370371</v>
      </c>
      <c r="X9" s="111">
        <f>SUMIF('Daily Summary New'!$3:$3,X$4,'Daily Summary New'!9:9)</f>
        <v>375226.46913580247</v>
      </c>
      <c r="Y9" s="111">
        <f>SUMIF('Daily Summary New'!$3:$3,Y$4,'Daily Summary New'!9:9)</f>
        <v>460981.17283950618</v>
      </c>
      <c r="Z9" s="111">
        <f>SUMIF('Daily Summary New'!$3:$3,Z$4,'Daily Summary New'!9:9)</f>
        <v>0</v>
      </c>
      <c r="AA9" s="111">
        <f>SUMIF('Daily Summary New'!$3:$3,AA$4,'Daily Summary New'!9:9)</f>
        <v>0</v>
      </c>
      <c r="AB9" s="111">
        <f>SUMIF('Daily Summary New'!$3:$3,AB$4,'Daily Summary New'!9:9)</f>
        <v>0</v>
      </c>
      <c r="AC9" s="111">
        <f>SUMIF('Daily Summary New'!$3:$3,AC$4,'Daily Summary New'!9:9)</f>
        <v>0</v>
      </c>
      <c r="AD9" s="111">
        <f>SUMIF('Daily Summary New'!$3:$3,AD$4,'Daily Summary New'!9:9)</f>
        <v>0</v>
      </c>
      <c r="AE9" s="111">
        <f>SUMIF('Daily Summary New'!$3:$3,AE$4,'Daily Summary New'!9:9)</f>
        <v>0</v>
      </c>
      <c r="AF9" s="111">
        <f>SUMIF('Daily Summary New'!$3:$3,AF$4,'Daily Summary New'!9:9)</f>
        <v>0</v>
      </c>
      <c r="AG9" s="111">
        <f>SUMIF('Daily Summary New'!$3:$3,AG$4,'Daily Summary New'!9:9)</f>
        <v>0</v>
      </c>
      <c r="AH9" s="111">
        <f>SUMIF('Daily Summary New'!$3:$3,AH$4,'Daily Summary New'!9:9)</f>
        <v>0</v>
      </c>
      <c r="AI9" s="111">
        <f>SUMIF('Daily Summary New'!$3:$3,AI$4,'Daily Summary New'!9:9)</f>
        <v>0</v>
      </c>
      <c r="AJ9" s="111">
        <f>SUMIF('Daily Summary New'!$3:$3,AJ$4,'Daily Summary New'!9:9)</f>
        <v>0</v>
      </c>
      <c r="AK9" s="111">
        <f>SUMIF('Daily Summary New'!$3:$3,AK$4,'Daily Summary New'!9:9)</f>
        <v>0</v>
      </c>
      <c r="AL9" s="111">
        <f>SUMIF('Daily Summary New'!$3:$3,AL$4,'Daily Summary New'!9:9)</f>
        <v>0</v>
      </c>
      <c r="AM9" s="111">
        <f>SUMIF('Daily Summary New'!$3:$3,AM$4,'Daily Summary New'!9:9)</f>
        <v>0</v>
      </c>
      <c r="AN9" s="111">
        <f>SUMIF('Daily Summary New'!$3:$3,AN$4,'Daily Summary New'!9:9)</f>
        <v>0</v>
      </c>
      <c r="AO9" s="111">
        <f>SUMIF('Daily Summary New'!$3:$3,AO$4,'Daily Summary New'!9:9)</f>
        <v>0</v>
      </c>
      <c r="AP9" s="111">
        <f>SUMIF('Daily Summary New'!$3:$3,AP$4,'Daily Summary New'!9:9)</f>
        <v>0</v>
      </c>
      <c r="AQ9" s="27"/>
      <c r="AR9" s="27">
        <f t="shared" ref="AR9" si="29">SUM(C9:AQ9)</f>
        <v>5682915.2271604938</v>
      </c>
    </row>
    <row r="10" spans="1:44" s="28" customFormat="1" x14ac:dyDescent="0.35">
      <c r="A10" s="26" t="s">
        <v>40</v>
      </c>
      <c r="B10" s="111">
        <f>SUMIF('Daily Summary New'!$3:$3,B$4,'Daily Summary New'!10:10)</f>
        <v>76320</v>
      </c>
      <c r="C10" s="111">
        <f>SUMIF('Daily Summary New'!$3:$3,C$4,'Daily Summary New'!10:10)</f>
        <v>155040</v>
      </c>
      <c r="D10" s="111">
        <f>SUMIF('Daily Summary New'!$3:$3,D$4,'Daily Summary New'!10:10)</f>
        <v>171840</v>
      </c>
      <c r="E10" s="111">
        <f>SUMIF('Daily Summary New'!$3:$3,E$4,'Daily Summary New'!10:10)</f>
        <v>189960</v>
      </c>
      <c r="F10" s="111">
        <f>SUMIF('Daily Summary New'!$3:$3,F$4,'Daily Summary New'!10:10)</f>
        <v>246840</v>
      </c>
      <c r="G10" s="111">
        <f>SUMIF('Daily Summary New'!$3:$3,G$4,'Daily Summary New'!10:10)</f>
        <v>232710</v>
      </c>
      <c r="H10" s="111">
        <f>SUMIF('Daily Summary New'!$3:$3,H$4,'Daily Summary New'!10:10)</f>
        <v>235500</v>
      </c>
      <c r="I10" s="111">
        <f>SUMIF('Daily Summary New'!$3:$3,I$4,'Daily Summary New'!10:10)</f>
        <v>229320</v>
      </c>
      <c r="J10" s="111">
        <f>SUMIF('Daily Summary New'!$3:$3,J$4,'Daily Summary New'!10:10)</f>
        <v>156840</v>
      </c>
      <c r="K10" s="111">
        <f>SUMIF('Daily Summary New'!$3:$3,K$4,'Daily Summary New'!10:10)</f>
        <v>179340</v>
      </c>
      <c r="L10" s="111">
        <f>SUMIF('Daily Summary New'!$3:$3,L$4,'Daily Summary New'!10:10)</f>
        <v>297780</v>
      </c>
      <c r="M10" s="111">
        <f>SUMIF('Daily Summary New'!$3:$3,M$4,'Daily Summary New'!10:10)</f>
        <v>198060</v>
      </c>
      <c r="N10" s="111">
        <f>SUMIF('Daily Summary New'!$3:$3,N$4,'Daily Summary New'!10:10)</f>
        <v>291072</v>
      </c>
      <c r="O10" s="111">
        <f>SUMIF('Daily Summary New'!$3:$3,O$4,'Daily Summary New'!10:10)</f>
        <v>303480</v>
      </c>
      <c r="P10" s="111">
        <f>SUMIF('Daily Summary New'!$3:$3,P$4,'Daily Summary New'!10:10)</f>
        <v>219300</v>
      </c>
      <c r="Q10" s="111">
        <f>SUMIF('Daily Summary New'!$3:$3,Q$4,'Daily Summary New'!10:10)</f>
        <v>150660</v>
      </c>
      <c r="R10" s="111">
        <f>SUMIF('Daily Summary New'!$3:$3,R$4,'Daily Summary New'!10:10)</f>
        <v>83250</v>
      </c>
      <c r="S10" s="111">
        <f>SUMIF('Daily Summary New'!$3:$3,S$4,'Daily Summary New'!10:10)</f>
        <v>185415</v>
      </c>
      <c r="T10" s="111">
        <f>SUMIF('Daily Summary New'!$3:$3,T$4,'Daily Summary New'!10:10)</f>
        <v>270945</v>
      </c>
      <c r="U10" s="111">
        <f>SUMIF('Daily Summary New'!$3:$3,U$4,'Daily Summary New'!10:10)</f>
        <v>235200</v>
      </c>
      <c r="V10" s="111">
        <f>SUMIF('Daily Summary New'!$3:$3,V$4,'Daily Summary New'!10:10)</f>
        <v>197640</v>
      </c>
      <c r="W10" s="111">
        <f>SUMIF('Daily Summary New'!$3:$3,W$4,'Daily Summary New'!10:10)</f>
        <v>144660</v>
      </c>
      <c r="X10" s="111">
        <f>SUMIF('Daily Summary New'!$3:$3,X$4,'Daily Summary New'!10:10)</f>
        <v>289620</v>
      </c>
      <c r="Y10" s="111">
        <f>SUMIF('Daily Summary New'!$3:$3,Y$4,'Daily Summary New'!10:10)</f>
        <v>364100</v>
      </c>
      <c r="Z10" s="111">
        <f>SUMIF('Daily Summary New'!$3:$3,Z$4,'Daily Summary New'!10:10)</f>
        <v>93360</v>
      </c>
      <c r="AA10" s="111">
        <f>SUMIF('Daily Summary New'!$3:$3,AA$4,'Daily Summary New'!10:10)</f>
        <v>0</v>
      </c>
      <c r="AB10" s="111">
        <f>SUMIF('Daily Summary New'!$3:$3,AB$4,'Daily Summary New'!10:10)</f>
        <v>0</v>
      </c>
      <c r="AC10" s="111">
        <f>SUMIF('Daily Summary New'!$3:$3,AC$4,'Daily Summary New'!10:10)</f>
        <v>0</v>
      </c>
      <c r="AD10" s="111">
        <f>SUMIF('Daily Summary New'!$3:$3,AD$4,'Daily Summary New'!10:10)</f>
        <v>0</v>
      </c>
      <c r="AE10" s="111">
        <f>SUMIF('Daily Summary New'!$3:$3,AE$4,'Daily Summary New'!10:10)</f>
        <v>0</v>
      </c>
      <c r="AF10" s="111">
        <f>SUMIF('Daily Summary New'!$3:$3,AF$4,'Daily Summary New'!10:10)</f>
        <v>0</v>
      </c>
      <c r="AG10" s="111">
        <f>SUMIF('Daily Summary New'!$3:$3,AG$4,'Daily Summary New'!10:10)</f>
        <v>0</v>
      </c>
      <c r="AH10" s="111">
        <f>SUMIF('Daily Summary New'!$3:$3,AH$4,'Daily Summary New'!10:10)</f>
        <v>0</v>
      </c>
      <c r="AI10" s="111">
        <f>SUMIF('Daily Summary New'!$3:$3,AI$4,'Daily Summary New'!10:10)</f>
        <v>0</v>
      </c>
      <c r="AJ10" s="111">
        <f>SUMIF('Daily Summary New'!$3:$3,AJ$4,'Daily Summary New'!10:10)</f>
        <v>0</v>
      </c>
      <c r="AK10" s="111">
        <f>SUMIF('Daily Summary New'!$3:$3,AK$4,'Daily Summary New'!10:10)</f>
        <v>0</v>
      </c>
      <c r="AL10" s="111">
        <f>SUMIF('Daily Summary New'!$3:$3,AL$4,'Daily Summary New'!10:10)</f>
        <v>0</v>
      </c>
      <c r="AM10" s="111">
        <f>SUMIF('Daily Summary New'!$3:$3,AM$4,'Daily Summary New'!10:10)</f>
        <v>0</v>
      </c>
      <c r="AN10" s="111">
        <f>SUMIF('Daily Summary New'!$3:$3,AN$4,'Daily Summary New'!10:10)</f>
        <v>0</v>
      </c>
      <c r="AO10" s="111">
        <f>SUMIF('Daily Summary New'!$3:$3,AO$4,'Daily Summary New'!10:10)</f>
        <v>0</v>
      </c>
      <c r="AP10" s="111">
        <f>SUMIF('Daily Summary New'!$3:$3,AP$4,'Daily Summary New'!10:10)</f>
        <v>0</v>
      </c>
      <c r="AQ10" s="27"/>
      <c r="AR10" s="27">
        <f t="shared" si="28"/>
        <v>5121932</v>
      </c>
    </row>
    <row r="11" spans="1:44" x14ac:dyDescent="0.35">
      <c r="A11" s="31"/>
    </row>
    <row r="12" spans="1:44" ht="15" thickBot="1" x14ac:dyDescent="0.4">
      <c r="A12" s="3"/>
    </row>
    <row r="13" spans="1:44" s="114" customFormat="1" x14ac:dyDescent="0.35">
      <c r="A13" s="112" t="s">
        <v>231</v>
      </c>
      <c r="B13" s="113">
        <f>+B9-B6</f>
        <v>76320</v>
      </c>
      <c r="C13" s="113">
        <f t="shared" ref="C13:X13" si="30">+C9-C6</f>
        <v>108960</v>
      </c>
      <c r="D13" s="113">
        <f t="shared" si="30"/>
        <v>125760</v>
      </c>
      <c r="E13" s="113">
        <f t="shared" si="30"/>
        <v>170839.01234567902</v>
      </c>
      <c r="F13" s="113">
        <f t="shared" si="30"/>
        <v>213797.03703703705</v>
      </c>
      <c r="G13" s="113">
        <f t="shared" si="30"/>
        <v>273120.12345679011</v>
      </c>
      <c r="H13" s="113">
        <f t="shared" si="30"/>
        <v>107410.37037037039</v>
      </c>
      <c r="I13" s="113">
        <f t="shared" si="30"/>
        <v>122266.17283950618</v>
      </c>
      <c r="J13" s="113">
        <f t="shared" si="30"/>
        <v>109120.7901234568</v>
      </c>
      <c r="K13" s="113">
        <f t="shared" si="30"/>
        <v>29536.790123456798</v>
      </c>
      <c r="L13" s="113">
        <f t="shared" si="30"/>
        <v>-8840.790123456798</v>
      </c>
      <c r="M13" s="113">
        <f t="shared" si="30"/>
        <v>-85845.765432098764</v>
      </c>
      <c r="N13" s="113">
        <f t="shared" si="30"/>
        <v>-61498.666666666686</v>
      </c>
      <c r="O13" s="113">
        <f t="shared" si="30"/>
        <v>29205.814814814832</v>
      </c>
      <c r="P13" s="113">
        <f t="shared" si="30"/>
        <v>-17630.997530864173</v>
      </c>
      <c r="Q13" s="113">
        <f t="shared" si="30"/>
        <v>-25834.390123456775</v>
      </c>
      <c r="R13" s="113">
        <f t="shared" si="30"/>
        <v>-331776</v>
      </c>
      <c r="S13" s="113">
        <f t="shared" si="30"/>
        <v>-26076.641975308652</v>
      </c>
      <c r="T13" s="113">
        <f t="shared" si="30"/>
        <v>-98710.716049382725</v>
      </c>
      <c r="U13" s="113">
        <f t="shared" si="30"/>
        <v>-107870.22222222225</v>
      </c>
      <c r="V13" s="113">
        <f t="shared" si="30"/>
        <v>-175036.83950617284</v>
      </c>
      <c r="W13" s="113">
        <f t="shared" si="30"/>
        <v>-315112.29629629629</v>
      </c>
      <c r="X13" s="113">
        <f t="shared" si="30"/>
        <v>-56773.530864197528</v>
      </c>
      <c r="Y13" s="113">
        <f t="shared" ref="Y13:Z13" si="31">+Y9-Y6</f>
        <v>-31498.82716049382</v>
      </c>
      <c r="Z13" s="113">
        <f t="shared" si="31"/>
        <v>-393984</v>
      </c>
      <c r="AA13" s="113"/>
      <c r="AB13" s="113"/>
      <c r="AC13" s="113"/>
      <c r="AD13" s="113"/>
      <c r="AE13" s="113"/>
      <c r="AF13" s="113"/>
      <c r="AG13" s="113"/>
      <c r="AH13" s="113"/>
      <c r="AI13" s="113"/>
      <c r="AJ13" s="113"/>
      <c r="AK13" s="113"/>
      <c r="AL13" s="113"/>
      <c r="AM13" s="113"/>
      <c r="AN13" s="113"/>
      <c r="AO13" s="113"/>
      <c r="AP13" s="113"/>
      <c r="AQ13" s="113"/>
      <c r="AR13" s="25">
        <f>SUM(C13:AQ13)</f>
        <v>-446473.57283950562</v>
      </c>
    </row>
    <row r="14" spans="1:44" s="116" customFormat="1" x14ac:dyDescent="0.35">
      <c r="A14" s="115" t="s">
        <v>232</v>
      </c>
      <c r="B14" s="70">
        <f>+B10-B6</f>
        <v>76320</v>
      </c>
      <c r="C14" s="70">
        <f t="shared" ref="C14:X14" si="32">+C10-C6</f>
        <v>108960</v>
      </c>
      <c r="D14" s="70">
        <f t="shared" si="32"/>
        <v>125760</v>
      </c>
      <c r="E14" s="70">
        <f t="shared" si="32"/>
        <v>143880</v>
      </c>
      <c r="F14" s="70">
        <f t="shared" si="32"/>
        <v>200760</v>
      </c>
      <c r="G14" s="70">
        <f t="shared" si="32"/>
        <v>186630</v>
      </c>
      <c r="H14" s="70">
        <f t="shared" si="32"/>
        <v>91500</v>
      </c>
      <c r="I14" s="70">
        <f t="shared" si="32"/>
        <v>85320</v>
      </c>
      <c r="J14" s="70">
        <f t="shared" si="32"/>
        <v>12840</v>
      </c>
      <c r="K14" s="70">
        <f t="shared" si="32"/>
        <v>71340</v>
      </c>
      <c r="L14" s="70">
        <f t="shared" si="32"/>
        <v>9780</v>
      </c>
      <c r="M14" s="70">
        <f t="shared" si="32"/>
        <v>-89940</v>
      </c>
      <c r="N14" s="70">
        <f t="shared" si="32"/>
        <v>3072</v>
      </c>
      <c r="O14" s="70">
        <f t="shared" si="32"/>
        <v>15480</v>
      </c>
      <c r="P14" s="70">
        <f t="shared" si="32"/>
        <v>-46120.799999999988</v>
      </c>
      <c r="Q14" s="70">
        <f t="shared" si="32"/>
        <v>-181116</v>
      </c>
      <c r="R14" s="70">
        <f t="shared" si="32"/>
        <v>-248526</v>
      </c>
      <c r="S14" s="70">
        <f t="shared" si="32"/>
        <v>-146361</v>
      </c>
      <c r="T14" s="70">
        <f t="shared" si="32"/>
        <v>-60831</v>
      </c>
      <c r="U14" s="70">
        <f t="shared" si="32"/>
        <v>-196800</v>
      </c>
      <c r="V14" s="70">
        <f t="shared" si="32"/>
        <v>-234360</v>
      </c>
      <c r="W14" s="70">
        <f t="shared" si="32"/>
        <v>-287340</v>
      </c>
      <c r="X14" s="70">
        <f t="shared" si="32"/>
        <v>-142380</v>
      </c>
      <c r="Y14" s="70">
        <f t="shared" ref="Y14:Z14" si="33">+Y10-Y6</f>
        <v>-128380</v>
      </c>
      <c r="Z14" s="70">
        <f t="shared" si="33"/>
        <v>-300624</v>
      </c>
      <c r="AA14" s="70"/>
      <c r="AB14" s="70"/>
      <c r="AC14" s="70"/>
      <c r="AD14" s="70"/>
      <c r="AE14" s="70"/>
      <c r="AF14" s="70"/>
      <c r="AG14" s="70"/>
      <c r="AH14" s="70"/>
      <c r="AI14" s="70"/>
      <c r="AJ14" s="70"/>
      <c r="AK14" s="70"/>
      <c r="AL14" s="70"/>
      <c r="AM14" s="70"/>
      <c r="AN14" s="70"/>
      <c r="AO14" s="70"/>
      <c r="AP14" s="70"/>
      <c r="AQ14" s="70"/>
      <c r="AR14" s="70">
        <f>SUM(C14:AQ14)</f>
        <v>-1007456.8</v>
      </c>
    </row>
    <row r="15" spans="1:44" s="30" customFormat="1" x14ac:dyDescent="0.35">
      <c r="A15" s="29" t="s">
        <v>233</v>
      </c>
      <c r="B15" s="107"/>
      <c r="C15" s="107"/>
      <c r="D15" s="107"/>
      <c r="E15" s="107"/>
      <c r="F15" s="107"/>
      <c r="G15" s="107"/>
      <c r="H15" s="107"/>
      <c r="I15" s="107"/>
      <c r="J15" s="107"/>
      <c r="K15" s="107"/>
      <c r="L15" s="107"/>
      <c r="M15" s="107"/>
      <c r="N15" s="107"/>
      <c r="O15" s="107"/>
      <c r="P15" s="107"/>
      <c r="Q15" s="107"/>
      <c r="R15" s="107"/>
      <c r="S15" s="107"/>
      <c r="T15" s="107"/>
      <c r="U15" s="107">
        <f t="shared" ref="U15:X15" si="34">+U9-U7</f>
        <v>4129.7777777777519</v>
      </c>
      <c r="V15" s="107">
        <f t="shared" si="34"/>
        <v>-63036.839506172837</v>
      </c>
      <c r="W15" s="107">
        <f t="shared" si="34"/>
        <v>-43112.296296296292</v>
      </c>
      <c r="X15" s="107">
        <f t="shared" si="34"/>
        <v>55226.469135802472</v>
      </c>
      <c r="Y15" s="107">
        <f t="shared" ref="Y15:Z15" si="35">+Y9-Y7</f>
        <v>100981.17283950618</v>
      </c>
      <c r="Z15" s="107">
        <f t="shared" si="35"/>
        <v>-360000</v>
      </c>
      <c r="AA15" s="107"/>
      <c r="AB15" s="107"/>
      <c r="AC15" s="107"/>
      <c r="AD15" s="107"/>
      <c r="AE15" s="107"/>
      <c r="AF15" s="107"/>
      <c r="AG15" s="107"/>
      <c r="AH15" s="107"/>
      <c r="AI15" s="107"/>
      <c r="AJ15" s="107"/>
      <c r="AK15" s="107"/>
      <c r="AL15" s="107"/>
      <c r="AM15" s="107"/>
      <c r="AN15" s="107"/>
      <c r="AO15" s="107"/>
      <c r="AP15" s="107"/>
      <c r="AQ15" s="107"/>
      <c r="AR15" s="107">
        <f>SUM(C15:AQ15)</f>
        <v>-305811.7160493827</v>
      </c>
    </row>
    <row r="16" spans="1:44" s="110" customFormat="1" ht="15" thickBot="1" x14ac:dyDescent="0.4">
      <c r="A16" s="108" t="s">
        <v>234</v>
      </c>
      <c r="B16" s="109"/>
      <c r="C16" s="109"/>
      <c r="D16" s="109"/>
      <c r="E16" s="109"/>
      <c r="F16" s="109"/>
      <c r="G16" s="109"/>
      <c r="H16" s="109"/>
      <c r="I16" s="109"/>
      <c r="J16" s="109"/>
      <c r="K16" s="109"/>
      <c r="L16" s="109"/>
      <c r="M16" s="109"/>
      <c r="N16" s="109"/>
      <c r="O16" s="109"/>
      <c r="P16" s="109"/>
      <c r="Q16" s="109"/>
      <c r="R16" s="109"/>
      <c r="S16" s="109"/>
      <c r="T16" s="109"/>
      <c r="U16" s="109">
        <f t="shared" ref="U16:X16" si="36">+U10-U7</f>
        <v>-84800</v>
      </c>
      <c r="V16" s="109">
        <f t="shared" si="36"/>
        <v>-122360</v>
      </c>
      <c r="W16" s="109">
        <f t="shared" si="36"/>
        <v>-15340</v>
      </c>
      <c r="X16" s="109">
        <f t="shared" si="36"/>
        <v>-30380</v>
      </c>
      <c r="Y16" s="109">
        <f t="shared" ref="Y16:Z16" si="37">+Y10-Y7</f>
        <v>4100</v>
      </c>
      <c r="Z16" s="109">
        <f t="shared" si="37"/>
        <v>-266640</v>
      </c>
      <c r="AA16" s="109"/>
      <c r="AB16" s="109"/>
      <c r="AC16" s="109"/>
      <c r="AD16" s="109"/>
      <c r="AE16" s="109"/>
      <c r="AF16" s="109"/>
      <c r="AG16" s="109"/>
      <c r="AH16" s="109"/>
      <c r="AI16" s="109"/>
      <c r="AJ16" s="109"/>
      <c r="AK16" s="109"/>
      <c r="AL16" s="109"/>
      <c r="AM16" s="109"/>
      <c r="AN16" s="109"/>
      <c r="AO16" s="109"/>
      <c r="AP16" s="109"/>
      <c r="AQ16" s="109"/>
      <c r="AR16" s="109">
        <f>SUM(C16:AQ16)</f>
        <v>-515420</v>
      </c>
    </row>
    <row r="17" spans="1:45" x14ac:dyDescent="0.35">
      <c r="A17" s="31"/>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06"/>
      <c r="AO17" s="106"/>
      <c r="AP17" s="106"/>
      <c r="AQ17" s="106"/>
      <c r="AR17" s="106"/>
    </row>
    <row r="18" spans="1:45" x14ac:dyDescent="0.35">
      <c r="A18" s="31" t="s">
        <v>229</v>
      </c>
      <c r="B18" s="106">
        <f>SUMIF('Daily Summary New'!$3:$3,B$4,'Daily Summary New'!18:18)</f>
        <v>0</v>
      </c>
      <c r="C18" s="106">
        <f>SUMIF('Daily Summary New'!$3:$3,C$4,'Daily Summary New'!18:18)</f>
        <v>0</v>
      </c>
      <c r="D18" s="106">
        <f>SUMIF('Daily Summary New'!$3:$3,D$4,'Daily Summary New'!18:18)</f>
        <v>0</v>
      </c>
      <c r="E18" s="106">
        <f>SUMIF('Daily Summary New'!$3:$3,E$4,'Daily Summary New'!18:18)</f>
        <v>26959.012345679013</v>
      </c>
      <c r="F18" s="106">
        <f>SUMIF('Daily Summary New'!$3:$3,F$4,'Daily Summary New'!18:18)</f>
        <v>13037.037037037036</v>
      </c>
      <c r="G18" s="106">
        <f>SUMIF('Daily Summary New'!$3:$3,G$4,'Daily Summary New'!18:18)</f>
        <v>19350.123456790127</v>
      </c>
      <c r="H18" s="106">
        <f>SUMIF('Daily Summary New'!$3:$3,H$4,'Daily Summary New'!18:18)</f>
        <v>25410.370370370372</v>
      </c>
      <c r="I18" s="106">
        <f>SUMIF('Daily Summary New'!$3:$3,I$4,'Daily Summary New'!18:18)</f>
        <v>19026.172839506173</v>
      </c>
      <c r="J18" s="106">
        <f>SUMIF('Daily Summary New'!$3:$3,J$4,'Daily Summary New'!18:18)</f>
        <v>5056.7901234567908</v>
      </c>
      <c r="K18" s="106">
        <f>SUMIF('Daily Summary New'!$3:$3,K$4,'Daily Summary New'!18:18)</f>
        <v>5056.7901234567908</v>
      </c>
      <c r="L18" s="106">
        <f>SUMIF('Daily Summary New'!$3:$3,L$4,'Daily Summary New'!18:18)</f>
        <v>11583.209876543211</v>
      </c>
      <c r="M18" s="106">
        <f>SUMIF('Daily Summary New'!$3:$3,M$4,'Daily Summary New'!18:18)</f>
        <v>10461.234567901236</v>
      </c>
      <c r="N18" s="106">
        <f>SUMIF('Daily Summary New'!$3:$3,N$4,'Daily Summary New'!18:18)</f>
        <v>8533.3333333333339</v>
      </c>
      <c r="O18" s="106">
        <f>SUMIF('Daily Summary New'!$3:$3,O$4,'Daily Summary New'!18:18)</f>
        <v>10334.814814814816</v>
      </c>
      <c r="P18" s="106">
        <f>SUMIF('Daily Summary New'!$3:$3,P$4,'Daily Summary New'!18:18)</f>
        <v>14095.802469135802</v>
      </c>
      <c r="Q18" s="106">
        <f>SUMIF('Daily Summary New'!$3:$3,Q$4,'Daily Summary New'!18:18)</f>
        <v>35365.609876543211</v>
      </c>
      <c r="R18" s="106">
        <f>SUMIF('Daily Summary New'!$3:$3,R$4,'Daily Summary New'!18:18)</f>
        <v>0</v>
      </c>
      <c r="S18" s="106">
        <f>SUMIF('Daily Summary New'!$3:$3,S$4,'Daily Summary New'!18:18)</f>
        <v>21491.358024691359</v>
      </c>
      <c r="T18" s="106">
        <f>SUMIF('Daily Summary New'!$3:$3,T$4,'Daily Summary New'!18:18)</f>
        <v>16985.283950617286</v>
      </c>
      <c r="U18" s="106">
        <f>SUMIF('Daily Summary New'!$3:$3,U$4,'Daily Summary New'!18:18)</f>
        <v>35697.777777777781</v>
      </c>
      <c r="V18" s="106">
        <f>SUMIF('Daily Summary New'!$3:$3,V$4,'Daily Summary New'!18:18)</f>
        <v>12547.160493827161</v>
      </c>
      <c r="W18" s="106">
        <f>SUMIF('Daily Summary New'!$3:$3,W$4,'Daily Summary New'!18:18)</f>
        <v>7063.7037037037044</v>
      </c>
      <c r="X18" s="106">
        <f>SUMIF('Daily Summary New'!$3:$3,X$4,'Daily Summary New'!18:18)</f>
        <v>35002.469135802472</v>
      </c>
      <c r="Y18" s="106">
        <f>SUMIF('Daily Summary New'!$3:$3,Y$4,'Daily Summary New'!18:18)</f>
        <v>37910.123456790127</v>
      </c>
      <c r="Z18" s="106">
        <f>SUMIF('Daily Summary New'!$3:$3,Z$4,'Daily Summary New'!18:18)</f>
        <v>0</v>
      </c>
      <c r="AA18" s="106">
        <f>SUMIF('Daily Summary New'!$3:$3,AA$4,'Daily Summary New'!18:18)</f>
        <v>0</v>
      </c>
      <c r="AB18" s="106">
        <f>SUMIF('Daily Summary New'!$3:$3,AB$4,'Daily Summary New'!18:18)</f>
        <v>0</v>
      </c>
      <c r="AC18" s="106">
        <f>SUMIF('Daily Summary New'!$3:$3,AC$4,'Daily Summary New'!18:18)</f>
        <v>0</v>
      </c>
      <c r="AD18" s="106">
        <f>SUMIF('Daily Summary New'!$3:$3,AD$4,'Daily Summary New'!18:18)</f>
        <v>0</v>
      </c>
      <c r="AE18" s="106">
        <f>SUMIF('Daily Summary New'!$3:$3,AE$4,'Daily Summary New'!18:18)</f>
        <v>0</v>
      </c>
      <c r="AF18" s="106">
        <f>SUMIF('Daily Summary New'!$3:$3,AF$4,'Daily Summary New'!18:18)</f>
        <v>0</v>
      </c>
      <c r="AG18" s="106">
        <f>SUMIF('Daily Summary New'!$3:$3,AG$4,'Daily Summary New'!18:18)</f>
        <v>0</v>
      </c>
      <c r="AH18" s="106">
        <f>SUMIF('Daily Summary New'!$3:$3,AH$4,'Daily Summary New'!18:18)</f>
        <v>0</v>
      </c>
      <c r="AI18" s="106">
        <f>SUMIF('Daily Summary New'!$3:$3,AI$4,'Daily Summary New'!18:18)</f>
        <v>0</v>
      </c>
      <c r="AJ18" s="106">
        <f>SUMIF('Daily Summary New'!$3:$3,AJ$4,'Daily Summary New'!18:18)</f>
        <v>0</v>
      </c>
      <c r="AK18" s="106">
        <f>SUMIF('Daily Summary New'!$3:$3,AK$4,'Daily Summary New'!18:18)</f>
        <v>0</v>
      </c>
      <c r="AL18" s="106">
        <f>SUMIF('Daily Summary New'!$3:$3,AL$4,'Daily Summary New'!18:18)</f>
        <v>0</v>
      </c>
      <c r="AM18" s="106">
        <f>SUMIF('Daily Summary New'!$3:$3,AM$4,'Daily Summary New'!18:18)</f>
        <v>0</v>
      </c>
      <c r="AN18" s="106">
        <f>SUMIF('Daily Summary New'!$3:$3,AN$4,'Daily Summary New'!18:18)</f>
        <v>0</v>
      </c>
      <c r="AO18" s="106">
        <f>SUMIF('Daily Summary New'!$3:$3,AO$4,'Daily Summary New'!18:18)</f>
        <v>0</v>
      </c>
      <c r="AP18" s="106">
        <f>SUMIF('Daily Summary New'!$3:$3,AP$4,'Daily Summary New'!18:18)</f>
        <v>0</v>
      </c>
      <c r="AQ18" s="106"/>
      <c r="AR18" s="106">
        <f>SUM(C18:AP18)</f>
        <v>370968.17777777778</v>
      </c>
      <c r="AS18" s="121">
        <f>+AR18/SUM(AR18:AR19)</f>
        <v>0.90260812593503703</v>
      </c>
    </row>
    <row r="19" spans="1:45" x14ac:dyDescent="0.35">
      <c r="A19" s="31" t="s">
        <v>230</v>
      </c>
      <c r="B19" s="106">
        <f>SUMIF('Daily Summary New'!$3:$3,B$4,'Daily Summary New'!19:19)</f>
        <v>0</v>
      </c>
      <c r="C19" s="106">
        <f>SUMIF('Daily Summary New'!$3:$3,C$4,'Daily Summary New'!19:19)</f>
        <v>0</v>
      </c>
      <c r="D19" s="106">
        <f>SUMIF('Daily Summary New'!$3:$3,D$4,'Daily Summary New'!19:19)</f>
        <v>0</v>
      </c>
      <c r="E19" s="106">
        <f>SUMIF('Daily Summary New'!$3:$3,E$4,'Daily Summary New'!19:19)</f>
        <v>0</v>
      </c>
      <c r="F19" s="106">
        <f>SUMIF('Daily Summary New'!$3:$3,F$4,'Daily Summary New'!19:19)</f>
        <v>0</v>
      </c>
      <c r="G19" s="106">
        <f>SUMIF('Daily Summary New'!$3:$3,G$4,'Daily Summary New'!19:19)</f>
        <v>0</v>
      </c>
      <c r="H19" s="106">
        <f>SUMIF('Daily Summary New'!$3:$3,H$4,'Daily Summary New'!19:19)</f>
        <v>0</v>
      </c>
      <c r="I19" s="106">
        <f>SUMIF('Daily Summary New'!$3:$3,I$4,'Daily Summary New'!19:19)</f>
        <v>0</v>
      </c>
      <c r="J19" s="106">
        <f>SUMIF('Daily Summary New'!$3:$3,J$4,'Daily Summary New'!19:19)</f>
        <v>0</v>
      </c>
      <c r="K19" s="106">
        <f>SUMIF('Daily Summary New'!$3:$3,K$4,'Daily Summary New'!19:19)</f>
        <v>3950.6172839506175</v>
      </c>
      <c r="L19" s="106">
        <f>SUMIF('Daily Summary New'!$3:$3,L$4,'Daily Summary New'!19:19)</f>
        <v>0</v>
      </c>
      <c r="M19" s="106">
        <f>SUMIF('Daily Summary New'!$3:$3,M$4,'Daily Summary New'!19:19)</f>
        <v>1912.0987654320988</v>
      </c>
      <c r="N19" s="106">
        <f>SUMIF('Daily Summary New'!$3:$3,N$4,'Daily Summary New'!19:19)</f>
        <v>0</v>
      </c>
      <c r="O19" s="106">
        <f>SUMIF('Daily Summary New'!$3:$3,O$4,'Daily Summary New'!19:19)</f>
        <v>2544.1975308641977</v>
      </c>
      <c r="P19" s="106">
        <f>SUMIF('Daily Summary New'!$3:$3,P$4,'Daily Summary New'!19:19)</f>
        <v>1264.1975308641977</v>
      </c>
      <c r="Q19" s="106">
        <f>SUMIF('Daily Summary New'!$3:$3,Q$4,'Daily Summary New'!19:19)</f>
        <v>4898.7654320987658</v>
      </c>
      <c r="R19" s="106">
        <f>SUMIF('Daily Summary New'!$3:$3,R$4,'Daily Summary New'!19:19)</f>
        <v>0</v>
      </c>
      <c r="S19" s="106">
        <f>SUMIF('Daily Summary New'!$3:$3,S$4,'Daily Summary New'!19:19)</f>
        <v>2322.962962962963</v>
      </c>
      <c r="T19" s="106">
        <f>SUMIF('Daily Summary New'!$3:$3,T$4,'Daily Summary New'!19:19)</f>
        <v>5436.0493827160499</v>
      </c>
      <c r="U19" s="106">
        <f>SUMIF('Daily Summary New'!$3:$3,U$4,'Daily Summary New'!19:19)</f>
        <v>2496.7901234567903</v>
      </c>
      <c r="V19" s="106">
        <f>SUMIF('Daily Summary New'!$3:$3,V$4,'Daily Summary New'!19:19)</f>
        <v>1548.641975308642</v>
      </c>
      <c r="W19" s="106">
        <f>SUMIF('Daily Summary New'!$3:$3,W$4,'Daily Summary New'!19:19)</f>
        <v>316.04938271604942</v>
      </c>
      <c r="X19" s="106">
        <f>SUMIF('Daily Summary New'!$3:$3,X$4,'Daily Summary New'!19:19)</f>
        <v>6731.8518518518522</v>
      </c>
      <c r="Y19" s="106">
        <f>SUMIF('Daily Summary New'!$3:$3,Y$4,'Daily Summary New'!19:19)</f>
        <v>5372.8395061728397</v>
      </c>
      <c r="Z19" s="106">
        <f>SUMIF('Daily Summary New'!$3:$3,Z$4,'Daily Summary New'!19:19)</f>
        <v>1232.5925925925926</v>
      </c>
      <c r="AA19" s="106">
        <f>SUMIF('Daily Summary New'!$3:$3,AA$4,'Daily Summary New'!19:19)</f>
        <v>0</v>
      </c>
      <c r="AB19" s="106">
        <f>SUMIF('Daily Summary New'!$3:$3,AB$4,'Daily Summary New'!19:19)</f>
        <v>0</v>
      </c>
      <c r="AC19" s="106">
        <f>SUMIF('Daily Summary New'!$3:$3,AC$4,'Daily Summary New'!19:19)</f>
        <v>0</v>
      </c>
      <c r="AD19" s="106">
        <f>SUMIF('Daily Summary New'!$3:$3,AD$4,'Daily Summary New'!19:19)</f>
        <v>0</v>
      </c>
      <c r="AE19" s="106">
        <f>SUMIF('Daily Summary New'!$3:$3,AE$4,'Daily Summary New'!19:19)</f>
        <v>0</v>
      </c>
      <c r="AF19" s="106">
        <f>SUMIF('Daily Summary New'!$3:$3,AF$4,'Daily Summary New'!19:19)</f>
        <v>0</v>
      </c>
      <c r="AG19" s="106">
        <f>SUMIF('Daily Summary New'!$3:$3,AG$4,'Daily Summary New'!19:19)</f>
        <v>0</v>
      </c>
      <c r="AH19" s="106">
        <f>SUMIF('Daily Summary New'!$3:$3,AH$4,'Daily Summary New'!19:19)</f>
        <v>0</v>
      </c>
      <c r="AI19" s="106">
        <f>SUMIF('Daily Summary New'!$3:$3,AI$4,'Daily Summary New'!19:19)</f>
        <v>0</v>
      </c>
      <c r="AJ19" s="106">
        <f>SUMIF('Daily Summary New'!$3:$3,AJ$4,'Daily Summary New'!19:19)</f>
        <v>0</v>
      </c>
      <c r="AK19" s="106">
        <f>SUMIF('Daily Summary New'!$3:$3,AK$4,'Daily Summary New'!19:19)</f>
        <v>0</v>
      </c>
      <c r="AL19" s="106">
        <f>SUMIF('Daily Summary New'!$3:$3,AL$4,'Daily Summary New'!19:19)</f>
        <v>0</v>
      </c>
      <c r="AM19" s="106">
        <f>SUMIF('Daily Summary New'!$3:$3,AM$4,'Daily Summary New'!19:19)</f>
        <v>0</v>
      </c>
      <c r="AN19" s="106">
        <f>SUMIF('Daily Summary New'!$3:$3,AN$4,'Daily Summary New'!19:19)</f>
        <v>0</v>
      </c>
      <c r="AO19" s="106">
        <f>SUMIF('Daily Summary New'!$3:$3,AO$4,'Daily Summary New'!19:19)</f>
        <v>0</v>
      </c>
      <c r="AP19" s="106">
        <f>SUMIF('Daily Summary New'!$3:$3,AP$4,'Daily Summary New'!19:19)</f>
        <v>0</v>
      </c>
      <c r="AQ19" s="106"/>
      <c r="AR19" s="106">
        <f>SUM(C19:AP19)</f>
        <v>40027.654320987655</v>
      </c>
      <c r="AS19" s="121">
        <f>+AR19/SUM(AR18:AR19)</f>
        <v>9.7391874064963038E-2</v>
      </c>
    </row>
    <row r="20" spans="1:45" x14ac:dyDescent="0.35">
      <c r="A20" s="31" t="s">
        <v>237</v>
      </c>
      <c r="B20" s="117">
        <f>IFERROR(SUM(B18:B19)/B9,"")</f>
        <v>0</v>
      </c>
      <c r="C20" s="117">
        <f t="shared" ref="C20:S20" si="38">IFERROR(SUM(C18:C19)/C9,"")</f>
        <v>0</v>
      </c>
      <c r="D20" s="117">
        <f t="shared" si="38"/>
        <v>0</v>
      </c>
      <c r="E20" s="117">
        <f t="shared" si="38"/>
        <v>0.1242814636400682</v>
      </c>
      <c r="F20" s="117">
        <f t="shared" si="38"/>
        <v>5.0166175456198656E-2</v>
      </c>
      <c r="G20" s="117">
        <f t="shared" si="38"/>
        <v>6.0620664075054904E-2</v>
      </c>
      <c r="H20" s="117">
        <f t="shared" si="38"/>
        <v>0.1010712896724847</v>
      </c>
      <c r="I20" s="117">
        <f t="shared" si="38"/>
        <v>7.1455463668583741E-2</v>
      </c>
      <c r="J20" s="117">
        <f t="shared" si="38"/>
        <v>1.9977774725617754E-2</v>
      </c>
      <c r="K20" s="117">
        <f t="shared" si="38"/>
        <v>6.5490894467742866E-2</v>
      </c>
      <c r="L20" s="117">
        <f t="shared" si="38"/>
        <v>4.1493203400546338E-2</v>
      </c>
      <c r="M20" s="117">
        <f t="shared" si="38"/>
        <v>6.1207391276175707E-2</v>
      </c>
      <c r="N20" s="117">
        <f t="shared" si="38"/>
        <v>3.7674539075561002E-2</v>
      </c>
      <c r="O20" s="117">
        <f t="shared" si="38"/>
        <v>4.0601438385351789E-2</v>
      </c>
      <c r="P20" s="117">
        <f t="shared" si="38"/>
        <v>6.1988023102416454E-2</v>
      </c>
      <c r="Q20" s="117">
        <f t="shared" si="38"/>
        <v>0.13160803894864082</v>
      </c>
      <c r="R20" s="117" t="str">
        <f t="shared" si="38"/>
        <v/>
      </c>
      <c r="S20" s="117">
        <f t="shared" si="38"/>
        <v>7.7901115466951151E-2</v>
      </c>
      <c r="T20" s="117">
        <f t="shared" ref="T20" si="39">IFERROR(SUM(T18:T19)/T9,"")</f>
        <v>9.6201943735576043E-2</v>
      </c>
      <c r="U20" s="117">
        <f t="shared" ref="U20" si="40">IFERROR(SUM(U18:U19)/U9,"")</f>
        <v>0.11783726926632651</v>
      </c>
      <c r="V20" s="117">
        <f t="shared" ref="V20" si="41">IFERROR(SUM(V18:V19)/V9,"")</f>
        <v>5.4855343629984725E-2</v>
      </c>
      <c r="W20" s="117">
        <f t="shared" ref="W20" si="42">IFERROR(SUM(W18:W19)/W9,"")</f>
        <v>6.3135409906986809E-2</v>
      </c>
      <c r="X20" s="117">
        <f t="shared" ref="X20" si="43">IFERROR(SUM(X18:X19)/X9,"")</f>
        <v>0.11122435227923588</v>
      </c>
      <c r="Y20" s="117">
        <f t="shared" ref="Y20" si="44">IFERROR(SUM(Y18:Y19)/Y9,"")</f>
        <v>9.3893125171149297E-2</v>
      </c>
      <c r="Z20" s="117" t="str">
        <f t="shared" ref="Z20" si="45">IFERROR(SUM(Z18:Z19)/Z9,"")</f>
        <v/>
      </c>
      <c r="AA20" s="117" t="str">
        <f t="shared" ref="AA20" si="46">IFERROR(SUM(AA18:AA19)/AA9,"")</f>
        <v/>
      </c>
      <c r="AB20" s="117" t="str">
        <f t="shared" ref="AB20" si="47">IFERROR(SUM(AB18:AB19)/AB9,"")</f>
        <v/>
      </c>
      <c r="AC20" s="117" t="str">
        <f t="shared" ref="AC20" si="48">IFERROR(SUM(AC18:AC19)/AC9,"")</f>
        <v/>
      </c>
      <c r="AD20" s="117" t="str">
        <f t="shared" ref="AD20" si="49">IFERROR(SUM(AD18:AD19)/AD9,"")</f>
        <v/>
      </c>
      <c r="AE20" s="117" t="str">
        <f t="shared" ref="AE20" si="50">IFERROR(SUM(AE18:AE19)/AE9,"")</f>
        <v/>
      </c>
      <c r="AF20" s="117" t="str">
        <f t="shared" ref="AF20" si="51">IFERROR(SUM(AF18:AF19)/AF9,"")</f>
        <v/>
      </c>
      <c r="AG20" s="117" t="str">
        <f t="shared" ref="AG20" si="52">IFERROR(SUM(AG18:AG19)/AG9,"")</f>
        <v/>
      </c>
      <c r="AH20" s="117" t="str">
        <f t="shared" ref="AH20" si="53">IFERROR(SUM(AH18:AH19)/AH9,"")</f>
        <v/>
      </c>
      <c r="AI20" s="117" t="str">
        <f t="shared" ref="AI20" si="54">IFERROR(SUM(AI18:AI19)/AI9,"")</f>
        <v/>
      </c>
      <c r="AJ20" s="117" t="str">
        <f t="shared" ref="AJ20" si="55">IFERROR(SUM(AJ18:AJ19)/AJ9,"")</f>
        <v/>
      </c>
      <c r="AK20" s="117" t="str">
        <f t="shared" ref="AK20" si="56">IFERROR(SUM(AK18:AK19)/AK9,"")</f>
        <v/>
      </c>
      <c r="AL20" s="117" t="str">
        <f t="shared" ref="AL20" si="57">IFERROR(SUM(AL18:AL19)/AL9,"")</f>
        <v/>
      </c>
      <c r="AM20" s="117" t="str">
        <f t="shared" ref="AM20" si="58">IFERROR(SUM(AM18:AM19)/AM9,"")</f>
        <v/>
      </c>
      <c r="AN20" s="117" t="str">
        <f t="shared" ref="AN20" si="59">IFERROR(SUM(AN18:AN19)/AN9,"")</f>
        <v/>
      </c>
      <c r="AO20" s="117" t="str">
        <f t="shared" ref="AO20" si="60">IFERROR(SUM(AO18:AO19)/AO9,"")</f>
        <v/>
      </c>
      <c r="AP20" s="117" t="str">
        <f t="shared" ref="AP20:AR20" si="61">IFERROR(SUM(AP18:AP19)/AP9,"")</f>
        <v/>
      </c>
      <c r="AQ20" s="117"/>
      <c r="AR20" s="117">
        <f t="shared" si="61"/>
        <v>7.2321302653694908E-2</v>
      </c>
    </row>
    <row r="21" spans="1:45" ht="15" thickBot="1" x14ac:dyDescent="0.4">
      <c r="A21" s="3"/>
      <c r="B21" s="83"/>
      <c r="C21" s="83"/>
      <c r="D21" s="83"/>
      <c r="E21" s="83"/>
      <c r="F21" s="83"/>
      <c r="G21" s="83"/>
      <c r="H21" s="83"/>
      <c r="I21" s="83"/>
      <c r="J21" s="83"/>
      <c r="K21" s="83"/>
      <c r="L21" s="83"/>
      <c r="M21" s="83"/>
      <c r="N21" s="83"/>
      <c r="O21" s="83"/>
      <c r="P21" s="83"/>
      <c r="Q21" s="83"/>
      <c r="R21" s="83"/>
      <c r="S21" s="83"/>
      <c r="T21" s="83"/>
      <c r="U21" s="83"/>
      <c r="V21" s="83"/>
      <c r="W21" s="83"/>
      <c r="X21" s="83"/>
      <c r="Y21" s="83"/>
      <c r="Z21" s="83"/>
      <c r="AA21" s="83"/>
      <c r="AB21" s="83"/>
      <c r="AC21" s="83"/>
      <c r="AD21" s="83"/>
      <c r="AE21" s="83"/>
      <c r="AF21" s="83"/>
      <c r="AG21" s="83"/>
      <c r="AH21" s="83"/>
      <c r="AI21" s="83"/>
      <c r="AJ21" s="83"/>
      <c r="AK21" s="83"/>
      <c r="AL21" s="83"/>
      <c r="AM21" s="83"/>
      <c r="AN21" s="83"/>
      <c r="AO21" s="83"/>
      <c r="AP21" s="83"/>
      <c r="AQ21" s="83"/>
      <c r="AR21" s="83"/>
    </row>
    <row r="22" spans="1:45" x14ac:dyDescent="0.35">
      <c r="A22" s="24" t="s">
        <v>43</v>
      </c>
      <c r="B22" s="25">
        <f>SUMIF('Daily Summary New'!$3:$3,B$4,'Daily Summary New'!22:22)</f>
        <v>0</v>
      </c>
      <c r="C22" s="25">
        <f>SUMIF('Daily Summary New'!$3:$3,C$4,'Daily Summary New'!22:22)</f>
        <v>59400</v>
      </c>
      <c r="D22" s="25">
        <f>SUMIF('Daily Summary New'!$3:$3,D$4,'Daily Summary New'!22:22)</f>
        <v>59400</v>
      </c>
      <c r="E22" s="25">
        <f>SUMIF('Daily Summary New'!$3:$3,E$4,'Daily Summary New'!22:22)</f>
        <v>59400</v>
      </c>
      <c r="F22" s="25">
        <f>SUMIF('Daily Summary New'!$3:$3,F$4,'Daily Summary New'!22:22)</f>
        <v>59400</v>
      </c>
      <c r="G22" s="25">
        <f>SUMIF('Daily Summary New'!$3:$3,G$4,'Daily Summary New'!22:22)</f>
        <v>73507.5</v>
      </c>
      <c r="H22" s="25">
        <f>SUMIF('Daily Summary New'!$3:$3,H$4,'Daily Summary New'!22:22)</f>
        <v>129937.5</v>
      </c>
      <c r="I22" s="25">
        <f>SUMIF('Daily Summary New'!$3:$3,I$4,'Daily Summary New'!22:22)</f>
        <v>129937.5</v>
      </c>
      <c r="J22" s="25">
        <f>SUMIF('Daily Summary New'!$3:$3,J$4,'Daily Summary New'!22:22)</f>
        <v>129937.5</v>
      </c>
      <c r="K22" s="25">
        <f>SUMIF('Daily Summary New'!$3:$3,K$4,'Daily Summary New'!22:22)</f>
        <v>103950</v>
      </c>
      <c r="L22" s="25">
        <f>SUMIF('Daily Summary New'!$3:$3,L$4,'Daily Summary New'!22:22)</f>
        <v>321750</v>
      </c>
      <c r="M22" s="25">
        <f>SUMIF('Daily Summary New'!$3:$3,M$4,'Daily Summary New'!22:22)</f>
        <v>321750</v>
      </c>
      <c r="N22" s="25">
        <f>SUMIF('Daily Summary New'!$3:$3,N$4,'Daily Summary New'!22:22)</f>
        <v>321750</v>
      </c>
      <c r="O22" s="25">
        <f>SUMIF('Daily Summary New'!$3:$3,O$4,'Daily Summary New'!22:22)</f>
        <v>321750</v>
      </c>
      <c r="P22" s="25">
        <f>SUMIF('Daily Summary New'!$3:$3,P$4,'Daily Summary New'!22:22)</f>
        <v>366795</v>
      </c>
      <c r="Q22" s="25">
        <f>SUMIF('Daily Summary New'!$3:$3,Q$4,'Daily Summary New'!22:22)</f>
        <v>458493.75</v>
      </c>
      <c r="R22" s="25">
        <f>SUMIF('Daily Summary New'!$3:$3,R$4,'Daily Summary New'!22:22)</f>
        <v>458493.75</v>
      </c>
      <c r="S22" s="25">
        <f>SUMIF('Daily Summary New'!$3:$3,S$4,'Daily Summary New'!22:22)</f>
        <v>458493.75</v>
      </c>
      <c r="T22" s="25">
        <f>SUMIF('Daily Summary New'!$3:$3,T$4,'Daily Summary New'!22:22)</f>
        <v>458493.75</v>
      </c>
      <c r="U22" s="25">
        <f>SUMIF('Daily Summary New'!$3:$3,U$4,'Daily Summary New'!22:22)</f>
        <v>579150</v>
      </c>
      <c r="V22" s="25">
        <f>SUMIF('Daily Summary New'!$3:$3,V$4,'Daily Summary New'!22:22)</f>
        <v>579150</v>
      </c>
      <c r="W22" s="25">
        <f>SUMIF('Daily Summary New'!$3:$3,W$4,'Daily Summary New'!22:22)</f>
        <v>579150</v>
      </c>
      <c r="X22" s="25">
        <f>SUMIF('Daily Summary New'!$3:$3,X$4,'Daily Summary New'!22:22)</f>
        <v>579150</v>
      </c>
      <c r="Y22" s="25">
        <f>SUMIF('Daily Summary New'!$3:$3,Y$4,'Daily Summary New'!22:22)</f>
        <v>542953.125</v>
      </c>
      <c r="Z22" s="25">
        <f>SUMIF('Daily Summary New'!$3:$3,Z$4,'Daily Summary New'!22:22)</f>
        <v>0</v>
      </c>
      <c r="AA22" s="25">
        <f>SUMIF('Daily Summary New'!$3:$3,AA$4,'Daily Summary New'!22:22)</f>
        <v>0</v>
      </c>
      <c r="AB22" s="25">
        <f>SUMIF('Daily Summary New'!$3:$3,AB$4,'Daily Summary New'!22:22)</f>
        <v>0</v>
      </c>
      <c r="AC22" s="25">
        <f>SUMIF('Daily Summary New'!$3:$3,AC$4,'Daily Summary New'!22:22)</f>
        <v>0</v>
      </c>
      <c r="AD22" s="25">
        <f>SUMIF('Daily Summary New'!$3:$3,AD$4,'Daily Summary New'!22:22)</f>
        <v>0</v>
      </c>
      <c r="AE22" s="25">
        <f>SUMIF('Daily Summary New'!$3:$3,AE$4,'Daily Summary New'!22:22)</f>
        <v>0</v>
      </c>
      <c r="AF22" s="25">
        <f>SUMIF('Daily Summary New'!$3:$3,AF$4,'Daily Summary New'!22:22)</f>
        <v>0</v>
      </c>
      <c r="AG22" s="25">
        <f>SUMIF('Daily Summary New'!$3:$3,AG$4,'Daily Summary New'!22:22)</f>
        <v>0</v>
      </c>
      <c r="AH22" s="25">
        <f>SUMIF('Daily Summary New'!$3:$3,AH$4,'Daily Summary New'!22:22)</f>
        <v>0</v>
      </c>
      <c r="AI22" s="25">
        <f>SUMIF('Daily Summary New'!$3:$3,AI$4,'Daily Summary New'!22:22)</f>
        <v>0</v>
      </c>
      <c r="AJ22" s="25">
        <f>SUMIF('Daily Summary New'!$3:$3,AJ$4,'Daily Summary New'!22:22)</f>
        <v>0</v>
      </c>
      <c r="AK22" s="25">
        <f>SUMIF('Daily Summary New'!$3:$3,AK$4,'Daily Summary New'!22:22)</f>
        <v>0</v>
      </c>
      <c r="AL22" s="25">
        <f>SUMIF('Daily Summary New'!$3:$3,AL$4,'Daily Summary New'!22:22)</f>
        <v>0</v>
      </c>
      <c r="AM22" s="25">
        <f>SUMIF('Daily Summary New'!$3:$3,AM$4,'Daily Summary New'!22:22)</f>
        <v>0</v>
      </c>
      <c r="AN22" s="25">
        <f>SUMIF('Daily Summary New'!$3:$3,AN$4,'Daily Summary New'!22:22)</f>
        <v>0</v>
      </c>
      <c r="AO22" s="25">
        <f>SUMIF('Daily Summary New'!$3:$3,AO$4,'Daily Summary New'!22:22)</f>
        <v>0</v>
      </c>
      <c r="AP22" s="25">
        <f>SUMIF('Daily Summary New'!$3:$3,AP$4,'Daily Summary New'!22:22)</f>
        <v>0</v>
      </c>
      <c r="AQ22" s="25"/>
      <c r="AR22" s="25">
        <f>SUM(C22:AQ22)</f>
        <v>7152193.125</v>
      </c>
    </row>
    <row r="23" spans="1:45" s="30" customFormat="1" x14ac:dyDescent="0.35">
      <c r="A23" s="29" t="s">
        <v>186</v>
      </c>
      <c r="B23" s="107">
        <f>SUMIF('Daily Summary New'!$3:$3,B$4,'Daily Summary New'!23:23)</f>
        <v>0</v>
      </c>
      <c r="C23" s="107">
        <f>SUMIF('Daily Summary New'!$3:$3,C$4,'Daily Summary New'!23:23)</f>
        <v>0</v>
      </c>
      <c r="D23" s="107">
        <f>SUMIF('Daily Summary New'!$3:$3,D$4,'Daily Summary New'!23:23)</f>
        <v>0</v>
      </c>
      <c r="E23" s="107">
        <f>SUMIF('Daily Summary New'!$3:$3,E$4,'Daily Summary New'!23:23)</f>
        <v>0</v>
      </c>
      <c r="F23" s="107">
        <f>SUMIF('Daily Summary New'!$3:$3,F$4,'Daily Summary New'!23:23)</f>
        <v>0</v>
      </c>
      <c r="G23" s="107">
        <f>SUMIF('Daily Summary New'!$3:$3,G$4,'Daily Summary New'!23:23)</f>
        <v>0</v>
      </c>
      <c r="H23" s="107">
        <f>SUMIF('Daily Summary New'!$3:$3,H$4,'Daily Summary New'!23:23)</f>
        <v>0</v>
      </c>
      <c r="I23" s="107">
        <f>SUMIF('Daily Summary New'!$3:$3,I$4,'Daily Summary New'!23:23)</f>
        <v>0</v>
      </c>
      <c r="J23" s="107">
        <f>SUMIF('Daily Summary New'!$3:$3,J$4,'Daily Summary New'!23:23)</f>
        <v>0</v>
      </c>
      <c r="K23" s="107">
        <f>SUMIF('Daily Summary New'!$3:$3,K$4,'Daily Summary New'!23:23)</f>
        <v>0</v>
      </c>
      <c r="L23" s="107">
        <f>SUMIF('Daily Summary New'!$3:$3,L$4,'Daily Summary New'!23:23)</f>
        <v>0</v>
      </c>
      <c r="M23" s="107">
        <f>SUMIF('Daily Summary New'!$3:$3,M$4,'Daily Summary New'!23:23)</f>
        <v>0</v>
      </c>
      <c r="N23" s="107">
        <f>SUMIF('Daily Summary New'!$3:$3,N$4,'Daily Summary New'!23:23)</f>
        <v>0</v>
      </c>
      <c r="O23" s="107">
        <f>SUMIF('Daily Summary New'!$3:$3,O$4,'Daily Summary New'!23:23)</f>
        <v>0</v>
      </c>
      <c r="P23" s="107">
        <f>SUMIF('Daily Summary New'!$3:$3,P$4,'Daily Summary New'!23:23)</f>
        <v>0</v>
      </c>
      <c r="Q23" s="107">
        <f>SUMIF('Daily Summary New'!$3:$3,Q$4,'Daily Summary New'!23:23)</f>
        <v>0</v>
      </c>
      <c r="R23" s="107">
        <f>SUMIF('Daily Summary New'!$3:$3,R$4,'Daily Summary New'!23:23)</f>
        <v>0</v>
      </c>
      <c r="S23" s="107">
        <f>SUMIF('Daily Summary New'!$3:$3,S$4,'Daily Summary New'!23:23)</f>
        <v>0</v>
      </c>
      <c r="T23" s="107">
        <f>SUMIF('Daily Summary New'!$3:$3,T$4,'Daily Summary New'!23:23)</f>
        <v>0</v>
      </c>
      <c r="U23" s="107">
        <f>SUMIF('Daily Summary New'!$3:$3,U$4,'Daily Summary New'!23:23)</f>
        <v>0</v>
      </c>
      <c r="V23" s="107">
        <f>SUMIF('Daily Summary New'!$3:$3,V$4,'Daily Summary New'!23:23)</f>
        <v>0</v>
      </c>
      <c r="W23" s="107">
        <f>SUMIF('Daily Summary New'!$3:$3,W$4,'Daily Summary New'!23:23)</f>
        <v>0</v>
      </c>
      <c r="X23" s="107">
        <f>SUMIF('Daily Summary New'!$3:$3,X$4,'Daily Summary New'!23:23)</f>
        <v>210000</v>
      </c>
      <c r="Y23" s="107">
        <f>SUMIF('Daily Summary New'!$3:$3,Y$4,'Daily Summary New'!23:23)</f>
        <v>300000</v>
      </c>
      <c r="Z23" s="107">
        <f>SUMIF('Daily Summary New'!$3:$3,Z$4,'Daily Summary New'!23:23)</f>
        <v>300000</v>
      </c>
      <c r="AA23" s="107">
        <f>SUMIF('Daily Summary New'!$3:$3,AA$4,'Daily Summary New'!23:23)</f>
        <v>375000</v>
      </c>
      <c r="AB23" s="107">
        <f>SUMIF('Daily Summary New'!$3:$3,AB$4,'Daily Summary New'!23:23)</f>
        <v>375000</v>
      </c>
      <c r="AC23" s="107">
        <f>SUMIF('Daily Summary New'!$3:$3,AC$4,'Daily Summary New'!23:23)</f>
        <v>375000</v>
      </c>
      <c r="AD23" s="107">
        <f>SUMIF('Daily Summary New'!$3:$3,AD$4,'Daily Summary New'!23:23)</f>
        <v>375000</v>
      </c>
      <c r="AE23" s="107">
        <f>SUMIF('Daily Summary New'!$3:$3,AE$4,'Daily Summary New'!23:23)</f>
        <v>375000</v>
      </c>
      <c r="AF23" s="107">
        <f>SUMIF('Daily Summary New'!$3:$3,AF$4,'Daily Summary New'!23:23)</f>
        <v>375000</v>
      </c>
      <c r="AG23" s="107">
        <f>SUMIF('Daily Summary New'!$3:$3,AG$4,'Daily Summary New'!23:23)</f>
        <v>375000</v>
      </c>
      <c r="AH23" s="107">
        <f>SUMIF('Daily Summary New'!$3:$3,AH$4,'Daily Summary New'!23:23)</f>
        <v>375000</v>
      </c>
      <c r="AI23" s="107">
        <f>SUMIF('Daily Summary New'!$3:$3,AI$4,'Daily Summary New'!23:23)</f>
        <v>375000</v>
      </c>
      <c r="AJ23" s="107">
        <f>SUMIF('Daily Summary New'!$3:$3,AJ$4,'Daily Summary New'!23:23)</f>
        <v>375000</v>
      </c>
      <c r="AK23" s="107">
        <f>SUMIF('Daily Summary New'!$3:$3,AK$4,'Daily Summary New'!23:23)</f>
        <v>225000</v>
      </c>
      <c r="AL23" s="107">
        <f>SUMIF('Daily Summary New'!$3:$3,AL$4,'Daily Summary New'!23:23)</f>
        <v>375000</v>
      </c>
      <c r="AM23" s="107">
        <f>SUMIF('Daily Summary New'!$3:$3,AM$4,'Daily Summary New'!23:23)</f>
        <v>375000</v>
      </c>
      <c r="AN23" s="107">
        <f>SUMIF('Daily Summary New'!$3:$3,AN$4,'Daily Summary New'!23:23)</f>
        <v>375000</v>
      </c>
      <c r="AO23" s="107">
        <f>SUMIF('Daily Summary New'!$3:$3,AO$4,'Daily Summary New'!23:23)</f>
        <v>225000</v>
      </c>
      <c r="AP23" s="107">
        <f>SUMIF('Daily Summary New'!$3:$3,AP$4,'Daily Summary New'!23:23)</f>
        <v>0</v>
      </c>
      <c r="AQ23" s="107"/>
      <c r="AR23" s="107">
        <f t="shared" ref="AR23:AR26" si="62">SUM(C23:AQ23)</f>
        <v>6135000</v>
      </c>
    </row>
    <row r="24" spans="1:45" x14ac:dyDescent="0.35">
      <c r="A24" s="31"/>
      <c r="B24" s="106"/>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row>
    <row r="25" spans="1:45" s="28" customFormat="1" x14ac:dyDescent="0.35">
      <c r="A25" s="26" t="s">
        <v>12</v>
      </c>
      <c r="B25" s="111">
        <f>SUMIF('Daily Summary New'!$3:$3,B$4,'Daily Summary New'!25:25)</f>
        <v>0</v>
      </c>
      <c r="C25" s="111">
        <f>SUMIF('Daily Summary New'!$3:$3,C$4,'Daily Summary New'!25:25)</f>
        <v>0</v>
      </c>
      <c r="D25" s="111">
        <f>SUMIF('Daily Summary New'!$3:$3,D$4,'Daily Summary New'!25:25)</f>
        <v>0</v>
      </c>
      <c r="E25" s="111">
        <f>SUMIF('Daily Summary New'!$3:$3,E$4,'Daily Summary New'!25:25)</f>
        <v>0</v>
      </c>
      <c r="F25" s="111">
        <f>SUMIF('Daily Summary New'!$3:$3,F$4,'Daily Summary New'!25:25)</f>
        <v>0</v>
      </c>
      <c r="G25" s="111">
        <f>SUMIF('Daily Summary New'!$3:$3,G$4,'Daily Summary New'!25:25)</f>
        <v>0</v>
      </c>
      <c r="H25" s="111">
        <f>SUMIF('Daily Summary New'!$3:$3,H$4,'Daily Summary New'!25:25)</f>
        <v>192</v>
      </c>
      <c r="I25" s="111">
        <f>SUMIF('Daily Summary New'!$3:$3,I$4,'Daily Summary New'!25:25)</f>
        <v>18192.400000000001</v>
      </c>
      <c r="J25" s="111">
        <f>SUMIF('Daily Summary New'!$3:$3,J$4,'Daily Summary New'!25:25)</f>
        <v>51468.799999999996</v>
      </c>
      <c r="K25" s="111">
        <f>SUMIF('Daily Summary New'!$3:$3,K$4,'Daily Summary New'!25:25)</f>
        <v>22277.200000000001</v>
      </c>
      <c r="L25" s="111">
        <f>SUMIF('Daily Summary New'!$3:$3,L$4,'Daily Summary New'!25:25)</f>
        <v>10608.8</v>
      </c>
      <c r="M25" s="111">
        <f>SUMIF('Daily Summary New'!$3:$3,M$4,'Daily Summary New'!25:25)</f>
        <v>29172.399999999998</v>
      </c>
      <c r="N25" s="111">
        <f>SUMIF('Daily Summary New'!$3:$3,N$4,'Daily Summary New'!25:25)</f>
        <v>7936.7999999999993</v>
      </c>
      <c r="O25" s="111">
        <f>SUMIF('Daily Summary New'!$3:$3,O$4,'Daily Summary New'!25:25)</f>
        <v>47706</v>
      </c>
      <c r="P25" s="111">
        <f>SUMIF('Daily Summary New'!$3:$3,P$4,'Daily Summary New'!25:25)</f>
        <v>48359.4</v>
      </c>
      <c r="Q25" s="111">
        <f>SUMIF('Daily Summary New'!$3:$3,Q$4,'Daily Summary New'!25:25)</f>
        <v>87666.4</v>
      </c>
      <c r="R25" s="111">
        <f>SUMIF('Daily Summary New'!$3:$3,R$4,'Daily Summary New'!25:25)</f>
        <v>0</v>
      </c>
      <c r="S25" s="111">
        <f>SUMIF('Daily Summary New'!$3:$3,S$4,'Daily Summary New'!25:25)</f>
        <v>82405.100000000006</v>
      </c>
      <c r="T25" s="111">
        <f>SUMIF('Daily Summary New'!$3:$3,T$4,'Daily Summary New'!25:25)</f>
        <v>98727.6</v>
      </c>
      <c r="U25" s="111">
        <f>SUMIF('Daily Summary New'!$3:$3,U$4,'Daily Summary New'!25:25)</f>
        <v>163389.6</v>
      </c>
      <c r="V25" s="111">
        <f>SUMIF('Daily Summary New'!$3:$3,V$4,'Daily Summary New'!25:25)</f>
        <v>139180.79999999999</v>
      </c>
      <c r="W25" s="111">
        <f>SUMIF('Daily Summary New'!$3:$3,W$4,'Daily Summary New'!25:25)</f>
        <v>53970.399999999994</v>
      </c>
      <c r="X25" s="111">
        <f>SUMIF('Daily Summary New'!$3:$3,X$4,'Daily Summary New'!25:25)</f>
        <v>150841.5</v>
      </c>
      <c r="Y25" s="111">
        <f>SUMIF('Daily Summary New'!$3:$3,Y$4,'Daily Summary New'!25:25)</f>
        <v>95164.6</v>
      </c>
      <c r="Z25" s="111">
        <f>SUMIF('Daily Summary New'!$3:$3,Z$4,'Daily Summary New'!25:25)</f>
        <v>0</v>
      </c>
      <c r="AA25" s="111">
        <f>SUMIF('Daily Summary New'!$3:$3,AA$4,'Daily Summary New'!25:25)</f>
        <v>0</v>
      </c>
      <c r="AB25" s="111">
        <f>SUMIF('Daily Summary New'!$3:$3,AB$4,'Daily Summary New'!25:25)</f>
        <v>0</v>
      </c>
      <c r="AC25" s="111">
        <f>SUMIF('Daily Summary New'!$3:$3,AC$4,'Daily Summary New'!25:25)</f>
        <v>0</v>
      </c>
      <c r="AD25" s="111">
        <f>SUMIF('Daily Summary New'!$3:$3,AD$4,'Daily Summary New'!25:25)</f>
        <v>0</v>
      </c>
      <c r="AE25" s="111">
        <f>SUMIF('Daily Summary New'!$3:$3,AE$4,'Daily Summary New'!25:25)</f>
        <v>0</v>
      </c>
      <c r="AF25" s="111">
        <f>SUMIF('Daily Summary New'!$3:$3,AF$4,'Daily Summary New'!25:25)</f>
        <v>0</v>
      </c>
      <c r="AG25" s="111">
        <f>SUMIF('Daily Summary New'!$3:$3,AG$4,'Daily Summary New'!25:25)</f>
        <v>0</v>
      </c>
      <c r="AH25" s="111">
        <f>SUMIF('Daily Summary New'!$3:$3,AH$4,'Daily Summary New'!25:25)</f>
        <v>0</v>
      </c>
      <c r="AI25" s="111">
        <f>SUMIF('Daily Summary New'!$3:$3,AI$4,'Daily Summary New'!25:25)</f>
        <v>0</v>
      </c>
      <c r="AJ25" s="111">
        <f>SUMIF('Daily Summary New'!$3:$3,AJ$4,'Daily Summary New'!25:25)</f>
        <v>0</v>
      </c>
      <c r="AK25" s="111">
        <f>SUMIF('Daily Summary New'!$3:$3,AK$4,'Daily Summary New'!25:25)</f>
        <v>0</v>
      </c>
      <c r="AL25" s="111">
        <f>SUMIF('Daily Summary New'!$3:$3,AL$4,'Daily Summary New'!25:25)</f>
        <v>0</v>
      </c>
      <c r="AM25" s="111">
        <f>SUMIF('Daily Summary New'!$3:$3,AM$4,'Daily Summary New'!25:25)</f>
        <v>0</v>
      </c>
      <c r="AN25" s="111">
        <f>SUMIF('Daily Summary New'!$3:$3,AN$4,'Daily Summary New'!25:25)</f>
        <v>0</v>
      </c>
      <c r="AO25" s="111">
        <f>SUMIF('Daily Summary New'!$3:$3,AO$4,'Daily Summary New'!25:25)</f>
        <v>0</v>
      </c>
      <c r="AP25" s="111">
        <f>SUMIF('Daily Summary New'!$3:$3,AP$4,'Daily Summary New'!25:25)</f>
        <v>0</v>
      </c>
      <c r="AQ25" s="27"/>
      <c r="AR25" s="27">
        <f t="shared" ref="AR25" si="63">SUM(C25:AQ25)</f>
        <v>1107259.7999999998</v>
      </c>
    </row>
    <row r="26" spans="1:45" s="28" customFormat="1" x14ac:dyDescent="0.35">
      <c r="A26" s="26" t="s">
        <v>22</v>
      </c>
      <c r="B26" s="111">
        <f>SUMIF('Daily Summary New'!$3:$3,B$4,'Daily Summary New'!26:26)</f>
        <v>0</v>
      </c>
      <c r="C26" s="111">
        <f>SUMIF('Daily Summary New'!$3:$3,C$4,'Daily Summary New'!26:26)</f>
        <v>0</v>
      </c>
      <c r="D26" s="111">
        <f>SUMIF('Daily Summary New'!$3:$3,D$4,'Daily Summary New'!26:26)</f>
        <v>0</v>
      </c>
      <c r="E26" s="111">
        <f>SUMIF('Daily Summary New'!$3:$3,E$4,'Daily Summary New'!26:26)</f>
        <v>0</v>
      </c>
      <c r="F26" s="111">
        <f>SUMIF('Daily Summary New'!$3:$3,F$4,'Daily Summary New'!26:26)</f>
        <v>0</v>
      </c>
      <c r="G26" s="111">
        <f>SUMIF('Daily Summary New'!$3:$3,G$4,'Daily Summary New'!26:26)</f>
        <v>0</v>
      </c>
      <c r="H26" s="111">
        <f>SUMIF('Daily Summary New'!$3:$3,H$4,'Daily Summary New'!26:26)</f>
        <v>0</v>
      </c>
      <c r="I26" s="111">
        <f>SUMIF('Daily Summary New'!$3:$3,I$4,'Daily Summary New'!26:26)</f>
        <v>0</v>
      </c>
      <c r="J26" s="111">
        <f>SUMIF('Daily Summary New'!$3:$3,J$4,'Daily Summary New'!26:26)</f>
        <v>26624</v>
      </c>
      <c r="K26" s="111">
        <f>SUMIF('Daily Summary New'!$3:$3,K$4,'Daily Summary New'!26:26)</f>
        <v>8528</v>
      </c>
      <c r="L26" s="111">
        <f>SUMIF('Daily Summary New'!$3:$3,L$4,'Daily Summary New'!26:26)</f>
        <v>16166</v>
      </c>
      <c r="M26" s="111">
        <f>SUMIF('Daily Summary New'!$3:$3,M$4,'Daily Summary New'!26:26)</f>
        <v>13888</v>
      </c>
      <c r="N26" s="111">
        <f>SUMIF('Daily Summary New'!$3:$3,N$4,'Daily Summary New'!26:26)</f>
        <v>28482</v>
      </c>
      <c r="O26" s="111">
        <f>SUMIF('Daily Summary New'!$3:$3,O$4,'Daily Summary New'!26:26)</f>
        <v>28064</v>
      </c>
      <c r="P26" s="111">
        <f>SUMIF('Daily Summary New'!$3:$3,P$4,'Daily Summary New'!26:26)</f>
        <v>40800</v>
      </c>
      <c r="Q26" s="111">
        <f>SUMIF('Daily Summary New'!$3:$3,Q$4,'Daily Summary New'!26:26)</f>
        <v>53101</v>
      </c>
      <c r="R26" s="111">
        <f>SUMIF('Daily Summary New'!$3:$3,R$4,'Daily Summary New'!26:26)</f>
        <v>16240</v>
      </c>
      <c r="S26" s="111">
        <f>SUMIF('Daily Summary New'!$3:$3,S$4,'Daily Summary New'!26:26)</f>
        <v>80320</v>
      </c>
      <c r="T26" s="111">
        <f>SUMIF('Daily Summary New'!$3:$3,T$4,'Daily Summary New'!26:26)</f>
        <v>77408</v>
      </c>
      <c r="U26" s="111">
        <f>SUMIF('Daily Summary New'!$3:$3,U$4,'Daily Summary New'!26:26)</f>
        <v>99360</v>
      </c>
      <c r="V26" s="111">
        <f>SUMIF('Daily Summary New'!$3:$3,V$4,'Daily Summary New'!26:26)</f>
        <v>118018</v>
      </c>
      <c r="W26" s="111">
        <f>SUMIF('Daily Summary New'!$3:$3,W$4,'Daily Summary New'!26:26)</f>
        <v>53056</v>
      </c>
      <c r="X26" s="111">
        <f>SUMIF('Daily Summary New'!$3:$3,X$4,'Daily Summary New'!26:26)</f>
        <v>122968</v>
      </c>
      <c r="Y26" s="111">
        <f>SUMIF('Daily Summary New'!$3:$3,Y$4,'Daily Summary New'!26:26)</f>
        <v>42104</v>
      </c>
      <c r="Z26" s="111">
        <f>SUMIF('Daily Summary New'!$3:$3,Z$4,'Daily Summary New'!26:26)</f>
        <v>0</v>
      </c>
      <c r="AA26" s="111">
        <f>SUMIF('Daily Summary New'!$3:$3,AA$4,'Daily Summary New'!26:26)</f>
        <v>0</v>
      </c>
      <c r="AB26" s="111">
        <f>SUMIF('Daily Summary New'!$3:$3,AB$4,'Daily Summary New'!26:26)</f>
        <v>0</v>
      </c>
      <c r="AC26" s="111">
        <f>SUMIF('Daily Summary New'!$3:$3,AC$4,'Daily Summary New'!26:26)</f>
        <v>0</v>
      </c>
      <c r="AD26" s="111">
        <f>SUMIF('Daily Summary New'!$3:$3,AD$4,'Daily Summary New'!26:26)</f>
        <v>0</v>
      </c>
      <c r="AE26" s="111">
        <f>SUMIF('Daily Summary New'!$3:$3,AE$4,'Daily Summary New'!26:26)</f>
        <v>0</v>
      </c>
      <c r="AF26" s="111">
        <f>SUMIF('Daily Summary New'!$3:$3,AF$4,'Daily Summary New'!26:26)</f>
        <v>0</v>
      </c>
      <c r="AG26" s="111">
        <f>SUMIF('Daily Summary New'!$3:$3,AG$4,'Daily Summary New'!26:26)</f>
        <v>0</v>
      </c>
      <c r="AH26" s="111">
        <f>SUMIF('Daily Summary New'!$3:$3,AH$4,'Daily Summary New'!26:26)</f>
        <v>0</v>
      </c>
      <c r="AI26" s="111">
        <f>SUMIF('Daily Summary New'!$3:$3,AI$4,'Daily Summary New'!26:26)</f>
        <v>0</v>
      </c>
      <c r="AJ26" s="111">
        <f>SUMIF('Daily Summary New'!$3:$3,AJ$4,'Daily Summary New'!26:26)</f>
        <v>0</v>
      </c>
      <c r="AK26" s="111">
        <f>SUMIF('Daily Summary New'!$3:$3,AK$4,'Daily Summary New'!26:26)</f>
        <v>0</v>
      </c>
      <c r="AL26" s="111">
        <f>SUMIF('Daily Summary New'!$3:$3,AL$4,'Daily Summary New'!26:26)</f>
        <v>0</v>
      </c>
      <c r="AM26" s="111">
        <f>SUMIF('Daily Summary New'!$3:$3,AM$4,'Daily Summary New'!26:26)</f>
        <v>0</v>
      </c>
      <c r="AN26" s="111">
        <f>SUMIF('Daily Summary New'!$3:$3,AN$4,'Daily Summary New'!26:26)</f>
        <v>0</v>
      </c>
      <c r="AO26" s="111">
        <f>SUMIF('Daily Summary New'!$3:$3,AO$4,'Daily Summary New'!26:26)</f>
        <v>0</v>
      </c>
      <c r="AP26" s="111">
        <f>SUMIF('Daily Summary New'!$3:$3,AP$4,'Daily Summary New'!26:26)</f>
        <v>0</v>
      </c>
      <c r="AQ26" s="27"/>
      <c r="AR26" s="27">
        <f t="shared" si="62"/>
        <v>825127</v>
      </c>
    </row>
    <row r="27" spans="1:45" x14ac:dyDescent="0.35">
      <c r="A27" s="31"/>
    </row>
    <row r="28" spans="1:45" ht="15" thickBot="1" x14ac:dyDescent="0.4">
      <c r="A28" s="3"/>
    </row>
    <row r="29" spans="1:45" s="114" customFormat="1" x14ac:dyDescent="0.35">
      <c r="A29" s="112" t="s">
        <v>231</v>
      </c>
      <c r="B29" s="113">
        <f>+B25-B22</f>
        <v>0</v>
      </c>
      <c r="C29" s="113">
        <f t="shared" ref="C29:X29" si="64">+C25-C22</f>
        <v>-59400</v>
      </c>
      <c r="D29" s="113">
        <f t="shared" si="64"/>
        <v>-59400</v>
      </c>
      <c r="E29" s="113">
        <f t="shared" si="64"/>
        <v>-59400</v>
      </c>
      <c r="F29" s="113">
        <f t="shared" si="64"/>
        <v>-59400</v>
      </c>
      <c r="G29" s="113">
        <f t="shared" si="64"/>
        <v>-73507.5</v>
      </c>
      <c r="H29" s="113">
        <f t="shared" si="64"/>
        <v>-129745.5</v>
      </c>
      <c r="I29" s="113">
        <f t="shared" si="64"/>
        <v>-111745.1</v>
      </c>
      <c r="J29" s="113">
        <f t="shared" si="64"/>
        <v>-78468.700000000012</v>
      </c>
      <c r="K29" s="113">
        <f t="shared" si="64"/>
        <v>-81672.800000000003</v>
      </c>
      <c r="L29" s="113">
        <f t="shared" si="64"/>
        <v>-311141.2</v>
      </c>
      <c r="M29" s="113">
        <f t="shared" si="64"/>
        <v>-292577.59999999998</v>
      </c>
      <c r="N29" s="113">
        <f t="shared" si="64"/>
        <v>-313813.2</v>
      </c>
      <c r="O29" s="113">
        <f t="shared" si="64"/>
        <v>-274044</v>
      </c>
      <c r="P29" s="113">
        <f t="shared" si="64"/>
        <v>-318435.59999999998</v>
      </c>
      <c r="Q29" s="113">
        <f t="shared" si="64"/>
        <v>-370827.35</v>
      </c>
      <c r="R29" s="113">
        <f t="shared" si="64"/>
        <v>-458493.75</v>
      </c>
      <c r="S29" s="113">
        <f t="shared" si="64"/>
        <v>-376088.65</v>
      </c>
      <c r="T29" s="113">
        <f t="shared" si="64"/>
        <v>-359766.15</v>
      </c>
      <c r="U29" s="113">
        <f t="shared" si="64"/>
        <v>-415760.4</v>
      </c>
      <c r="V29" s="113">
        <f t="shared" si="64"/>
        <v>-439969.2</v>
      </c>
      <c r="W29" s="113">
        <f t="shared" si="64"/>
        <v>-525179.6</v>
      </c>
      <c r="X29" s="113">
        <f t="shared" si="64"/>
        <v>-428308.5</v>
      </c>
      <c r="Y29" s="113">
        <f t="shared" ref="Y29:Z29" si="65">+Y25-Y22</f>
        <v>-447788.52500000002</v>
      </c>
      <c r="Z29" s="113">
        <f t="shared" si="65"/>
        <v>0</v>
      </c>
      <c r="AA29" s="113"/>
      <c r="AB29" s="113"/>
      <c r="AC29" s="113"/>
      <c r="AD29" s="113"/>
      <c r="AE29" s="113"/>
      <c r="AF29" s="113"/>
      <c r="AG29" s="113"/>
      <c r="AH29" s="113"/>
      <c r="AI29" s="113"/>
      <c r="AJ29" s="113"/>
      <c r="AK29" s="113"/>
      <c r="AL29" s="113"/>
      <c r="AM29" s="113"/>
      <c r="AN29" s="113"/>
      <c r="AO29" s="113"/>
      <c r="AP29" s="113"/>
      <c r="AQ29" s="113"/>
      <c r="AR29" s="25">
        <f>SUM(C29:AQ29)</f>
        <v>-6044933.3250000002</v>
      </c>
    </row>
    <row r="30" spans="1:45" s="116" customFormat="1" x14ac:dyDescent="0.35">
      <c r="A30" s="115" t="s">
        <v>232</v>
      </c>
      <c r="B30" s="70">
        <f>+B26-B22</f>
        <v>0</v>
      </c>
      <c r="C30" s="70">
        <f t="shared" ref="C30:X30" si="66">+C26-C22</f>
        <v>-59400</v>
      </c>
      <c r="D30" s="70">
        <f t="shared" si="66"/>
        <v>-59400</v>
      </c>
      <c r="E30" s="70">
        <f t="shared" si="66"/>
        <v>-59400</v>
      </c>
      <c r="F30" s="70">
        <f t="shared" si="66"/>
        <v>-59400</v>
      </c>
      <c r="G30" s="70">
        <f t="shared" si="66"/>
        <v>-73507.5</v>
      </c>
      <c r="H30" s="70">
        <f t="shared" si="66"/>
        <v>-129937.5</v>
      </c>
      <c r="I30" s="70">
        <f t="shared" si="66"/>
        <v>-129937.5</v>
      </c>
      <c r="J30" s="70">
        <f t="shared" si="66"/>
        <v>-103313.5</v>
      </c>
      <c r="K30" s="70">
        <f t="shared" si="66"/>
        <v>-95422</v>
      </c>
      <c r="L30" s="70">
        <f t="shared" si="66"/>
        <v>-305584</v>
      </c>
      <c r="M30" s="70">
        <f t="shared" si="66"/>
        <v>-307862</v>
      </c>
      <c r="N30" s="70">
        <f t="shared" si="66"/>
        <v>-293268</v>
      </c>
      <c r="O30" s="70">
        <f t="shared" si="66"/>
        <v>-293686</v>
      </c>
      <c r="P30" s="70">
        <f t="shared" si="66"/>
        <v>-325995</v>
      </c>
      <c r="Q30" s="70">
        <f t="shared" si="66"/>
        <v>-405392.75</v>
      </c>
      <c r="R30" s="70">
        <f t="shared" si="66"/>
        <v>-442253.75</v>
      </c>
      <c r="S30" s="70">
        <f t="shared" si="66"/>
        <v>-378173.75</v>
      </c>
      <c r="T30" s="70">
        <f t="shared" si="66"/>
        <v>-381085.75</v>
      </c>
      <c r="U30" s="70">
        <f t="shared" si="66"/>
        <v>-479790</v>
      </c>
      <c r="V30" s="70">
        <f t="shared" si="66"/>
        <v>-461132</v>
      </c>
      <c r="W30" s="70">
        <f t="shared" si="66"/>
        <v>-526094</v>
      </c>
      <c r="X30" s="70">
        <f t="shared" si="66"/>
        <v>-456182</v>
      </c>
      <c r="Y30" s="70">
        <f t="shared" ref="Y30:Z30" si="67">+Y26-Y22</f>
        <v>-500849.125</v>
      </c>
      <c r="Z30" s="70">
        <f t="shared" si="67"/>
        <v>0</v>
      </c>
      <c r="AA30" s="70"/>
      <c r="AB30" s="70"/>
      <c r="AC30" s="70"/>
      <c r="AD30" s="70"/>
      <c r="AE30" s="70"/>
      <c r="AF30" s="70"/>
      <c r="AG30" s="70"/>
      <c r="AH30" s="70"/>
      <c r="AI30" s="70"/>
      <c r="AJ30" s="70"/>
      <c r="AK30" s="70"/>
      <c r="AL30" s="70"/>
      <c r="AM30" s="70"/>
      <c r="AN30" s="70"/>
      <c r="AO30" s="70"/>
      <c r="AP30" s="70"/>
      <c r="AQ30" s="70"/>
      <c r="AR30" s="70">
        <f>SUM(C30:AQ30)</f>
        <v>-6327066.125</v>
      </c>
    </row>
    <row r="31" spans="1:45" s="30" customFormat="1" x14ac:dyDescent="0.35">
      <c r="A31" s="29" t="s">
        <v>233</v>
      </c>
      <c r="B31" s="107"/>
      <c r="C31" s="107"/>
      <c r="D31" s="107"/>
      <c r="E31" s="107"/>
      <c r="F31" s="107"/>
      <c r="G31" s="107"/>
      <c r="H31" s="107"/>
      <c r="I31" s="107"/>
      <c r="J31" s="107"/>
      <c r="K31" s="107"/>
      <c r="L31" s="107"/>
      <c r="M31" s="107"/>
      <c r="N31" s="107"/>
      <c r="O31" s="107"/>
      <c r="P31" s="107"/>
      <c r="Q31" s="107"/>
      <c r="R31" s="107"/>
      <c r="S31" s="107"/>
      <c r="T31" s="107"/>
      <c r="U31" s="107">
        <f t="shared" ref="U31:X31" si="68">+U25-U23</f>
        <v>163389.6</v>
      </c>
      <c r="V31" s="107">
        <f t="shared" si="68"/>
        <v>139180.79999999999</v>
      </c>
      <c r="W31" s="107">
        <f t="shared" si="68"/>
        <v>53970.399999999994</v>
      </c>
      <c r="X31" s="107">
        <f t="shared" si="68"/>
        <v>-59158.5</v>
      </c>
      <c r="Y31" s="107">
        <f t="shared" ref="Y31:Z31" si="69">+Y25-Y23</f>
        <v>-204835.4</v>
      </c>
      <c r="Z31" s="107">
        <f t="shared" si="69"/>
        <v>-300000</v>
      </c>
      <c r="AA31" s="107"/>
      <c r="AB31" s="107"/>
      <c r="AC31" s="107"/>
      <c r="AD31" s="107"/>
      <c r="AE31" s="107"/>
      <c r="AF31" s="107"/>
      <c r="AG31" s="107"/>
      <c r="AH31" s="107"/>
      <c r="AI31" s="107"/>
      <c r="AJ31" s="107"/>
      <c r="AK31" s="107"/>
      <c r="AL31" s="107"/>
      <c r="AM31" s="107"/>
      <c r="AN31" s="107"/>
      <c r="AO31" s="107"/>
      <c r="AP31" s="107"/>
      <c r="AQ31" s="107"/>
      <c r="AR31" s="107">
        <f>SUM(C31:AQ31)</f>
        <v>-207453.09999999995</v>
      </c>
    </row>
    <row r="32" spans="1:45" s="110" customFormat="1" ht="15" thickBot="1" x14ac:dyDescent="0.4">
      <c r="A32" s="108" t="s">
        <v>234</v>
      </c>
      <c r="B32" s="109"/>
      <c r="C32" s="109"/>
      <c r="D32" s="109"/>
      <c r="E32" s="109"/>
      <c r="F32" s="109"/>
      <c r="G32" s="109"/>
      <c r="H32" s="109"/>
      <c r="I32" s="109"/>
      <c r="J32" s="109"/>
      <c r="K32" s="109"/>
      <c r="L32" s="109"/>
      <c r="M32" s="109"/>
      <c r="N32" s="109"/>
      <c r="O32" s="109"/>
      <c r="P32" s="109"/>
      <c r="Q32" s="109"/>
      <c r="R32" s="109"/>
      <c r="S32" s="109"/>
      <c r="T32" s="109"/>
      <c r="U32" s="109">
        <f t="shared" ref="U32:X32" si="70">+U26-U23</f>
        <v>99360</v>
      </c>
      <c r="V32" s="109">
        <f t="shared" si="70"/>
        <v>118018</v>
      </c>
      <c r="W32" s="109">
        <f t="shared" si="70"/>
        <v>53056</v>
      </c>
      <c r="X32" s="109">
        <f t="shared" si="70"/>
        <v>-87032</v>
      </c>
      <c r="Y32" s="109">
        <f t="shared" ref="Y32:Z32" si="71">+Y26-Y23</f>
        <v>-257896</v>
      </c>
      <c r="Z32" s="109">
        <f t="shared" si="71"/>
        <v>-300000</v>
      </c>
      <c r="AA32" s="109"/>
      <c r="AB32" s="109"/>
      <c r="AC32" s="109"/>
      <c r="AD32" s="109"/>
      <c r="AE32" s="109"/>
      <c r="AF32" s="109"/>
      <c r="AG32" s="109"/>
      <c r="AH32" s="109"/>
      <c r="AI32" s="109"/>
      <c r="AJ32" s="109"/>
      <c r="AK32" s="109"/>
      <c r="AL32" s="109"/>
      <c r="AM32" s="109"/>
      <c r="AN32" s="109"/>
      <c r="AO32" s="109"/>
      <c r="AP32" s="109"/>
      <c r="AQ32" s="109"/>
      <c r="AR32" s="109">
        <f>SUM(C32:AQ32)</f>
        <v>-374494</v>
      </c>
    </row>
    <row r="33" spans="1:45" x14ac:dyDescent="0.35">
      <c r="A33" s="31"/>
      <c r="B33" s="3"/>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row>
    <row r="34" spans="1:45" x14ac:dyDescent="0.35">
      <c r="A34" s="31" t="s">
        <v>229</v>
      </c>
      <c r="B34" s="106">
        <f>SUMIF('Daily Summary New'!$3:$3,B$4,'Daily Summary New'!34:34)</f>
        <v>0</v>
      </c>
      <c r="C34" s="106">
        <f>SUMIF('Daily Summary New'!$3:$3,C$4,'Daily Summary New'!34:34)</f>
        <v>0</v>
      </c>
      <c r="D34" s="106">
        <f>SUMIF('Daily Summary New'!$3:$3,D$4,'Daily Summary New'!34:34)</f>
        <v>0</v>
      </c>
      <c r="E34" s="106">
        <f>SUMIF('Daily Summary New'!$3:$3,E$4,'Daily Summary New'!34:34)</f>
        <v>0</v>
      </c>
      <c r="F34" s="106">
        <f>SUMIF('Daily Summary New'!$3:$3,F$4,'Daily Summary New'!34:34)</f>
        <v>0</v>
      </c>
      <c r="G34" s="106">
        <f>SUMIF('Daily Summary New'!$3:$3,G$4,'Daily Summary New'!34:34)</f>
        <v>0</v>
      </c>
      <c r="H34" s="106">
        <f>SUMIF('Daily Summary New'!$3:$3,H$4,'Daily Summary New'!34:34)</f>
        <v>192</v>
      </c>
      <c r="I34" s="106">
        <f>SUMIF('Daily Summary New'!$3:$3,I$4,'Daily Summary New'!34:34)</f>
        <v>742.4</v>
      </c>
      <c r="J34" s="106">
        <f>SUMIF('Daily Summary New'!$3:$3,J$4,'Daily Summary New'!34:34)</f>
        <v>6668.7999999999993</v>
      </c>
      <c r="K34" s="106">
        <f>SUMIF('Daily Summary New'!$3:$3,K$4,'Daily Summary New'!34:34)</f>
        <v>1715.2</v>
      </c>
      <c r="L34" s="106">
        <f>SUMIF('Daily Summary New'!$3:$3,L$4,'Daily Summary New'!34:34)</f>
        <v>1228.8</v>
      </c>
      <c r="M34" s="106">
        <f>SUMIF('Daily Summary New'!$3:$3,M$4,'Daily Summary New'!34:34)</f>
        <v>1382.4</v>
      </c>
      <c r="N34" s="106">
        <f>SUMIF('Daily Summary New'!$3:$3,N$4,'Daily Summary New'!34:34)</f>
        <v>236.79999999999998</v>
      </c>
      <c r="O34" s="106">
        <f>SUMIF('Daily Summary New'!$3:$3,O$4,'Daily Summary New'!34:34)</f>
        <v>9888</v>
      </c>
      <c r="P34" s="106">
        <f>SUMIF('Daily Summary New'!$3:$3,P$4,'Daily Summary New'!34:34)</f>
        <v>5414.4</v>
      </c>
      <c r="Q34" s="106">
        <f>SUMIF('Daily Summary New'!$3:$3,Q$4,'Daily Summary New'!34:34)</f>
        <v>5542.4</v>
      </c>
      <c r="R34" s="106">
        <f>SUMIF('Daily Summary New'!$3:$3,R$4,'Daily Summary New'!34:34)</f>
        <v>0</v>
      </c>
      <c r="S34" s="106">
        <f>SUMIF('Daily Summary New'!$3:$3,S$4,'Daily Summary New'!34:34)</f>
        <v>7417.6</v>
      </c>
      <c r="T34" s="106">
        <f>SUMIF('Daily Summary New'!$3:$3,T$4,'Daily Summary New'!34:34)</f>
        <v>9145.6</v>
      </c>
      <c r="U34" s="106">
        <f>SUMIF('Daily Summary New'!$3:$3,U$4,'Daily Summary New'!34:34)</f>
        <v>15129.6</v>
      </c>
      <c r="V34" s="106">
        <f>SUMIF('Daily Summary New'!$3:$3,V$4,'Daily Summary New'!34:34)</f>
        <v>11500.800000000001</v>
      </c>
      <c r="W34" s="106">
        <f>SUMIF('Daily Summary New'!$3:$3,W$4,'Daily Summary New'!34:34)</f>
        <v>1190.4000000000001</v>
      </c>
      <c r="X34" s="106">
        <f>SUMIF('Daily Summary New'!$3:$3,X$4,'Daily Summary New'!34:34)</f>
        <v>6623.9999999999991</v>
      </c>
      <c r="Y34" s="106">
        <f>SUMIF('Daily Summary New'!$3:$3,Y$4,'Daily Summary New'!34:34)</f>
        <v>15609.6</v>
      </c>
      <c r="Z34" s="106">
        <f>SUMIF('Daily Summary New'!$3:$3,Z$4,'Daily Summary New'!34:34)</f>
        <v>0</v>
      </c>
      <c r="AA34" s="106">
        <f>SUMIF('Daily Summary New'!$3:$3,AA$4,'Daily Summary New'!34:34)</f>
        <v>0</v>
      </c>
      <c r="AB34" s="106">
        <f>SUMIF('Daily Summary New'!$3:$3,AB$4,'Daily Summary New'!34:34)</f>
        <v>0</v>
      </c>
      <c r="AC34" s="106">
        <f>SUMIF('Daily Summary New'!$3:$3,AC$4,'Daily Summary New'!34:34)</f>
        <v>0</v>
      </c>
      <c r="AD34" s="106">
        <f>SUMIF('Daily Summary New'!$3:$3,AD$4,'Daily Summary New'!34:34)</f>
        <v>0</v>
      </c>
      <c r="AE34" s="106">
        <f>SUMIF('Daily Summary New'!$3:$3,AE$4,'Daily Summary New'!34:34)</f>
        <v>0</v>
      </c>
      <c r="AF34" s="106">
        <f>SUMIF('Daily Summary New'!$3:$3,AF$4,'Daily Summary New'!34:34)</f>
        <v>0</v>
      </c>
      <c r="AG34" s="106">
        <f>SUMIF('Daily Summary New'!$3:$3,AG$4,'Daily Summary New'!34:34)</f>
        <v>0</v>
      </c>
      <c r="AH34" s="106">
        <f>SUMIF('Daily Summary New'!$3:$3,AH$4,'Daily Summary New'!34:34)</f>
        <v>0</v>
      </c>
      <c r="AI34" s="106">
        <f>SUMIF('Daily Summary New'!$3:$3,AI$4,'Daily Summary New'!34:34)</f>
        <v>0</v>
      </c>
      <c r="AJ34" s="106">
        <f>SUMIF('Daily Summary New'!$3:$3,AJ$4,'Daily Summary New'!34:34)</f>
        <v>0</v>
      </c>
      <c r="AK34" s="106">
        <f>SUMIF('Daily Summary New'!$3:$3,AK$4,'Daily Summary New'!34:34)</f>
        <v>0</v>
      </c>
      <c r="AL34" s="106">
        <f>SUMIF('Daily Summary New'!$3:$3,AL$4,'Daily Summary New'!34:34)</f>
        <v>0</v>
      </c>
      <c r="AM34" s="106">
        <f>SUMIF('Daily Summary New'!$3:$3,AM$4,'Daily Summary New'!34:34)</f>
        <v>0</v>
      </c>
      <c r="AN34" s="106">
        <f>SUMIF('Daily Summary New'!$3:$3,AN$4,'Daily Summary New'!34:34)</f>
        <v>0</v>
      </c>
      <c r="AO34" s="106">
        <f>SUMIF('Daily Summary New'!$3:$3,AO$4,'Daily Summary New'!34:34)</f>
        <v>0</v>
      </c>
      <c r="AP34" s="106">
        <f>SUMIF('Daily Summary New'!$3:$3,AP$4,'Daily Summary New'!34:34)</f>
        <v>0</v>
      </c>
      <c r="AQ34" s="106"/>
      <c r="AR34" s="106">
        <f>SUM(C34:AP34)</f>
        <v>99628.799999999988</v>
      </c>
      <c r="AS34" s="121">
        <f>+AR34/SUM(AR34:AR35)</f>
        <v>0.8308492894789512</v>
      </c>
    </row>
    <row r="35" spans="1:45" x14ac:dyDescent="0.35">
      <c r="A35" s="31" t="s">
        <v>230</v>
      </c>
      <c r="B35" s="106">
        <f>SUMIF('Daily Summary New'!$3:$3,B$4,'Daily Summary New'!35:35)</f>
        <v>0</v>
      </c>
      <c r="C35" s="106">
        <f>SUMIF('Daily Summary New'!$3:$3,C$4,'Daily Summary New'!35:35)</f>
        <v>0</v>
      </c>
      <c r="D35" s="106">
        <f>SUMIF('Daily Summary New'!$3:$3,D$4,'Daily Summary New'!35:35)</f>
        <v>0</v>
      </c>
      <c r="E35" s="106">
        <f>SUMIF('Daily Summary New'!$3:$3,E$4,'Daily Summary New'!35:35)</f>
        <v>0</v>
      </c>
      <c r="F35" s="106">
        <f>SUMIF('Daily Summary New'!$3:$3,F$4,'Daily Summary New'!35:35)</f>
        <v>0</v>
      </c>
      <c r="G35" s="106">
        <f>SUMIF('Daily Summary New'!$3:$3,G$4,'Daily Summary New'!35:35)</f>
        <v>0</v>
      </c>
      <c r="H35" s="106">
        <f>SUMIF('Daily Summary New'!$3:$3,H$4,'Daily Summary New'!35:35)</f>
        <v>0</v>
      </c>
      <c r="I35" s="106">
        <f>SUMIF('Daily Summary New'!$3:$3,I$4,'Daily Summary New'!35:35)</f>
        <v>0</v>
      </c>
      <c r="J35" s="106">
        <f>SUMIF('Daily Summary New'!$3:$3,J$4,'Daily Summary New'!35:35)</f>
        <v>0</v>
      </c>
      <c r="K35" s="106">
        <f>SUMIF('Daily Summary New'!$3:$3,K$4,'Daily Summary New'!35:35)</f>
        <v>0</v>
      </c>
      <c r="L35" s="106">
        <f>SUMIF('Daily Summary New'!$3:$3,L$4,'Daily Summary New'!35:35)</f>
        <v>0</v>
      </c>
      <c r="M35" s="106">
        <f>SUMIF('Daily Summary New'!$3:$3,M$4,'Daily Summary New'!35:35)</f>
        <v>0</v>
      </c>
      <c r="N35" s="106">
        <f>SUMIF('Daily Summary New'!$3:$3,N$4,'Daily Summary New'!35:35)</f>
        <v>0</v>
      </c>
      <c r="O35" s="106">
        <f>SUMIF('Daily Summary New'!$3:$3,O$4,'Daily Summary New'!35:35)</f>
        <v>332.8</v>
      </c>
      <c r="P35" s="106">
        <f>SUMIF('Daily Summary New'!$3:$3,P$4,'Daily Summary New'!35:35)</f>
        <v>608</v>
      </c>
      <c r="Q35" s="106">
        <f>SUMIF('Daily Summary New'!$3:$3,Q$4,'Daily Summary New'!35:35)</f>
        <v>1894.4</v>
      </c>
      <c r="R35" s="106">
        <f>SUMIF('Daily Summary New'!$3:$3,R$4,'Daily Summary New'!35:35)</f>
        <v>0</v>
      </c>
      <c r="S35" s="106">
        <f>SUMIF('Daily Summary New'!$3:$3,S$4,'Daily Summary New'!35:35)</f>
        <v>3174.4</v>
      </c>
      <c r="T35" s="106">
        <f>SUMIF('Daily Summary New'!$3:$3,T$4,'Daily Summary New'!35:35)</f>
        <v>3028.8</v>
      </c>
      <c r="U35" s="106">
        <f>SUMIF('Daily Summary New'!$3:$3,U$4,'Daily Summary New'!35:35)</f>
        <v>4940.8</v>
      </c>
      <c r="V35" s="106">
        <f>SUMIF('Daily Summary New'!$3:$3,V$4,'Daily Summary New'!35:35)</f>
        <v>2009.6</v>
      </c>
      <c r="W35" s="106">
        <f>SUMIF('Daily Summary New'!$3:$3,W$4,'Daily Summary New'!35:35)</f>
        <v>0</v>
      </c>
      <c r="X35" s="106">
        <f>SUMIF('Daily Summary New'!$3:$3,X$4,'Daily Summary New'!35:35)</f>
        <v>2931.2</v>
      </c>
      <c r="Y35" s="106">
        <f>SUMIF('Daily Summary New'!$3:$3,Y$4,'Daily Summary New'!35:35)</f>
        <v>1363.1999999999998</v>
      </c>
      <c r="Z35" s="106">
        <f>SUMIF('Daily Summary New'!$3:$3,Z$4,'Daily Summary New'!35:35)</f>
        <v>0</v>
      </c>
      <c r="AA35" s="106">
        <f>SUMIF('Daily Summary New'!$3:$3,AA$4,'Daily Summary New'!35:35)</f>
        <v>0</v>
      </c>
      <c r="AB35" s="106">
        <f>SUMIF('Daily Summary New'!$3:$3,AB$4,'Daily Summary New'!35:35)</f>
        <v>0</v>
      </c>
      <c r="AC35" s="106">
        <f>SUMIF('Daily Summary New'!$3:$3,AC$4,'Daily Summary New'!35:35)</f>
        <v>0</v>
      </c>
      <c r="AD35" s="106">
        <f>SUMIF('Daily Summary New'!$3:$3,AD$4,'Daily Summary New'!35:35)</f>
        <v>0</v>
      </c>
      <c r="AE35" s="106">
        <f>SUMIF('Daily Summary New'!$3:$3,AE$4,'Daily Summary New'!35:35)</f>
        <v>0</v>
      </c>
      <c r="AF35" s="106">
        <f>SUMIF('Daily Summary New'!$3:$3,AF$4,'Daily Summary New'!35:35)</f>
        <v>0</v>
      </c>
      <c r="AG35" s="106">
        <f>SUMIF('Daily Summary New'!$3:$3,AG$4,'Daily Summary New'!35:35)</f>
        <v>0</v>
      </c>
      <c r="AH35" s="106">
        <f>SUMIF('Daily Summary New'!$3:$3,AH$4,'Daily Summary New'!35:35)</f>
        <v>0</v>
      </c>
      <c r="AI35" s="106">
        <f>SUMIF('Daily Summary New'!$3:$3,AI$4,'Daily Summary New'!35:35)</f>
        <v>0</v>
      </c>
      <c r="AJ35" s="106">
        <f>SUMIF('Daily Summary New'!$3:$3,AJ$4,'Daily Summary New'!35:35)</f>
        <v>0</v>
      </c>
      <c r="AK35" s="106">
        <f>SUMIF('Daily Summary New'!$3:$3,AK$4,'Daily Summary New'!35:35)</f>
        <v>0</v>
      </c>
      <c r="AL35" s="106">
        <f>SUMIF('Daily Summary New'!$3:$3,AL$4,'Daily Summary New'!35:35)</f>
        <v>0</v>
      </c>
      <c r="AM35" s="106">
        <f>SUMIF('Daily Summary New'!$3:$3,AM$4,'Daily Summary New'!35:35)</f>
        <v>0</v>
      </c>
      <c r="AN35" s="106">
        <f>SUMIF('Daily Summary New'!$3:$3,AN$4,'Daily Summary New'!35:35)</f>
        <v>0</v>
      </c>
      <c r="AO35" s="106">
        <f>SUMIF('Daily Summary New'!$3:$3,AO$4,'Daily Summary New'!35:35)</f>
        <v>0</v>
      </c>
      <c r="AP35" s="106">
        <f>SUMIF('Daily Summary New'!$3:$3,AP$4,'Daily Summary New'!35:35)</f>
        <v>0</v>
      </c>
      <c r="AQ35" s="106"/>
      <c r="AR35" s="106">
        <f>SUM(C35:AP35)</f>
        <v>20283.2</v>
      </c>
      <c r="AS35" s="121">
        <f>+AR35/SUM(AR34:AR35)</f>
        <v>0.1691507105210488</v>
      </c>
    </row>
    <row r="36" spans="1:45" x14ac:dyDescent="0.35">
      <c r="A36" s="31" t="s">
        <v>237</v>
      </c>
      <c r="B36" s="117" t="str">
        <f>IFERROR(SUM(B34:B35)/B25,"")</f>
        <v/>
      </c>
      <c r="C36" s="117" t="str">
        <f t="shared" ref="C36:AR36" si="72">IFERROR(SUM(C34:C35)/C25,"")</f>
        <v/>
      </c>
      <c r="D36" s="117" t="str">
        <f t="shared" si="72"/>
        <v/>
      </c>
      <c r="E36" s="117" t="str">
        <f t="shared" si="72"/>
        <v/>
      </c>
      <c r="F36" s="117" t="str">
        <f t="shared" si="72"/>
        <v/>
      </c>
      <c r="G36" s="117" t="str">
        <f t="shared" si="72"/>
        <v/>
      </c>
      <c r="H36" s="117">
        <f t="shared" si="72"/>
        <v>1</v>
      </c>
      <c r="I36" s="117">
        <f t="shared" si="72"/>
        <v>4.0808249598733533E-2</v>
      </c>
      <c r="J36" s="117">
        <f t="shared" si="72"/>
        <v>0.129569758766476</v>
      </c>
      <c r="K36" s="117">
        <f t="shared" si="72"/>
        <v>7.6993518036377995E-2</v>
      </c>
      <c r="L36" s="117">
        <f t="shared" si="72"/>
        <v>0.1158283689012895</v>
      </c>
      <c r="M36" s="117">
        <f t="shared" si="72"/>
        <v>4.7387256447875399E-2</v>
      </c>
      <c r="N36" s="117">
        <f t="shared" si="72"/>
        <v>2.9835702046164703E-2</v>
      </c>
      <c r="O36" s="117">
        <f t="shared" si="72"/>
        <v>0.21424558755712067</v>
      </c>
      <c r="P36" s="117">
        <f t="shared" si="72"/>
        <v>0.12453421671898326</v>
      </c>
      <c r="Q36" s="117">
        <f t="shared" si="72"/>
        <v>8.4830676291030541E-2</v>
      </c>
      <c r="R36" s="117" t="str">
        <f t="shared" si="72"/>
        <v/>
      </c>
      <c r="S36" s="117">
        <f t="shared" si="72"/>
        <v>0.12853573383200795</v>
      </c>
      <c r="T36" s="117">
        <f t="shared" si="72"/>
        <v>0.123313035058079</v>
      </c>
      <c r="U36" s="117">
        <f t="shared" si="72"/>
        <v>0.12283768367142095</v>
      </c>
      <c r="V36" s="117">
        <f t="shared" si="72"/>
        <v>9.7070860348553847E-2</v>
      </c>
      <c r="W36" s="117">
        <f t="shared" si="72"/>
        <v>2.2056534693091032E-2</v>
      </c>
      <c r="X36" s="117">
        <f t="shared" si="72"/>
        <v>6.3345962483799215E-2</v>
      </c>
      <c r="Y36" s="117">
        <f t="shared" si="72"/>
        <v>0.17835203426484217</v>
      </c>
      <c r="Z36" s="117" t="str">
        <f t="shared" si="72"/>
        <v/>
      </c>
      <c r="AA36" s="117" t="str">
        <f t="shared" si="72"/>
        <v/>
      </c>
      <c r="AB36" s="117" t="str">
        <f t="shared" si="72"/>
        <v/>
      </c>
      <c r="AC36" s="117" t="str">
        <f t="shared" si="72"/>
        <v/>
      </c>
      <c r="AD36" s="117" t="str">
        <f t="shared" si="72"/>
        <v/>
      </c>
      <c r="AE36" s="117" t="str">
        <f t="shared" si="72"/>
        <v/>
      </c>
      <c r="AF36" s="117" t="str">
        <f t="shared" si="72"/>
        <v/>
      </c>
      <c r="AG36" s="117" t="str">
        <f t="shared" si="72"/>
        <v/>
      </c>
      <c r="AH36" s="117" t="str">
        <f t="shared" si="72"/>
        <v/>
      </c>
      <c r="AI36" s="117" t="str">
        <f t="shared" si="72"/>
        <v/>
      </c>
      <c r="AJ36" s="117" t="str">
        <f t="shared" si="72"/>
        <v/>
      </c>
      <c r="AK36" s="117" t="str">
        <f t="shared" si="72"/>
        <v/>
      </c>
      <c r="AL36" s="117" t="str">
        <f t="shared" si="72"/>
        <v/>
      </c>
      <c r="AM36" s="117" t="str">
        <f t="shared" si="72"/>
        <v/>
      </c>
      <c r="AN36" s="117" t="str">
        <f t="shared" si="72"/>
        <v/>
      </c>
      <c r="AO36" s="117" t="str">
        <f t="shared" si="72"/>
        <v/>
      </c>
      <c r="AP36" s="117" t="str">
        <f t="shared" si="72"/>
        <v/>
      </c>
      <c r="AQ36" s="117"/>
      <c r="AR36" s="117">
        <f t="shared" si="72"/>
        <v>0.10829617403250801</v>
      </c>
    </row>
    <row r="38" spans="1:45" x14ac:dyDescent="0.35">
      <c r="A38" s="3" t="s">
        <v>240</v>
      </c>
      <c r="Y38" s="11">
        <f>'Daily Summary New'!DM38</f>
        <v>115441.17283950617</v>
      </c>
    </row>
    <row r="39" spans="1:45" x14ac:dyDescent="0.35">
      <c r="A39" s="3" t="s">
        <v>241</v>
      </c>
      <c r="Y39" s="11">
        <f>'Daily Summary New'!DM39</f>
        <v>34922.5</v>
      </c>
    </row>
    <row r="43" spans="1:45" x14ac:dyDescent="0.35">
      <c r="A43" s="3" t="s">
        <v>228</v>
      </c>
    </row>
    <row r="44" spans="1:45" x14ac:dyDescent="0.35">
      <c r="A44" t="s">
        <v>15</v>
      </c>
      <c r="X44" s="83">
        <f>+X56+X68</f>
        <v>155640</v>
      </c>
    </row>
    <row r="45" spans="1:45" x14ac:dyDescent="0.35">
      <c r="A45" t="s">
        <v>16</v>
      </c>
      <c r="X45" s="83">
        <f t="shared" ref="X45:X53" si="73">+X57+X69</f>
        <v>167700</v>
      </c>
    </row>
    <row r="46" spans="1:45" x14ac:dyDescent="0.35">
      <c r="A46" t="s">
        <v>170</v>
      </c>
      <c r="X46" s="83">
        <f t="shared" si="73"/>
        <v>0</v>
      </c>
    </row>
    <row r="47" spans="1:45" x14ac:dyDescent="0.35">
      <c r="A47" t="s">
        <v>174</v>
      </c>
      <c r="X47" s="83">
        <f t="shared" si="73"/>
        <v>60000</v>
      </c>
    </row>
    <row r="48" spans="1:45" x14ac:dyDescent="0.35">
      <c r="A48" t="s">
        <v>162</v>
      </c>
      <c r="X48" s="83">
        <f t="shared" si="73"/>
        <v>38950</v>
      </c>
    </row>
    <row r="49" spans="1:24" x14ac:dyDescent="0.35">
      <c r="A49" t="s">
        <v>184</v>
      </c>
      <c r="X49" s="83">
        <f t="shared" si="73"/>
        <v>0</v>
      </c>
    </row>
    <row r="50" spans="1:24" x14ac:dyDescent="0.35">
      <c r="A50" t="s">
        <v>163</v>
      </c>
      <c r="X50" s="83">
        <f t="shared" si="73"/>
        <v>186752</v>
      </c>
    </row>
    <row r="51" spans="1:24" x14ac:dyDescent="0.35">
      <c r="A51" t="s">
        <v>171</v>
      </c>
      <c r="X51" s="83">
        <f t="shared" si="73"/>
        <v>0</v>
      </c>
    </row>
    <row r="52" spans="1:24" x14ac:dyDescent="0.35">
      <c r="A52" t="s">
        <v>226</v>
      </c>
      <c r="X52" s="83">
        <f t="shared" si="73"/>
        <v>37400</v>
      </c>
    </row>
    <row r="53" spans="1:24" x14ac:dyDescent="0.35">
      <c r="A53" t="s">
        <v>227</v>
      </c>
      <c r="X53" s="83">
        <f t="shared" si="73"/>
        <v>33992</v>
      </c>
    </row>
    <row r="55" spans="1:24" x14ac:dyDescent="0.35">
      <c r="A55" s="3" t="s">
        <v>164</v>
      </c>
      <c r="B55" s="3"/>
      <c r="C55" s="3" t="s">
        <v>180</v>
      </c>
      <c r="D55" s="3" t="s">
        <v>181</v>
      </c>
    </row>
    <row r="56" spans="1:24" x14ac:dyDescent="0.35">
      <c r="A56" t="s">
        <v>15</v>
      </c>
      <c r="C56" s="83">
        <f>+D56/60</f>
        <v>3029</v>
      </c>
      <c r="D56" s="83">
        <f>+S56</f>
        <v>181740</v>
      </c>
      <c r="L56" s="11">
        <f>38*126*60+24*60+125*60+1032*60</f>
        <v>358140</v>
      </c>
      <c r="M56" s="11">
        <v>448620</v>
      </c>
      <c r="N56" s="11">
        <f>1792*60+(30*126*60)</f>
        <v>334320</v>
      </c>
      <c r="O56" s="11">
        <f>1792*60</f>
        <v>107520</v>
      </c>
      <c r="P56" s="11">
        <v>263580</v>
      </c>
      <c r="Q56" s="11"/>
      <c r="R56" s="11">
        <f>4393*60</f>
        <v>263580</v>
      </c>
      <c r="S56" s="11">
        <f>3029*60</f>
        <v>181740</v>
      </c>
      <c r="U56" s="11">
        <f>3710*60</f>
        <v>222600</v>
      </c>
      <c r="V56" s="11">
        <f>4051*60</f>
        <v>243060</v>
      </c>
      <c r="W56" s="11">
        <f>6382*60</f>
        <v>382920</v>
      </c>
      <c r="X56" s="11">
        <v>155640</v>
      </c>
    </row>
    <row r="57" spans="1:24" x14ac:dyDescent="0.35">
      <c r="A57" t="s">
        <v>16</v>
      </c>
      <c r="C57" s="83">
        <f t="shared" ref="C57:C58" si="74">+D57/60</f>
        <v>1217</v>
      </c>
      <c r="D57" s="83">
        <f t="shared" ref="D57:D63" si="75">+S57</f>
        <v>73020</v>
      </c>
      <c r="L57" s="11">
        <f>31*126*60+123*60+110*60</f>
        <v>248340</v>
      </c>
      <c r="M57" s="11">
        <v>248340</v>
      </c>
      <c r="N57" s="11">
        <f>5381*60</f>
        <v>322860</v>
      </c>
      <c r="O57" s="11">
        <f>10289*60</f>
        <v>617340</v>
      </c>
      <c r="P57" s="11">
        <v>277140</v>
      </c>
      <c r="Q57" s="11"/>
      <c r="R57" s="11">
        <f>1343*60+3276*60</f>
        <v>277140</v>
      </c>
      <c r="S57" s="11">
        <f>1217*60</f>
        <v>73020</v>
      </c>
      <c r="U57" s="11">
        <f>2215*60</f>
        <v>132900</v>
      </c>
      <c r="V57" s="11">
        <f>1207*60</f>
        <v>72420</v>
      </c>
      <c r="W57" s="11">
        <f>1292*60</f>
        <v>77520</v>
      </c>
      <c r="X57" s="11">
        <v>167700</v>
      </c>
    </row>
    <row r="58" spans="1:24" x14ac:dyDescent="0.35">
      <c r="A58" t="s">
        <v>170</v>
      </c>
      <c r="C58" s="83">
        <f t="shared" si="74"/>
        <v>761</v>
      </c>
      <c r="D58" s="83">
        <f t="shared" si="75"/>
        <v>45660</v>
      </c>
      <c r="L58" s="11"/>
      <c r="N58" s="11">
        <f>762*60</f>
        <v>45720</v>
      </c>
      <c r="O58" s="11">
        <v>45660</v>
      </c>
      <c r="P58" s="11">
        <v>45660</v>
      </c>
      <c r="Q58" s="11"/>
      <c r="R58" s="11">
        <f>761*60</f>
        <v>45660</v>
      </c>
      <c r="S58" s="11">
        <f>761*60</f>
        <v>45660</v>
      </c>
      <c r="U58" s="11">
        <v>0</v>
      </c>
      <c r="V58" s="11">
        <v>0</v>
      </c>
      <c r="W58" s="11">
        <v>0</v>
      </c>
      <c r="X58" s="11">
        <v>0</v>
      </c>
    </row>
    <row r="59" spans="1:24" x14ac:dyDescent="0.35">
      <c r="A59" t="s">
        <v>174</v>
      </c>
      <c r="C59">
        <f>+D59/225</f>
        <v>719</v>
      </c>
      <c r="D59" s="83">
        <f>+S59+102*225</f>
        <v>161775</v>
      </c>
      <c r="L59" s="11"/>
      <c r="N59" s="11"/>
      <c r="O59" s="11"/>
      <c r="P59" s="11">
        <v>0</v>
      </c>
      <c r="Q59" s="11"/>
      <c r="R59" s="11">
        <f>370*225</f>
        <v>83250</v>
      </c>
      <c r="S59" s="11">
        <f>617*225</f>
        <v>138825</v>
      </c>
      <c r="U59" s="11">
        <v>14200</v>
      </c>
      <c r="V59" s="11">
        <v>0</v>
      </c>
      <c r="W59" s="11">
        <v>0</v>
      </c>
      <c r="X59" s="11"/>
    </row>
    <row r="60" spans="1:24" x14ac:dyDescent="0.35">
      <c r="A60" t="s">
        <v>162</v>
      </c>
      <c r="D60" s="83">
        <f t="shared" si="75"/>
        <v>0</v>
      </c>
      <c r="L60" s="11">
        <f>43*50+21*50+180*50+73*50+100</f>
        <v>15950</v>
      </c>
      <c r="M60" s="11">
        <f>252*50</f>
        <v>12600</v>
      </c>
      <c r="N60" s="11">
        <f>406*50</f>
        <v>20300</v>
      </c>
      <c r="O60" s="11">
        <f>406*50</f>
        <v>20300</v>
      </c>
      <c r="P60" s="11">
        <v>0</v>
      </c>
      <c r="Q60" s="11"/>
      <c r="R60" s="11"/>
      <c r="S60" s="11"/>
      <c r="U60" s="11"/>
      <c r="V60" s="11">
        <f>779*50</f>
        <v>38950</v>
      </c>
      <c r="W60" s="11">
        <f>779*50</f>
        <v>38950</v>
      </c>
      <c r="X60" s="11">
        <v>38950</v>
      </c>
    </row>
    <row r="61" spans="1:24" x14ac:dyDescent="0.35">
      <c r="A61" t="s">
        <v>184</v>
      </c>
      <c r="D61" s="83"/>
      <c r="L61" s="11"/>
      <c r="M61" s="11"/>
      <c r="N61" s="11"/>
      <c r="O61" s="11"/>
      <c r="P61" s="11"/>
      <c r="Q61" s="11"/>
      <c r="R61" s="11"/>
      <c r="S61" s="11"/>
      <c r="U61" s="11"/>
      <c r="V61" s="11"/>
      <c r="W61" s="11"/>
      <c r="X61" s="118"/>
    </row>
    <row r="62" spans="1:24" x14ac:dyDescent="0.35">
      <c r="A62" t="s">
        <v>163</v>
      </c>
      <c r="C62">
        <f>+D62/32</f>
        <v>5838</v>
      </c>
      <c r="D62" s="83">
        <f t="shared" si="75"/>
        <v>186816</v>
      </c>
      <c r="L62" s="11">
        <f>2*32+96*32+100*32+69*32+135*32+135*32</f>
        <v>17184</v>
      </c>
      <c r="M62" s="11">
        <f>+(2+96+100+69+135+135)*32</f>
        <v>17184</v>
      </c>
      <c r="N62" s="11">
        <f>1657*32</f>
        <v>53024</v>
      </c>
      <c r="O62" s="11">
        <f>2539*32</f>
        <v>81248</v>
      </c>
      <c r="P62" s="11">
        <v>136160</v>
      </c>
      <c r="Q62" s="11"/>
      <c r="R62" s="11">
        <f>3328*32</f>
        <v>106496</v>
      </c>
      <c r="S62" s="11">
        <f>5838*32</f>
        <v>186816</v>
      </c>
      <c r="U62" s="11">
        <f>5905*32</f>
        <v>188960</v>
      </c>
      <c r="V62" s="11">
        <f>7298*32</f>
        <v>233536</v>
      </c>
      <c r="W62" s="11">
        <f>8956*32</f>
        <v>286592</v>
      </c>
      <c r="X62" s="11">
        <v>186752</v>
      </c>
    </row>
    <row r="63" spans="1:24" x14ac:dyDescent="0.35">
      <c r="A63" t="s">
        <v>171</v>
      </c>
      <c r="D63" s="83">
        <f t="shared" si="75"/>
        <v>0</v>
      </c>
      <c r="L63" s="11"/>
      <c r="M63" s="11"/>
      <c r="N63" s="11">
        <f>60*32</f>
        <v>1920</v>
      </c>
      <c r="O63" s="11">
        <f>60*32</f>
        <v>1920</v>
      </c>
      <c r="P63" s="11">
        <v>0</v>
      </c>
      <c r="Q63" s="11"/>
      <c r="R63" s="11"/>
      <c r="S63" s="11"/>
      <c r="U63" s="11"/>
      <c r="V63" s="11"/>
      <c r="W63" s="11"/>
      <c r="X63" s="11"/>
    </row>
    <row r="64" spans="1:24" x14ac:dyDescent="0.35">
      <c r="A64" t="s">
        <v>226</v>
      </c>
      <c r="D64" s="83"/>
      <c r="L64" s="11"/>
      <c r="M64" s="11"/>
      <c r="N64" s="11"/>
      <c r="O64" s="11"/>
      <c r="P64" s="11"/>
      <c r="Q64" s="11"/>
      <c r="R64" s="11"/>
      <c r="S64" s="11"/>
      <c r="U64" s="11"/>
      <c r="V64" s="11"/>
      <c r="W64" s="11"/>
      <c r="X64" s="11">
        <v>22400</v>
      </c>
    </row>
    <row r="65" spans="1:24" x14ac:dyDescent="0.35">
      <c r="A65" t="s">
        <v>227</v>
      </c>
      <c r="D65" s="83"/>
      <c r="L65" s="11"/>
      <c r="M65" s="11"/>
      <c r="N65" s="11"/>
      <c r="O65" s="11"/>
      <c r="P65" s="11"/>
      <c r="Q65" s="11"/>
      <c r="R65" s="11"/>
      <c r="S65" s="11"/>
      <c r="U65" s="11"/>
      <c r="V65" s="11"/>
      <c r="W65" s="11"/>
      <c r="X65" s="11">
        <v>33992</v>
      </c>
    </row>
    <row r="66" spans="1:24" x14ac:dyDescent="0.35">
      <c r="N66" s="11"/>
      <c r="O66" s="11"/>
      <c r="P66" s="11"/>
      <c r="Q66" s="11"/>
      <c r="R66" s="11"/>
      <c r="S66" s="11"/>
      <c r="U66" s="11"/>
      <c r="V66" s="11"/>
      <c r="W66" s="11"/>
      <c r="X66" s="11"/>
    </row>
    <row r="67" spans="1:24" x14ac:dyDescent="0.35">
      <c r="A67" s="3" t="s">
        <v>165</v>
      </c>
      <c r="B67" s="3"/>
      <c r="N67" s="11"/>
      <c r="O67" s="11"/>
      <c r="P67" s="11"/>
      <c r="Q67" s="11"/>
      <c r="R67" s="11"/>
      <c r="S67" s="11"/>
      <c r="U67" s="11"/>
      <c r="V67" s="11"/>
      <c r="W67" s="11"/>
      <c r="X67" s="11"/>
    </row>
    <row r="68" spans="1:24" x14ac:dyDescent="0.35">
      <c r="A68" t="s">
        <v>15</v>
      </c>
      <c r="L68" s="11">
        <f>65*15*96</f>
        <v>93600</v>
      </c>
      <c r="M68" s="11">
        <v>0</v>
      </c>
      <c r="N68" s="11">
        <v>0</v>
      </c>
      <c r="O68" s="11">
        <v>0</v>
      </c>
      <c r="P68" s="11">
        <v>0</v>
      </c>
      <c r="Q68" s="11"/>
      <c r="R68" s="11"/>
      <c r="S68" s="11"/>
      <c r="U68" s="11">
        <v>15037</v>
      </c>
      <c r="V68" s="11"/>
      <c r="W68" s="11"/>
      <c r="X68" s="11"/>
    </row>
    <row r="69" spans="1:24" x14ac:dyDescent="0.35">
      <c r="A69" t="s">
        <v>16</v>
      </c>
      <c r="L69" s="11">
        <v>0</v>
      </c>
      <c r="M69" s="11">
        <v>0</v>
      </c>
      <c r="N69" s="11">
        <v>0</v>
      </c>
      <c r="O69" s="11">
        <v>0</v>
      </c>
      <c r="P69" s="11">
        <v>0</v>
      </c>
      <c r="Q69" s="11"/>
      <c r="R69" s="11"/>
      <c r="S69" s="11"/>
      <c r="U69" s="11">
        <v>0</v>
      </c>
      <c r="V69" s="11"/>
    </row>
    <row r="70" spans="1:24" x14ac:dyDescent="0.35">
      <c r="A70" t="s">
        <v>170</v>
      </c>
      <c r="L70" s="11"/>
      <c r="M70" s="11">
        <v>78136</v>
      </c>
      <c r="N70" s="11">
        <v>0</v>
      </c>
      <c r="O70" s="11">
        <v>0</v>
      </c>
      <c r="P70" s="11">
        <v>0</v>
      </c>
      <c r="Q70" s="11"/>
      <c r="R70" s="11"/>
      <c r="S70" s="11"/>
      <c r="U70" s="11">
        <v>0</v>
      </c>
      <c r="V70" s="11"/>
    </row>
    <row r="71" spans="1:24" x14ac:dyDescent="0.35">
      <c r="A71" t="s">
        <v>174</v>
      </c>
      <c r="L71" s="11"/>
      <c r="M71" s="11"/>
      <c r="N71" s="11"/>
      <c r="O71" s="11"/>
      <c r="P71" s="11">
        <v>83250</v>
      </c>
      <c r="Q71" s="11"/>
      <c r="R71" s="11"/>
      <c r="S71" s="11">
        <v>74979</v>
      </c>
      <c r="U71" s="11">
        <v>0</v>
      </c>
      <c r="V71" s="11"/>
      <c r="X71" s="11">
        <v>60000</v>
      </c>
    </row>
    <row r="72" spans="1:24" x14ac:dyDescent="0.35">
      <c r="A72" t="s">
        <v>162</v>
      </c>
      <c r="L72" s="11">
        <v>0</v>
      </c>
      <c r="M72" s="11">
        <v>4000</v>
      </c>
      <c r="N72" s="11">
        <v>0</v>
      </c>
      <c r="O72" s="11">
        <v>0</v>
      </c>
      <c r="P72" s="11">
        <v>0</v>
      </c>
      <c r="Q72" s="11"/>
      <c r="R72" s="11"/>
      <c r="S72" s="11"/>
      <c r="U72" s="11">
        <v>0</v>
      </c>
      <c r="V72" s="11"/>
    </row>
    <row r="73" spans="1:24" x14ac:dyDescent="0.35">
      <c r="A73" t="s">
        <v>184</v>
      </c>
      <c r="L73" s="11"/>
      <c r="M73" s="11"/>
      <c r="N73" s="11"/>
      <c r="O73" s="11"/>
      <c r="P73" s="11"/>
      <c r="Q73" s="11"/>
      <c r="R73" s="11"/>
      <c r="S73" s="11"/>
      <c r="U73" s="11"/>
      <c r="V73" s="11"/>
    </row>
    <row r="74" spans="1:24" x14ac:dyDescent="0.35">
      <c r="A74" t="s">
        <v>163</v>
      </c>
      <c r="L74" s="11">
        <f>20*15*35+(50*35)</f>
        <v>12250</v>
      </c>
      <c r="M74" s="11">
        <v>20150</v>
      </c>
      <c r="N74" s="11">
        <v>0</v>
      </c>
      <c r="O74" s="11">
        <v>1632</v>
      </c>
      <c r="P74" s="11">
        <v>15000</v>
      </c>
      <c r="Q74" s="11"/>
      <c r="R74" s="11"/>
      <c r="S74" s="11"/>
      <c r="U74" s="11">
        <v>28829</v>
      </c>
      <c r="V74" s="11"/>
    </row>
    <row r="75" spans="1:24" x14ac:dyDescent="0.35">
      <c r="A75" t="s">
        <v>171</v>
      </c>
      <c r="N75" s="11">
        <v>0</v>
      </c>
      <c r="O75" s="11">
        <v>0</v>
      </c>
      <c r="P75" s="11">
        <v>0</v>
      </c>
      <c r="Q75" s="11"/>
      <c r="R75" s="11"/>
      <c r="S75" s="11"/>
      <c r="U75" s="11">
        <v>0</v>
      </c>
      <c r="V75" s="11"/>
    </row>
    <row r="76" spans="1:24" x14ac:dyDescent="0.35">
      <c r="A76" t="s">
        <v>226</v>
      </c>
      <c r="X76">
        <v>15000</v>
      </c>
    </row>
    <row r="77" spans="1:24" x14ac:dyDescent="0.35">
      <c r="A77" t="s">
        <v>227</v>
      </c>
    </row>
  </sheetData>
  <phoneticPr fontId="6" type="noConversion"/>
  <pageMargins left="0.7" right="0.7" top="0.75" bottom="0.75" header="0.3" footer="0.3"/>
  <pageSetup scale="4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5C9B0-9161-4788-9F8C-E50A5B500CDA}">
  <sheetPr>
    <tabColor rgb="FF92D050"/>
  </sheetPr>
  <dimension ref="A1:GM39"/>
  <sheetViews>
    <sheetView tabSelected="1" topLeftCell="A4" zoomScale="85" zoomScaleNormal="85" workbookViewId="0">
      <pane xSplit="9" ySplit="13" topLeftCell="DN17" activePane="bottomRight" state="frozen"/>
      <selection activeCell="A4" sqref="A4"/>
      <selection pane="topRight" activeCell="J4" sqref="J4"/>
      <selection pane="bottomLeft" activeCell="A17" sqref="A17"/>
      <selection pane="bottomRight" activeCell="E12" sqref="E12"/>
    </sheetView>
  </sheetViews>
  <sheetFormatPr defaultRowHeight="14.5" x14ac:dyDescent="0.35"/>
  <cols>
    <col min="1" max="1" width="22.1796875" bestFit="1" customWidth="1"/>
    <col min="2" max="7" width="9.7265625" bestFit="1" customWidth="1"/>
    <col min="8" max="8" width="8.7265625" bestFit="1" customWidth="1"/>
    <col min="9" max="13" width="9.1796875" bestFit="1" customWidth="1"/>
    <col min="14" max="48" width="9.81640625" bestFit="1" customWidth="1"/>
    <col min="49" max="52" width="10.81640625" bestFit="1" customWidth="1"/>
    <col min="53" max="147" width="11.453125" bestFit="1" customWidth="1"/>
    <col min="148" max="193" width="12.453125" bestFit="1" customWidth="1"/>
    <col min="194" max="194" width="11.81640625" bestFit="1" customWidth="1"/>
    <col min="195" max="195" width="9.26953125" bestFit="1" customWidth="1"/>
  </cols>
  <sheetData>
    <row r="1" spans="1:195" hidden="1" x14ac:dyDescent="0.35">
      <c r="B1" t="str">
        <f>+TEXT(B4,"ddd")</f>
        <v>Mon</v>
      </c>
      <c r="C1" t="str">
        <f t="shared" ref="C1:E1" si="0">+TEXT(C4,"ddd")</f>
        <v>Tue</v>
      </c>
      <c r="D1" t="str">
        <f t="shared" si="0"/>
        <v>Wed</v>
      </c>
      <c r="E1" t="str">
        <f t="shared" si="0"/>
        <v>Thu</v>
      </c>
      <c r="F1" t="str">
        <f>+TEXT(F4,"ddd")</f>
        <v>Mon</v>
      </c>
      <c r="G1" t="str">
        <f t="shared" ref="G1:BR1" si="1">+TEXT(G4,"ddd")</f>
        <v>Tue</v>
      </c>
      <c r="H1" t="str">
        <f t="shared" si="1"/>
        <v>Wed</v>
      </c>
      <c r="I1" t="str">
        <f t="shared" si="1"/>
        <v>Thu</v>
      </c>
      <c r="J1" t="str">
        <f t="shared" si="1"/>
        <v>Fri</v>
      </c>
      <c r="K1" t="str">
        <f t="shared" si="1"/>
        <v>Mon</v>
      </c>
      <c r="L1" t="str">
        <f t="shared" si="1"/>
        <v>Tue</v>
      </c>
      <c r="M1" t="str">
        <f t="shared" si="1"/>
        <v>Wed</v>
      </c>
      <c r="N1" t="str">
        <f t="shared" si="1"/>
        <v>Thu</v>
      </c>
      <c r="O1" t="str">
        <f t="shared" si="1"/>
        <v>Fri</v>
      </c>
      <c r="P1" t="str">
        <f t="shared" si="1"/>
        <v>Mon</v>
      </c>
      <c r="Q1" t="str">
        <f t="shared" si="1"/>
        <v>Tue</v>
      </c>
      <c r="R1" t="str">
        <f t="shared" si="1"/>
        <v>Wed</v>
      </c>
      <c r="S1" t="str">
        <f t="shared" si="1"/>
        <v>Thu</v>
      </c>
      <c r="T1" t="str">
        <f t="shared" si="1"/>
        <v>Fri</v>
      </c>
      <c r="U1" t="str">
        <f t="shared" si="1"/>
        <v>Mon</v>
      </c>
      <c r="V1" t="str">
        <f t="shared" si="1"/>
        <v>Tue</v>
      </c>
      <c r="W1" t="str">
        <f t="shared" si="1"/>
        <v>Wed</v>
      </c>
      <c r="X1" t="str">
        <f t="shared" si="1"/>
        <v>Thu</v>
      </c>
      <c r="Y1" t="str">
        <f t="shared" si="1"/>
        <v>Fri</v>
      </c>
      <c r="Z1" t="str">
        <f t="shared" si="1"/>
        <v>Mon</v>
      </c>
      <c r="AA1" t="str">
        <f t="shared" si="1"/>
        <v>Tue</v>
      </c>
      <c r="AB1" t="str">
        <f t="shared" si="1"/>
        <v>Wed</v>
      </c>
      <c r="AC1" t="str">
        <f t="shared" si="1"/>
        <v>Thu</v>
      </c>
      <c r="AD1" t="str">
        <f t="shared" si="1"/>
        <v>Fri</v>
      </c>
      <c r="AE1" t="str">
        <f t="shared" si="1"/>
        <v>Mon</v>
      </c>
      <c r="AF1" t="str">
        <f t="shared" si="1"/>
        <v>Tue</v>
      </c>
      <c r="AG1" t="str">
        <f t="shared" si="1"/>
        <v>Wed</v>
      </c>
      <c r="AH1" t="str">
        <f t="shared" si="1"/>
        <v>Thu</v>
      </c>
      <c r="AI1" t="str">
        <f t="shared" si="1"/>
        <v>Fri</v>
      </c>
      <c r="AJ1" t="str">
        <f t="shared" si="1"/>
        <v>Mon</v>
      </c>
      <c r="AK1" t="str">
        <f t="shared" si="1"/>
        <v>Tue</v>
      </c>
      <c r="AL1" t="str">
        <f t="shared" si="1"/>
        <v>Wed</v>
      </c>
      <c r="AM1" t="str">
        <f t="shared" si="1"/>
        <v>Thu</v>
      </c>
      <c r="AN1" t="str">
        <f t="shared" si="1"/>
        <v>Fri</v>
      </c>
      <c r="AO1" t="str">
        <f t="shared" si="1"/>
        <v>Mon</v>
      </c>
      <c r="AP1" t="str">
        <f t="shared" si="1"/>
        <v>Tue</v>
      </c>
      <c r="AQ1" t="str">
        <f t="shared" si="1"/>
        <v>Wed</v>
      </c>
      <c r="AR1" t="str">
        <f t="shared" si="1"/>
        <v>Thu</v>
      </c>
      <c r="AS1" t="str">
        <f t="shared" si="1"/>
        <v>Fri</v>
      </c>
      <c r="AT1" t="str">
        <f t="shared" si="1"/>
        <v>Tue</v>
      </c>
      <c r="AU1" t="str">
        <f t="shared" si="1"/>
        <v>Wed</v>
      </c>
      <c r="AV1" t="str">
        <f t="shared" si="1"/>
        <v>Thu</v>
      </c>
      <c r="AW1" t="str">
        <f t="shared" si="1"/>
        <v>Fri</v>
      </c>
      <c r="AX1" t="str">
        <f t="shared" si="1"/>
        <v>Mon</v>
      </c>
      <c r="AY1" t="str">
        <f t="shared" si="1"/>
        <v>Tue</v>
      </c>
      <c r="AZ1" t="str">
        <f t="shared" si="1"/>
        <v>Wed</v>
      </c>
      <c r="BA1" t="str">
        <f t="shared" si="1"/>
        <v>Thu</v>
      </c>
      <c r="BB1" t="str">
        <f t="shared" si="1"/>
        <v>Fri</v>
      </c>
      <c r="BC1" t="str">
        <f t="shared" si="1"/>
        <v>Mon</v>
      </c>
      <c r="BD1" t="str">
        <f t="shared" si="1"/>
        <v>Tue</v>
      </c>
      <c r="BE1" t="str">
        <f t="shared" si="1"/>
        <v>Wed</v>
      </c>
      <c r="BF1" t="str">
        <f t="shared" si="1"/>
        <v>Thu</v>
      </c>
      <c r="BG1" t="str">
        <f t="shared" si="1"/>
        <v>Fri</v>
      </c>
      <c r="BH1" t="str">
        <f t="shared" si="1"/>
        <v>Mon</v>
      </c>
      <c r="BI1" t="str">
        <f t="shared" si="1"/>
        <v>Tue</v>
      </c>
      <c r="BJ1" t="str">
        <f t="shared" si="1"/>
        <v>Wed</v>
      </c>
      <c r="BK1" t="str">
        <f t="shared" si="1"/>
        <v>Thu</v>
      </c>
      <c r="BL1" t="str">
        <f t="shared" si="1"/>
        <v>Fri</v>
      </c>
      <c r="BM1" t="str">
        <f t="shared" si="1"/>
        <v>Mon</v>
      </c>
      <c r="BN1" t="str">
        <f t="shared" si="1"/>
        <v>Tue</v>
      </c>
      <c r="BO1" t="str">
        <f t="shared" si="1"/>
        <v>Wed</v>
      </c>
      <c r="BP1" t="str">
        <f t="shared" si="1"/>
        <v>Thu</v>
      </c>
      <c r="BQ1" t="str">
        <f t="shared" si="1"/>
        <v>Fri</v>
      </c>
      <c r="BR1" t="str">
        <f t="shared" si="1"/>
        <v>Mon</v>
      </c>
      <c r="BS1" t="str">
        <f t="shared" ref="BS1:ED1" si="2">+TEXT(BS4,"ddd")</f>
        <v>Tue</v>
      </c>
      <c r="BT1" t="str">
        <f t="shared" si="2"/>
        <v>Wed</v>
      </c>
      <c r="BU1" t="str">
        <f t="shared" si="2"/>
        <v>Fri</v>
      </c>
      <c r="BV1" t="str">
        <f t="shared" si="2"/>
        <v>Mon</v>
      </c>
      <c r="BW1" t="str">
        <f t="shared" si="2"/>
        <v>Tue</v>
      </c>
      <c r="BX1" t="str">
        <f t="shared" si="2"/>
        <v>Wed</v>
      </c>
      <c r="BY1" t="str">
        <f t="shared" si="2"/>
        <v>Thu</v>
      </c>
      <c r="BZ1" t="str">
        <f t="shared" si="2"/>
        <v>Fri</v>
      </c>
      <c r="CA1" t="str">
        <f t="shared" si="2"/>
        <v>Mon</v>
      </c>
      <c r="CB1" t="str">
        <f t="shared" si="2"/>
        <v>Tue</v>
      </c>
      <c r="CC1" t="str">
        <f t="shared" si="2"/>
        <v>Wed</v>
      </c>
      <c r="CD1" t="str">
        <f t="shared" si="2"/>
        <v>Thu</v>
      </c>
      <c r="CE1" t="str">
        <f t="shared" si="2"/>
        <v>Fri</v>
      </c>
      <c r="CF1" t="str">
        <f t="shared" si="2"/>
        <v>Mon</v>
      </c>
      <c r="CG1" t="str">
        <f t="shared" si="2"/>
        <v>Tue</v>
      </c>
      <c r="CH1" t="str">
        <f t="shared" si="2"/>
        <v>Wed</v>
      </c>
      <c r="CI1" t="str">
        <f t="shared" si="2"/>
        <v>Thu</v>
      </c>
      <c r="CJ1" t="str">
        <f t="shared" si="2"/>
        <v>Fri</v>
      </c>
      <c r="CK1" t="str">
        <f t="shared" si="2"/>
        <v>Mon</v>
      </c>
      <c r="CL1" t="str">
        <f t="shared" si="2"/>
        <v>Tue</v>
      </c>
      <c r="CM1" t="str">
        <f t="shared" si="2"/>
        <v>Wed</v>
      </c>
      <c r="CN1" t="str">
        <f t="shared" si="2"/>
        <v>Thu</v>
      </c>
      <c r="CO1" t="str">
        <f t="shared" si="2"/>
        <v>Fri</v>
      </c>
      <c r="CP1" t="str">
        <f t="shared" si="2"/>
        <v>Mon</v>
      </c>
      <c r="CQ1" t="str">
        <f t="shared" si="2"/>
        <v>Tue</v>
      </c>
      <c r="CR1" t="str">
        <f t="shared" si="2"/>
        <v>Wed</v>
      </c>
      <c r="CS1" t="str">
        <f t="shared" si="2"/>
        <v>Thu</v>
      </c>
      <c r="CT1" t="str">
        <f t="shared" si="2"/>
        <v>Fri</v>
      </c>
      <c r="CU1" t="str">
        <f t="shared" si="2"/>
        <v>Mon</v>
      </c>
      <c r="CV1" t="str">
        <f t="shared" si="2"/>
        <v>Tue</v>
      </c>
      <c r="CW1" t="str">
        <f t="shared" si="2"/>
        <v>Wed</v>
      </c>
      <c r="CX1" t="str">
        <f t="shared" si="2"/>
        <v>Thu</v>
      </c>
      <c r="CY1" t="str">
        <f t="shared" si="2"/>
        <v>Fri</v>
      </c>
      <c r="CZ1" t="str">
        <f t="shared" si="2"/>
        <v>Mon</v>
      </c>
      <c r="DA1" t="str">
        <f t="shared" si="2"/>
        <v>Tue</v>
      </c>
      <c r="DB1" t="str">
        <f t="shared" si="2"/>
        <v>Wed</v>
      </c>
      <c r="DC1" t="str">
        <f t="shared" si="2"/>
        <v>Thu</v>
      </c>
      <c r="DD1" t="str">
        <f t="shared" si="2"/>
        <v>Fri</v>
      </c>
      <c r="DE1" t="str">
        <f t="shared" si="2"/>
        <v>Mon</v>
      </c>
      <c r="DF1" t="str">
        <f t="shared" si="2"/>
        <v>Tue</v>
      </c>
      <c r="DG1" t="str">
        <f t="shared" si="2"/>
        <v>Wed</v>
      </c>
      <c r="DH1" t="str">
        <f t="shared" si="2"/>
        <v>Thu</v>
      </c>
      <c r="DI1" t="str">
        <f t="shared" si="2"/>
        <v>Fri</v>
      </c>
      <c r="DJ1" t="str">
        <f t="shared" si="2"/>
        <v>Mon</v>
      </c>
      <c r="DK1" t="str">
        <f t="shared" si="2"/>
        <v>Tue</v>
      </c>
      <c r="DL1" t="str">
        <f t="shared" si="2"/>
        <v>Wed</v>
      </c>
      <c r="DM1" t="str">
        <f t="shared" si="2"/>
        <v>Thu</v>
      </c>
      <c r="DN1" t="str">
        <f t="shared" si="2"/>
        <v>Fri</v>
      </c>
      <c r="DO1" t="str">
        <f t="shared" si="2"/>
        <v>Tue</v>
      </c>
      <c r="DP1" t="str">
        <f t="shared" si="2"/>
        <v>Wed</v>
      </c>
      <c r="DQ1" t="str">
        <f t="shared" si="2"/>
        <v>Thu</v>
      </c>
      <c r="DR1" t="str">
        <f t="shared" si="2"/>
        <v>Fri</v>
      </c>
      <c r="DS1" t="str">
        <f t="shared" si="2"/>
        <v>Mon</v>
      </c>
      <c r="DT1" t="str">
        <f t="shared" si="2"/>
        <v>Tue</v>
      </c>
      <c r="DU1" t="str">
        <f t="shared" si="2"/>
        <v>Wed</v>
      </c>
      <c r="DV1" t="str">
        <f t="shared" si="2"/>
        <v>Thu</v>
      </c>
      <c r="DW1" t="str">
        <f t="shared" si="2"/>
        <v>Fri</v>
      </c>
      <c r="DX1" t="str">
        <f t="shared" si="2"/>
        <v>Mon</v>
      </c>
      <c r="DY1" t="str">
        <f t="shared" si="2"/>
        <v>Tue</v>
      </c>
      <c r="DZ1" t="str">
        <f t="shared" si="2"/>
        <v>Wed</v>
      </c>
      <c r="EA1" t="str">
        <f t="shared" si="2"/>
        <v>Thu</v>
      </c>
      <c r="EB1" t="str">
        <f t="shared" si="2"/>
        <v>Fri</v>
      </c>
      <c r="EC1" t="str">
        <f t="shared" si="2"/>
        <v>Mon</v>
      </c>
      <c r="ED1" t="str">
        <f t="shared" si="2"/>
        <v>Tue</v>
      </c>
      <c r="EE1" t="str">
        <f t="shared" ref="EE1:GK1" si="3">+TEXT(EE4,"ddd")</f>
        <v>Wed</v>
      </c>
      <c r="EF1" t="str">
        <f t="shared" si="3"/>
        <v>Thu</v>
      </c>
      <c r="EG1" t="str">
        <f t="shared" si="3"/>
        <v>Fri</v>
      </c>
      <c r="EH1" t="str">
        <f t="shared" si="3"/>
        <v>Mon</v>
      </c>
      <c r="EI1" t="str">
        <f t="shared" si="3"/>
        <v>Tue</v>
      </c>
      <c r="EJ1" t="str">
        <f t="shared" si="3"/>
        <v>Wed</v>
      </c>
      <c r="EK1" t="str">
        <f t="shared" si="3"/>
        <v>Thu</v>
      </c>
      <c r="EL1" t="str">
        <f t="shared" si="3"/>
        <v>Fri</v>
      </c>
      <c r="EM1" t="str">
        <f t="shared" si="3"/>
        <v>Mon</v>
      </c>
      <c r="EN1" t="str">
        <f t="shared" si="3"/>
        <v>Tue</v>
      </c>
      <c r="EO1" t="str">
        <f t="shared" si="3"/>
        <v>Wed</v>
      </c>
      <c r="EP1" t="str">
        <f t="shared" si="3"/>
        <v>Thu</v>
      </c>
      <c r="EQ1" t="str">
        <f t="shared" si="3"/>
        <v>Fri</v>
      </c>
      <c r="ER1" t="str">
        <f t="shared" si="3"/>
        <v>Mon</v>
      </c>
      <c r="ES1" t="str">
        <f t="shared" si="3"/>
        <v>Tue</v>
      </c>
      <c r="ET1" t="str">
        <f t="shared" si="3"/>
        <v>Wed</v>
      </c>
      <c r="EU1" t="str">
        <f t="shared" si="3"/>
        <v>Thu</v>
      </c>
      <c r="EV1" t="str">
        <f t="shared" si="3"/>
        <v>Fri</v>
      </c>
      <c r="EW1" t="str">
        <f t="shared" si="3"/>
        <v>Mon</v>
      </c>
      <c r="EX1" t="str">
        <f t="shared" si="3"/>
        <v>Tue</v>
      </c>
      <c r="EY1" t="str">
        <f t="shared" si="3"/>
        <v>Wed</v>
      </c>
      <c r="EZ1" t="str">
        <f t="shared" si="3"/>
        <v>Thu</v>
      </c>
      <c r="FA1" t="str">
        <f t="shared" si="3"/>
        <v>Fri</v>
      </c>
      <c r="FB1" t="str">
        <f t="shared" si="3"/>
        <v>Mon</v>
      </c>
      <c r="FC1" t="str">
        <f t="shared" si="3"/>
        <v>Tue</v>
      </c>
      <c r="FD1" t="str">
        <f t="shared" si="3"/>
        <v>Wed</v>
      </c>
      <c r="FE1" t="str">
        <f t="shared" si="3"/>
        <v>Thu</v>
      </c>
      <c r="FF1" t="str">
        <f t="shared" si="3"/>
        <v>Fri</v>
      </c>
      <c r="FG1" t="str">
        <f t="shared" si="3"/>
        <v>Mon</v>
      </c>
      <c r="FH1" t="str">
        <f t="shared" si="3"/>
        <v>Tue</v>
      </c>
      <c r="FI1" t="str">
        <f t="shared" si="3"/>
        <v>Wed</v>
      </c>
      <c r="FJ1" t="str">
        <f t="shared" si="3"/>
        <v>Thu</v>
      </c>
      <c r="FK1" t="str">
        <f t="shared" si="3"/>
        <v>Fri</v>
      </c>
      <c r="FL1" t="str">
        <f t="shared" si="3"/>
        <v>Mon</v>
      </c>
      <c r="FM1" t="str">
        <f t="shared" si="3"/>
        <v>Tue</v>
      </c>
      <c r="FN1" t="str">
        <f t="shared" si="3"/>
        <v>Wed</v>
      </c>
      <c r="FO1" t="str">
        <f t="shared" si="3"/>
        <v>Thu</v>
      </c>
      <c r="FP1" t="str">
        <f t="shared" si="3"/>
        <v>Fri</v>
      </c>
      <c r="FQ1" t="str">
        <f t="shared" si="3"/>
        <v>Mon</v>
      </c>
      <c r="FR1" t="str">
        <f t="shared" si="3"/>
        <v>Tue</v>
      </c>
      <c r="FS1" t="str">
        <f t="shared" si="3"/>
        <v>Wed</v>
      </c>
      <c r="FT1" t="str">
        <f t="shared" si="3"/>
        <v>Mon</v>
      </c>
      <c r="FU1" t="str">
        <f t="shared" si="3"/>
        <v>Tue</v>
      </c>
      <c r="FV1" t="str">
        <f t="shared" si="3"/>
        <v>Wed</v>
      </c>
      <c r="FW1" t="str">
        <f t="shared" si="3"/>
        <v>Thu</v>
      </c>
      <c r="FX1" t="str">
        <f t="shared" si="3"/>
        <v>Fri</v>
      </c>
      <c r="FY1" t="str">
        <f t="shared" si="3"/>
        <v>Mon</v>
      </c>
      <c r="FZ1" t="str">
        <f t="shared" si="3"/>
        <v>Tue</v>
      </c>
      <c r="GA1" t="str">
        <f t="shared" si="3"/>
        <v>Wed</v>
      </c>
      <c r="GB1" t="str">
        <f t="shared" si="3"/>
        <v>Thu</v>
      </c>
      <c r="GC1" t="str">
        <f t="shared" si="3"/>
        <v>Fri</v>
      </c>
      <c r="GD1" t="str">
        <f t="shared" si="3"/>
        <v>Mon</v>
      </c>
      <c r="GE1" t="str">
        <f t="shared" si="3"/>
        <v>Tue</v>
      </c>
      <c r="GF1" t="str">
        <f t="shared" si="3"/>
        <v>Wed</v>
      </c>
      <c r="GG1" t="str">
        <f t="shared" si="3"/>
        <v>Thu</v>
      </c>
      <c r="GH1" t="str">
        <f t="shared" si="3"/>
        <v>Fri</v>
      </c>
      <c r="GI1" t="str">
        <f t="shared" si="3"/>
        <v>Mon</v>
      </c>
      <c r="GJ1" t="str">
        <f t="shared" si="3"/>
        <v>Tue</v>
      </c>
      <c r="GK1" t="str">
        <f t="shared" si="3"/>
        <v>Wed</v>
      </c>
    </row>
    <row r="2" spans="1:195" hidden="1" x14ac:dyDescent="0.35">
      <c r="B2">
        <v>3</v>
      </c>
      <c r="C2">
        <v>3</v>
      </c>
      <c r="D2">
        <v>3</v>
      </c>
      <c r="E2">
        <v>3</v>
      </c>
      <c r="F2">
        <v>4</v>
      </c>
      <c r="G2">
        <v>4</v>
      </c>
      <c r="H2">
        <v>4</v>
      </c>
      <c r="I2">
        <v>4</v>
      </c>
      <c r="J2">
        <v>4</v>
      </c>
      <c r="K2">
        <v>4</v>
      </c>
      <c r="L2">
        <v>4</v>
      </c>
      <c r="M2">
        <v>4</v>
      </c>
      <c r="N2">
        <v>4</v>
      </c>
      <c r="O2">
        <v>4</v>
      </c>
      <c r="P2">
        <v>4</v>
      </c>
      <c r="Q2">
        <v>4</v>
      </c>
      <c r="R2">
        <v>4</v>
      </c>
      <c r="S2">
        <v>4</v>
      </c>
      <c r="T2">
        <v>4</v>
      </c>
      <c r="U2">
        <v>4</v>
      </c>
      <c r="V2">
        <v>4</v>
      </c>
      <c r="W2">
        <v>4</v>
      </c>
      <c r="X2">
        <v>4</v>
      </c>
      <c r="Y2">
        <v>4</v>
      </c>
      <c r="Z2">
        <v>4</v>
      </c>
      <c r="AA2">
        <v>4</v>
      </c>
      <c r="AB2">
        <v>4</v>
      </c>
      <c r="AC2">
        <v>4</v>
      </c>
      <c r="AD2">
        <v>5</v>
      </c>
      <c r="AE2">
        <v>5</v>
      </c>
      <c r="AF2">
        <v>5</v>
      </c>
      <c r="AG2">
        <v>5</v>
      </c>
      <c r="AH2">
        <v>5</v>
      </c>
      <c r="AI2">
        <v>5</v>
      </c>
      <c r="AJ2">
        <v>5</v>
      </c>
      <c r="AK2">
        <v>5</v>
      </c>
      <c r="AL2">
        <v>5</v>
      </c>
      <c r="AM2">
        <v>5</v>
      </c>
      <c r="AN2">
        <v>5</v>
      </c>
      <c r="AO2">
        <v>5</v>
      </c>
      <c r="AP2">
        <v>5</v>
      </c>
      <c r="AQ2">
        <v>5</v>
      </c>
      <c r="AR2">
        <v>5</v>
      </c>
      <c r="AS2">
        <v>5</v>
      </c>
      <c r="AT2">
        <v>5</v>
      </c>
      <c r="AU2">
        <v>5</v>
      </c>
      <c r="AV2">
        <v>5</v>
      </c>
      <c r="AW2">
        <v>5</v>
      </c>
      <c r="AX2">
        <v>6</v>
      </c>
      <c r="AY2">
        <v>6</v>
      </c>
      <c r="AZ2">
        <v>6</v>
      </c>
      <c r="BA2">
        <v>6</v>
      </c>
      <c r="BB2">
        <v>6</v>
      </c>
      <c r="BC2">
        <v>6</v>
      </c>
      <c r="BD2">
        <v>6</v>
      </c>
      <c r="BE2">
        <v>6</v>
      </c>
      <c r="BF2">
        <v>6</v>
      </c>
      <c r="BG2">
        <v>6</v>
      </c>
      <c r="BH2">
        <v>6</v>
      </c>
      <c r="BI2">
        <v>6</v>
      </c>
      <c r="BJ2">
        <v>6</v>
      </c>
      <c r="BK2">
        <v>6</v>
      </c>
      <c r="BL2">
        <v>6</v>
      </c>
      <c r="BM2">
        <v>6</v>
      </c>
      <c r="BN2">
        <v>6</v>
      </c>
      <c r="BO2">
        <v>6</v>
      </c>
      <c r="BP2">
        <v>6</v>
      </c>
      <c r="BQ2">
        <v>6</v>
      </c>
      <c r="BR2">
        <v>7</v>
      </c>
      <c r="BS2">
        <v>7</v>
      </c>
      <c r="BT2">
        <v>7</v>
      </c>
      <c r="BU2">
        <v>7</v>
      </c>
      <c r="BV2">
        <v>7</v>
      </c>
      <c r="BW2">
        <v>7</v>
      </c>
      <c r="BX2">
        <v>7</v>
      </c>
      <c r="BY2">
        <v>7</v>
      </c>
      <c r="BZ2">
        <v>7</v>
      </c>
      <c r="CA2">
        <v>7</v>
      </c>
      <c r="CB2">
        <v>7</v>
      </c>
      <c r="CC2">
        <v>7</v>
      </c>
      <c r="CD2">
        <v>7</v>
      </c>
      <c r="CE2">
        <v>7</v>
      </c>
      <c r="CF2">
        <v>7</v>
      </c>
      <c r="CG2">
        <v>7</v>
      </c>
      <c r="CH2">
        <v>7</v>
      </c>
      <c r="CI2">
        <v>7</v>
      </c>
      <c r="CJ2">
        <v>7</v>
      </c>
      <c r="CK2">
        <v>7</v>
      </c>
      <c r="CL2">
        <v>7</v>
      </c>
      <c r="CM2">
        <v>7</v>
      </c>
      <c r="CN2">
        <v>7</v>
      </c>
      <c r="CO2">
        <v>7</v>
      </c>
      <c r="CP2">
        <v>8</v>
      </c>
      <c r="CQ2">
        <v>8</v>
      </c>
      <c r="CR2">
        <v>8</v>
      </c>
      <c r="CS2">
        <v>8</v>
      </c>
      <c r="CT2">
        <v>8</v>
      </c>
      <c r="CU2">
        <v>8</v>
      </c>
      <c r="CV2">
        <v>8</v>
      </c>
      <c r="CW2">
        <v>8</v>
      </c>
      <c r="CX2">
        <v>8</v>
      </c>
      <c r="CY2">
        <v>8</v>
      </c>
      <c r="CZ2">
        <v>8</v>
      </c>
      <c r="DA2">
        <v>8</v>
      </c>
      <c r="DB2">
        <v>8</v>
      </c>
      <c r="DC2">
        <v>8</v>
      </c>
      <c r="DD2">
        <v>8</v>
      </c>
      <c r="DE2">
        <v>8</v>
      </c>
      <c r="DF2">
        <v>8</v>
      </c>
      <c r="DG2">
        <v>8</v>
      </c>
      <c r="DH2">
        <v>8</v>
      </c>
      <c r="DI2">
        <v>8</v>
      </c>
      <c r="DJ2">
        <v>9</v>
      </c>
      <c r="DK2">
        <v>9</v>
      </c>
      <c r="DL2">
        <v>9</v>
      </c>
      <c r="DM2">
        <v>9</v>
      </c>
      <c r="DN2">
        <v>9</v>
      </c>
      <c r="DO2">
        <v>9</v>
      </c>
      <c r="DP2">
        <v>9</v>
      </c>
      <c r="DQ2">
        <v>9</v>
      </c>
      <c r="DR2">
        <v>9</v>
      </c>
      <c r="DS2">
        <v>9</v>
      </c>
      <c r="DT2">
        <v>9</v>
      </c>
      <c r="DU2">
        <v>9</v>
      </c>
      <c r="DV2">
        <v>9</v>
      </c>
      <c r="DW2">
        <v>9</v>
      </c>
      <c r="DX2">
        <v>9</v>
      </c>
      <c r="DY2">
        <v>9</v>
      </c>
      <c r="DZ2">
        <v>9</v>
      </c>
      <c r="EA2">
        <v>9</v>
      </c>
      <c r="EB2">
        <v>9</v>
      </c>
      <c r="EC2">
        <v>10</v>
      </c>
      <c r="ED2">
        <v>10</v>
      </c>
      <c r="EE2">
        <v>10</v>
      </c>
      <c r="EF2">
        <v>10</v>
      </c>
      <c r="EG2">
        <v>10</v>
      </c>
      <c r="EH2">
        <v>10</v>
      </c>
      <c r="EI2">
        <v>10</v>
      </c>
      <c r="EJ2">
        <v>10</v>
      </c>
      <c r="EK2">
        <v>10</v>
      </c>
      <c r="EL2">
        <v>10</v>
      </c>
      <c r="EM2">
        <v>10</v>
      </c>
      <c r="EN2">
        <v>10</v>
      </c>
      <c r="EO2">
        <v>10</v>
      </c>
      <c r="EP2">
        <v>10</v>
      </c>
      <c r="EQ2">
        <v>10</v>
      </c>
      <c r="ER2">
        <v>10</v>
      </c>
      <c r="ES2">
        <v>10</v>
      </c>
      <c r="ET2">
        <v>10</v>
      </c>
      <c r="EU2">
        <v>10</v>
      </c>
      <c r="EV2">
        <v>10</v>
      </c>
      <c r="EW2">
        <v>10</v>
      </c>
      <c r="EX2">
        <v>10</v>
      </c>
      <c r="EY2">
        <v>10</v>
      </c>
      <c r="EZ2">
        <v>10</v>
      </c>
      <c r="FA2">
        <v>10</v>
      </c>
      <c r="FB2">
        <v>11</v>
      </c>
      <c r="FC2">
        <v>11</v>
      </c>
      <c r="FD2">
        <v>11</v>
      </c>
      <c r="FE2">
        <v>11</v>
      </c>
      <c r="FF2">
        <v>11</v>
      </c>
      <c r="FG2">
        <v>11</v>
      </c>
      <c r="FH2">
        <v>11</v>
      </c>
      <c r="FI2">
        <v>11</v>
      </c>
      <c r="FJ2">
        <v>11</v>
      </c>
      <c r="FK2">
        <v>11</v>
      </c>
      <c r="FL2">
        <v>11</v>
      </c>
      <c r="FM2">
        <v>11</v>
      </c>
      <c r="FN2">
        <v>11</v>
      </c>
      <c r="FO2">
        <v>11</v>
      </c>
      <c r="FP2">
        <v>11</v>
      </c>
      <c r="FQ2">
        <v>11</v>
      </c>
      <c r="FR2">
        <v>11</v>
      </c>
      <c r="FS2">
        <v>11</v>
      </c>
      <c r="FT2">
        <v>12</v>
      </c>
      <c r="FU2">
        <v>12</v>
      </c>
      <c r="FV2">
        <v>12</v>
      </c>
      <c r="FW2">
        <v>12</v>
      </c>
      <c r="FX2">
        <v>12</v>
      </c>
      <c r="FY2">
        <v>12</v>
      </c>
      <c r="FZ2">
        <v>12</v>
      </c>
      <c r="GA2">
        <v>12</v>
      </c>
      <c r="GB2">
        <v>12</v>
      </c>
      <c r="GC2">
        <v>12</v>
      </c>
      <c r="GD2">
        <v>12</v>
      </c>
      <c r="GE2">
        <v>12</v>
      </c>
      <c r="GF2">
        <v>12</v>
      </c>
      <c r="GG2">
        <v>12</v>
      </c>
      <c r="GH2">
        <v>12</v>
      </c>
      <c r="GI2">
        <v>12</v>
      </c>
      <c r="GJ2">
        <v>12</v>
      </c>
      <c r="GK2">
        <v>12</v>
      </c>
    </row>
    <row r="3" spans="1:195" hidden="1" x14ac:dyDescent="0.35">
      <c r="B3">
        <f>+WEEKNUM(B4)</f>
        <v>13</v>
      </c>
      <c r="C3">
        <f t="shared" ref="C3:E3" si="4">+WEEKNUM(C4)</f>
        <v>13</v>
      </c>
      <c r="D3">
        <f t="shared" si="4"/>
        <v>13</v>
      </c>
      <c r="E3">
        <f t="shared" si="4"/>
        <v>13</v>
      </c>
      <c r="F3">
        <f>+WEEKNUM(F4)</f>
        <v>14</v>
      </c>
      <c r="G3">
        <f t="shared" ref="G3:BR3" si="5">+WEEKNUM(G4)</f>
        <v>14</v>
      </c>
      <c r="H3">
        <f t="shared" si="5"/>
        <v>14</v>
      </c>
      <c r="I3">
        <f t="shared" si="5"/>
        <v>14</v>
      </c>
      <c r="J3">
        <f t="shared" si="5"/>
        <v>14</v>
      </c>
      <c r="K3">
        <f t="shared" si="5"/>
        <v>15</v>
      </c>
      <c r="L3">
        <f t="shared" si="5"/>
        <v>15</v>
      </c>
      <c r="M3">
        <f t="shared" si="5"/>
        <v>15</v>
      </c>
      <c r="N3">
        <f t="shared" si="5"/>
        <v>15</v>
      </c>
      <c r="O3">
        <f t="shared" si="5"/>
        <v>15</v>
      </c>
      <c r="P3">
        <f t="shared" si="5"/>
        <v>16</v>
      </c>
      <c r="Q3">
        <f t="shared" si="5"/>
        <v>16</v>
      </c>
      <c r="R3">
        <f t="shared" si="5"/>
        <v>16</v>
      </c>
      <c r="S3">
        <f t="shared" si="5"/>
        <v>16</v>
      </c>
      <c r="T3">
        <f t="shared" si="5"/>
        <v>16</v>
      </c>
      <c r="U3">
        <f t="shared" si="5"/>
        <v>17</v>
      </c>
      <c r="V3">
        <f t="shared" si="5"/>
        <v>17</v>
      </c>
      <c r="W3">
        <f t="shared" si="5"/>
        <v>17</v>
      </c>
      <c r="X3">
        <f t="shared" si="5"/>
        <v>17</v>
      </c>
      <c r="Y3">
        <f t="shared" si="5"/>
        <v>17</v>
      </c>
      <c r="Z3">
        <f t="shared" si="5"/>
        <v>18</v>
      </c>
      <c r="AA3">
        <f t="shared" si="5"/>
        <v>18</v>
      </c>
      <c r="AB3">
        <f t="shared" si="5"/>
        <v>18</v>
      </c>
      <c r="AC3">
        <f t="shared" si="5"/>
        <v>18</v>
      </c>
      <c r="AD3">
        <f t="shared" si="5"/>
        <v>18</v>
      </c>
      <c r="AE3">
        <f t="shared" si="5"/>
        <v>19</v>
      </c>
      <c r="AF3">
        <f t="shared" si="5"/>
        <v>19</v>
      </c>
      <c r="AG3">
        <f t="shared" si="5"/>
        <v>19</v>
      </c>
      <c r="AH3">
        <f t="shared" si="5"/>
        <v>19</v>
      </c>
      <c r="AI3">
        <f t="shared" si="5"/>
        <v>19</v>
      </c>
      <c r="AJ3">
        <f t="shared" si="5"/>
        <v>20</v>
      </c>
      <c r="AK3">
        <f t="shared" si="5"/>
        <v>20</v>
      </c>
      <c r="AL3">
        <f t="shared" si="5"/>
        <v>20</v>
      </c>
      <c r="AM3">
        <f t="shared" si="5"/>
        <v>20</v>
      </c>
      <c r="AN3">
        <f t="shared" si="5"/>
        <v>20</v>
      </c>
      <c r="AO3">
        <f t="shared" si="5"/>
        <v>21</v>
      </c>
      <c r="AP3">
        <f t="shared" si="5"/>
        <v>21</v>
      </c>
      <c r="AQ3">
        <f t="shared" si="5"/>
        <v>21</v>
      </c>
      <c r="AR3">
        <f t="shared" si="5"/>
        <v>21</v>
      </c>
      <c r="AS3">
        <f t="shared" si="5"/>
        <v>21</v>
      </c>
      <c r="AT3">
        <f t="shared" si="5"/>
        <v>22</v>
      </c>
      <c r="AU3">
        <f t="shared" si="5"/>
        <v>22</v>
      </c>
      <c r="AV3">
        <f t="shared" si="5"/>
        <v>22</v>
      </c>
      <c r="AW3">
        <f t="shared" si="5"/>
        <v>22</v>
      </c>
      <c r="AX3">
        <f t="shared" si="5"/>
        <v>23</v>
      </c>
      <c r="AY3">
        <f t="shared" si="5"/>
        <v>23</v>
      </c>
      <c r="AZ3">
        <f t="shared" si="5"/>
        <v>23</v>
      </c>
      <c r="BA3">
        <f t="shared" si="5"/>
        <v>23</v>
      </c>
      <c r="BB3">
        <f t="shared" si="5"/>
        <v>23</v>
      </c>
      <c r="BC3">
        <f t="shared" si="5"/>
        <v>24</v>
      </c>
      <c r="BD3">
        <f t="shared" si="5"/>
        <v>24</v>
      </c>
      <c r="BE3">
        <f t="shared" si="5"/>
        <v>24</v>
      </c>
      <c r="BF3">
        <f t="shared" si="5"/>
        <v>24</v>
      </c>
      <c r="BG3">
        <f t="shared" si="5"/>
        <v>24</v>
      </c>
      <c r="BH3">
        <f t="shared" si="5"/>
        <v>25</v>
      </c>
      <c r="BI3">
        <f t="shared" si="5"/>
        <v>25</v>
      </c>
      <c r="BJ3">
        <f t="shared" si="5"/>
        <v>25</v>
      </c>
      <c r="BK3">
        <f t="shared" si="5"/>
        <v>25</v>
      </c>
      <c r="BL3">
        <f t="shared" si="5"/>
        <v>25</v>
      </c>
      <c r="BM3">
        <f t="shared" si="5"/>
        <v>26</v>
      </c>
      <c r="BN3">
        <f t="shared" si="5"/>
        <v>26</v>
      </c>
      <c r="BO3">
        <f t="shared" si="5"/>
        <v>26</v>
      </c>
      <c r="BP3">
        <f t="shared" si="5"/>
        <v>26</v>
      </c>
      <c r="BQ3">
        <f t="shared" si="5"/>
        <v>26</v>
      </c>
      <c r="BR3">
        <f t="shared" si="5"/>
        <v>27</v>
      </c>
      <c r="BS3">
        <f t="shared" ref="BS3:ED3" si="6">+WEEKNUM(BS4)</f>
        <v>27</v>
      </c>
      <c r="BT3">
        <f t="shared" si="6"/>
        <v>27</v>
      </c>
      <c r="BU3">
        <f t="shared" si="6"/>
        <v>27</v>
      </c>
      <c r="BV3">
        <f t="shared" si="6"/>
        <v>28</v>
      </c>
      <c r="BW3">
        <f t="shared" si="6"/>
        <v>28</v>
      </c>
      <c r="BX3">
        <f t="shared" si="6"/>
        <v>28</v>
      </c>
      <c r="BY3">
        <f t="shared" si="6"/>
        <v>28</v>
      </c>
      <c r="BZ3">
        <f t="shared" si="6"/>
        <v>28</v>
      </c>
      <c r="CA3">
        <f t="shared" si="6"/>
        <v>29</v>
      </c>
      <c r="CB3">
        <f t="shared" si="6"/>
        <v>29</v>
      </c>
      <c r="CC3">
        <f t="shared" si="6"/>
        <v>29</v>
      </c>
      <c r="CD3">
        <f t="shared" si="6"/>
        <v>29</v>
      </c>
      <c r="CE3">
        <f t="shared" si="6"/>
        <v>29</v>
      </c>
      <c r="CF3">
        <f t="shared" si="6"/>
        <v>30</v>
      </c>
      <c r="CG3">
        <f t="shared" si="6"/>
        <v>30</v>
      </c>
      <c r="CH3">
        <f t="shared" si="6"/>
        <v>30</v>
      </c>
      <c r="CI3">
        <f t="shared" si="6"/>
        <v>30</v>
      </c>
      <c r="CJ3">
        <f t="shared" si="6"/>
        <v>30</v>
      </c>
      <c r="CK3">
        <f t="shared" si="6"/>
        <v>31</v>
      </c>
      <c r="CL3">
        <f t="shared" si="6"/>
        <v>31</v>
      </c>
      <c r="CM3">
        <f t="shared" si="6"/>
        <v>31</v>
      </c>
      <c r="CN3">
        <f t="shared" si="6"/>
        <v>31</v>
      </c>
      <c r="CO3">
        <f t="shared" si="6"/>
        <v>31</v>
      </c>
      <c r="CP3">
        <f t="shared" si="6"/>
        <v>32</v>
      </c>
      <c r="CQ3">
        <f t="shared" si="6"/>
        <v>32</v>
      </c>
      <c r="CR3">
        <f t="shared" si="6"/>
        <v>32</v>
      </c>
      <c r="CS3">
        <f t="shared" si="6"/>
        <v>32</v>
      </c>
      <c r="CT3">
        <f t="shared" si="6"/>
        <v>32</v>
      </c>
      <c r="CU3">
        <f t="shared" si="6"/>
        <v>33</v>
      </c>
      <c r="CV3">
        <f t="shared" si="6"/>
        <v>33</v>
      </c>
      <c r="CW3">
        <f t="shared" si="6"/>
        <v>33</v>
      </c>
      <c r="CX3">
        <f t="shared" si="6"/>
        <v>33</v>
      </c>
      <c r="CY3">
        <f t="shared" si="6"/>
        <v>33</v>
      </c>
      <c r="CZ3">
        <f t="shared" si="6"/>
        <v>34</v>
      </c>
      <c r="DA3">
        <f t="shared" si="6"/>
        <v>34</v>
      </c>
      <c r="DB3">
        <f t="shared" si="6"/>
        <v>34</v>
      </c>
      <c r="DC3">
        <f t="shared" si="6"/>
        <v>34</v>
      </c>
      <c r="DD3">
        <f t="shared" si="6"/>
        <v>34</v>
      </c>
      <c r="DE3">
        <f t="shared" si="6"/>
        <v>35</v>
      </c>
      <c r="DF3">
        <f t="shared" si="6"/>
        <v>35</v>
      </c>
      <c r="DG3">
        <f t="shared" si="6"/>
        <v>35</v>
      </c>
      <c r="DH3">
        <f t="shared" si="6"/>
        <v>35</v>
      </c>
      <c r="DI3">
        <f t="shared" si="6"/>
        <v>35</v>
      </c>
      <c r="DJ3">
        <f t="shared" si="6"/>
        <v>36</v>
      </c>
      <c r="DK3">
        <f t="shared" si="6"/>
        <v>36</v>
      </c>
      <c r="DL3">
        <f t="shared" si="6"/>
        <v>36</v>
      </c>
      <c r="DM3">
        <f t="shared" si="6"/>
        <v>36</v>
      </c>
      <c r="DN3">
        <f t="shared" si="6"/>
        <v>36</v>
      </c>
      <c r="DO3">
        <f t="shared" si="6"/>
        <v>37</v>
      </c>
      <c r="DP3">
        <f t="shared" si="6"/>
        <v>37</v>
      </c>
      <c r="DQ3">
        <f t="shared" si="6"/>
        <v>37</v>
      </c>
      <c r="DR3">
        <f t="shared" si="6"/>
        <v>37</v>
      </c>
      <c r="DS3">
        <f t="shared" si="6"/>
        <v>38</v>
      </c>
      <c r="DT3">
        <f t="shared" si="6"/>
        <v>38</v>
      </c>
      <c r="DU3">
        <f t="shared" si="6"/>
        <v>38</v>
      </c>
      <c r="DV3">
        <f t="shared" si="6"/>
        <v>38</v>
      </c>
      <c r="DW3">
        <f t="shared" si="6"/>
        <v>38</v>
      </c>
      <c r="DX3">
        <f t="shared" si="6"/>
        <v>39</v>
      </c>
      <c r="DY3">
        <f t="shared" si="6"/>
        <v>39</v>
      </c>
      <c r="DZ3">
        <f t="shared" si="6"/>
        <v>39</v>
      </c>
      <c r="EA3">
        <f t="shared" si="6"/>
        <v>39</v>
      </c>
      <c r="EB3">
        <f t="shared" si="6"/>
        <v>39</v>
      </c>
      <c r="EC3">
        <f t="shared" si="6"/>
        <v>40</v>
      </c>
      <c r="ED3">
        <f t="shared" si="6"/>
        <v>40</v>
      </c>
      <c r="EE3">
        <f t="shared" ref="EE3:GK3" si="7">+WEEKNUM(EE4)</f>
        <v>40</v>
      </c>
      <c r="EF3">
        <f t="shared" si="7"/>
        <v>40</v>
      </c>
      <c r="EG3">
        <f t="shared" si="7"/>
        <v>40</v>
      </c>
      <c r="EH3">
        <f t="shared" si="7"/>
        <v>41</v>
      </c>
      <c r="EI3">
        <f t="shared" si="7"/>
        <v>41</v>
      </c>
      <c r="EJ3">
        <f t="shared" si="7"/>
        <v>41</v>
      </c>
      <c r="EK3">
        <f t="shared" si="7"/>
        <v>41</v>
      </c>
      <c r="EL3">
        <f t="shared" si="7"/>
        <v>41</v>
      </c>
      <c r="EM3">
        <f t="shared" si="7"/>
        <v>42</v>
      </c>
      <c r="EN3">
        <f t="shared" si="7"/>
        <v>42</v>
      </c>
      <c r="EO3">
        <f t="shared" si="7"/>
        <v>42</v>
      </c>
      <c r="EP3">
        <f t="shared" si="7"/>
        <v>42</v>
      </c>
      <c r="EQ3">
        <f t="shared" si="7"/>
        <v>42</v>
      </c>
      <c r="ER3">
        <f t="shared" si="7"/>
        <v>43</v>
      </c>
      <c r="ES3">
        <f t="shared" si="7"/>
        <v>43</v>
      </c>
      <c r="ET3">
        <f t="shared" si="7"/>
        <v>43</v>
      </c>
      <c r="EU3">
        <f t="shared" si="7"/>
        <v>43</v>
      </c>
      <c r="EV3">
        <f t="shared" si="7"/>
        <v>43</v>
      </c>
      <c r="EW3">
        <f t="shared" si="7"/>
        <v>44</v>
      </c>
      <c r="EX3">
        <f t="shared" si="7"/>
        <v>44</v>
      </c>
      <c r="EY3">
        <f t="shared" si="7"/>
        <v>44</v>
      </c>
      <c r="EZ3">
        <f t="shared" si="7"/>
        <v>44</v>
      </c>
      <c r="FA3">
        <f t="shared" si="7"/>
        <v>44</v>
      </c>
      <c r="FB3">
        <f t="shared" si="7"/>
        <v>45</v>
      </c>
      <c r="FC3">
        <f t="shared" si="7"/>
        <v>45</v>
      </c>
      <c r="FD3">
        <f t="shared" si="7"/>
        <v>45</v>
      </c>
      <c r="FE3">
        <f t="shared" si="7"/>
        <v>45</v>
      </c>
      <c r="FF3">
        <f t="shared" si="7"/>
        <v>45</v>
      </c>
      <c r="FG3">
        <f t="shared" si="7"/>
        <v>46</v>
      </c>
      <c r="FH3">
        <f t="shared" si="7"/>
        <v>46</v>
      </c>
      <c r="FI3">
        <f t="shared" si="7"/>
        <v>46</v>
      </c>
      <c r="FJ3">
        <f t="shared" si="7"/>
        <v>46</v>
      </c>
      <c r="FK3">
        <f t="shared" si="7"/>
        <v>46</v>
      </c>
      <c r="FL3">
        <f t="shared" si="7"/>
        <v>47</v>
      </c>
      <c r="FM3">
        <f t="shared" si="7"/>
        <v>47</v>
      </c>
      <c r="FN3">
        <f t="shared" si="7"/>
        <v>47</v>
      </c>
      <c r="FO3">
        <f t="shared" si="7"/>
        <v>47</v>
      </c>
      <c r="FP3">
        <f t="shared" si="7"/>
        <v>47</v>
      </c>
      <c r="FQ3">
        <f t="shared" si="7"/>
        <v>48</v>
      </c>
      <c r="FR3">
        <f t="shared" si="7"/>
        <v>48</v>
      </c>
      <c r="FS3">
        <f t="shared" si="7"/>
        <v>48</v>
      </c>
      <c r="FT3">
        <f t="shared" si="7"/>
        <v>49</v>
      </c>
      <c r="FU3">
        <f t="shared" si="7"/>
        <v>49</v>
      </c>
      <c r="FV3">
        <f t="shared" si="7"/>
        <v>49</v>
      </c>
      <c r="FW3">
        <f t="shared" si="7"/>
        <v>49</v>
      </c>
      <c r="FX3">
        <f t="shared" si="7"/>
        <v>49</v>
      </c>
      <c r="FY3">
        <f t="shared" si="7"/>
        <v>50</v>
      </c>
      <c r="FZ3">
        <f t="shared" si="7"/>
        <v>50</v>
      </c>
      <c r="GA3">
        <f t="shared" si="7"/>
        <v>50</v>
      </c>
      <c r="GB3">
        <f t="shared" si="7"/>
        <v>50</v>
      </c>
      <c r="GC3">
        <f t="shared" si="7"/>
        <v>50</v>
      </c>
      <c r="GD3">
        <f t="shared" si="7"/>
        <v>51</v>
      </c>
      <c r="GE3">
        <f t="shared" si="7"/>
        <v>51</v>
      </c>
      <c r="GF3">
        <f t="shared" si="7"/>
        <v>51</v>
      </c>
      <c r="GG3">
        <f t="shared" si="7"/>
        <v>51</v>
      </c>
      <c r="GH3">
        <f t="shared" si="7"/>
        <v>51</v>
      </c>
      <c r="GI3">
        <f t="shared" si="7"/>
        <v>52</v>
      </c>
      <c r="GJ3">
        <f t="shared" si="7"/>
        <v>52</v>
      </c>
      <c r="GK3">
        <f t="shared" si="7"/>
        <v>52</v>
      </c>
    </row>
    <row r="4" spans="1:195" x14ac:dyDescent="0.35">
      <c r="B4" s="2">
        <v>46104</v>
      </c>
      <c r="C4" s="2">
        <v>46105</v>
      </c>
      <c r="D4" s="2">
        <v>46106</v>
      </c>
      <c r="E4" s="2">
        <v>46107</v>
      </c>
      <c r="F4" s="2">
        <v>46111</v>
      </c>
      <c r="G4" s="2">
        <f>WORKDAY.INTL(F4,1,,'Don''t Change'!$A$2:$A$7)</f>
        <v>46112</v>
      </c>
      <c r="H4" s="2">
        <f>WORKDAY.INTL(G4,1,,'Don''t Change'!$A$2:$A$7)</f>
        <v>46113</v>
      </c>
      <c r="I4" s="2">
        <f>WORKDAY.INTL(H4,1,,'Don''t Change'!$A$2:$A$7)</f>
        <v>46114</v>
      </c>
      <c r="J4" s="2">
        <f>WORKDAY.INTL(I4,1,,'Don''t Change'!$A$2:$A$7)</f>
        <v>46115</v>
      </c>
      <c r="K4" s="2">
        <f>WORKDAY.INTL(J4,1,,'Don''t Change'!$A$2:$A$7)</f>
        <v>46118</v>
      </c>
      <c r="L4" s="2">
        <f>WORKDAY.INTL(K4,1,,'Don''t Change'!$A$2:$A$7)</f>
        <v>46119</v>
      </c>
      <c r="M4" s="2">
        <f>WORKDAY.INTL(L4,1,,'Don''t Change'!$A$2:$A$7)</f>
        <v>46120</v>
      </c>
      <c r="N4" s="2">
        <f>WORKDAY.INTL(M4,1,,'Don''t Change'!$A$2:$A$7)</f>
        <v>46121</v>
      </c>
      <c r="O4" s="2">
        <f>WORKDAY.INTL(N4,1,,'Don''t Change'!$A$2:$A$7)</f>
        <v>46122</v>
      </c>
      <c r="P4" s="2">
        <f>WORKDAY.INTL(O4,1,,'Don''t Change'!$A$2:$A$7)</f>
        <v>46125</v>
      </c>
      <c r="Q4" s="2">
        <f>WORKDAY.INTL(P4,1,,'Don''t Change'!$A$2:$A$7)</f>
        <v>46126</v>
      </c>
      <c r="R4" s="2">
        <f>WORKDAY.INTL(Q4,1,,'Don''t Change'!$A$2:$A$7)</f>
        <v>46127</v>
      </c>
      <c r="S4" s="2">
        <f>WORKDAY.INTL(R4,1,,'Don''t Change'!$A$2:$A$7)</f>
        <v>46128</v>
      </c>
      <c r="T4" s="2">
        <f>WORKDAY.INTL(S4,1,,'Don''t Change'!$A$2:$A$7)</f>
        <v>46129</v>
      </c>
      <c r="U4" s="2">
        <f>WORKDAY.INTL(T4,1,,'Don''t Change'!$A$2:$A$7)</f>
        <v>46132</v>
      </c>
      <c r="V4" s="2">
        <f>WORKDAY.INTL(U4,1,,'Don''t Change'!$A$2:$A$7)</f>
        <v>46133</v>
      </c>
      <c r="W4" s="2">
        <f>WORKDAY.INTL(V4,1,,'Don''t Change'!$A$2:$A$7)</f>
        <v>46134</v>
      </c>
      <c r="X4" s="2">
        <f>WORKDAY.INTL(W4,1,,'Don''t Change'!$A$2:$A$7)</f>
        <v>46135</v>
      </c>
      <c r="Y4" s="2">
        <f>WORKDAY.INTL(X4,1,,'Don''t Change'!$A$2:$A$7)</f>
        <v>46136</v>
      </c>
      <c r="Z4" s="2">
        <f>WORKDAY.INTL(Y4,1,,'Don''t Change'!$A$2:$A$7)</f>
        <v>46139</v>
      </c>
      <c r="AA4" s="2">
        <f>WORKDAY.INTL(Z4,1,,'Don''t Change'!$A$2:$A$7)</f>
        <v>46140</v>
      </c>
      <c r="AB4" s="2">
        <f>WORKDAY.INTL(AA4,1,,'Don''t Change'!$A$2:$A$7)</f>
        <v>46141</v>
      </c>
      <c r="AC4" s="2">
        <f>WORKDAY.INTL(AB4,1,,'Don''t Change'!$A$2:$A$7)</f>
        <v>46142</v>
      </c>
      <c r="AD4" s="2">
        <f>WORKDAY.INTL(AC4,1,,'Don''t Change'!$A$2:$A$7)</f>
        <v>46143</v>
      </c>
      <c r="AE4" s="2">
        <f>WORKDAY.INTL(AD4,1,,'Don''t Change'!$A$2:$A$7)</f>
        <v>46146</v>
      </c>
      <c r="AF4" s="2">
        <f>WORKDAY.INTL(AE4,1,,'Don''t Change'!$A$2:$A$7)</f>
        <v>46147</v>
      </c>
      <c r="AG4" s="2">
        <f>WORKDAY.INTL(AF4,1,,'Don''t Change'!$A$2:$A$7)</f>
        <v>46148</v>
      </c>
      <c r="AH4" s="2">
        <f>WORKDAY.INTL(AG4,1,,'Don''t Change'!$A$2:$A$7)</f>
        <v>46149</v>
      </c>
      <c r="AI4" s="2">
        <f>WORKDAY.INTL(AH4,1,,'Don''t Change'!$A$2:$A$7)</f>
        <v>46150</v>
      </c>
      <c r="AJ4" s="2">
        <f>WORKDAY.INTL(AI4,1,,'Don''t Change'!$A$2:$A$7)</f>
        <v>46153</v>
      </c>
      <c r="AK4" s="2">
        <f>WORKDAY.INTL(AJ4,1,,'Don''t Change'!$A$2:$A$7)</f>
        <v>46154</v>
      </c>
      <c r="AL4" s="2">
        <f>WORKDAY.INTL(AK4,1,,'Don''t Change'!$A$2:$A$7)</f>
        <v>46155</v>
      </c>
      <c r="AM4" s="2">
        <f>WORKDAY.INTL(AL4,1,,'Don''t Change'!$A$2:$A$7)</f>
        <v>46156</v>
      </c>
      <c r="AN4" s="2">
        <f>WORKDAY.INTL(AM4,1,,'Don''t Change'!$A$2:$A$7)</f>
        <v>46157</v>
      </c>
      <c r="AO4" s="2">
        <f>WORKDAY.INTL(AN4,1,,'Don''t Change'!$A$2:$A$7)</f>
        <v>46160</v>
      </c>
      <c r="AP4" s="2">
        <f>WORKDAY.INTL(AO4,1,,'Don''t Change'!$A$2:$A$7)</f>
        <v>46161</v>
      </c>
      <c r="AQ4" s="2">
        <f>WORKDAY.INTL(AP4,1,,'Don''t Change'!$A$2:$A$7)</f>
        <v>46162</v>
      </c>
      <c r="AR4" s="2">
        <f>WORKDAY.INTL(AQ4,1,,'Don''t Change'!$A$2:$A$7)</f>
        <v>46163</v>
      </c>
      <c r="AS4" s="2">
        <f>WORKDAY.INTL(AR4,1,,'Don''t Change'!$A$2:$A$7)</f>
        <v>46164</v>
      </c>
      <c r="AT4" s="2">
        <f>WORKDAY.INTL(AS4,1,,'Don''t Change'!$A$2:$A$7)</f>
        <v>46168</v>
      </c>
      <c r="AU4" s="2">
        <f>WORKDAY.INTL(AT4,1,,'Don''t Change'!$A$2:$A$7)</f>
        <v>46169</v>
      </c>
      <c r="AV4" s="2">
        <f>WORKDAY.INTL(AU4,1,,'Don''t Change'!$A$2:$A$7)</f>
        <v>46170</v>
      </c>
      <c r="AW4" s="2">
        <f>WORKDAY.INTL(AV4,1,,'Don''t Change'!$A$2:$A$7)</f>
        <v>46171</v>
      </c>
      <c r="AX4" s="2">
        <f>WORKDAY.INTL(AW4,1,,'Don''t Change'!$A$2:$A$7)</f>
        <v>46174</v>
      </c>
      <c r="AY4" s="2">
        <f>WORKDAY.INTL(AX4,1,,'Don''t Change'!$A$2:$A$7)</f>
        <v>46175</v>
      </c>
      <c r="AZ4" s="2">
        <f>WORKDAY.INTL(AY4,1,,'Don''t Change'!$A$2:$A$7)</f>
        <v>46176</v>
      </c>
      <c r="BA4" s="2">
        <f>WORKDAY.INTL(AZ4,1,,'Don''t Change'!$A$2:$A$7)</f>
        <v>46177</v>
      </c>
      <c r="BB4" s="2">
        <f>WORKDAY.INTL(BA4,1,,'Don''t Change'!$A$2:$A$7)</f>
        <v>46178</v>
      </c>
      <c r="BC4" s="2">
        <f>WORKDAY.INTL(BB4,1,,'Don''t Change'!$A$2:$A$7)</f>
        <v>46181</v>
      </c>
      <c r="BD4" s="2">
        <f>WORKDAY.INTL(BC4,1,,'Don''t Change'!$A$2:$A$7)</f>
        <v>46182</v>
      </c>
      <c r="BE4" s="2">
        <f>WORKDAY.INTL(BD4,1,,'Don''t Change'!$A$2:$A$7)</f>
        <v>46183</v>
      </c>
      <c r="BF4" s="2">
        <f>WORKDAY.INTL(BE4,1,,'Don''t Change'!$A$2:$A$7)</f>
        <v>46184</v>
      </c>
      <c r="BG4" s="2">
        <f>WORKDAY.INTL(BF4,1,,'Don''t Change'!$A$2:$A$7)</f>
        <v>46185</v>
      </c>
      <c r="BH4" s="2">
        <f>WORKDAY.INTL(BG4,1,,'Don''t Change'!$A$2:$A$7)</f>
        <v>46188</v>
      </c>
      <c r="BI4" s="2">
        <f>WORKDAY.INTL(BH4,1,,'Don''t Change'!$A$2:$A$7)</f>
        <v>46189</v>
      </c>
      <c r="BJ4" s="2">
        <f>WORKDAY.INTL(BI4,1,,'Don''t Change'!$A$2:$A$7)</f>
        <v>46190</v>
      </c>
      <c r="BK4" s="2">
        <f>WORKDAY.INTL(BJ4,1,,'Don''t Change'!$A$2:$A$7)</f>
        <v>46191</v>
      </c>
      <c r="BL4" s="2">
        <f>WORKDAY.INTL(BK4,1,,'Don''t Change'!$A$2:$A$7)</f>
        <v>46192</v>
      </c>
      <c r="BM4" s="2">
        <f>WORKDAY.INTL(BL4,1,,'Don''t Change'!$A$2:$A$7)</f>
        <v>46195</v>
      </c>
      <c r="BN4" s="2">
        <f>WORKDAY.INTL(BM4,1,,'Don''t Change'!$A$2:$A$7)</f>
        <v>46196</v>
      </c>
      <c r="BO4" s="2">
        <f>WORKDAY.INTL(BN4,1,,'Don''t Change'!$A$2:$A$7)</f>
        <v>46197</v>
      </c>
      <c r="BP4" s="2">
        <f>WORKDAY.INTL(BO4,1,,'Don''t Change'!$A$2:$A$7)</f>
        <v>46198</v>
      </c>
      <c r="BQ4" s="2">
        <f>WORKDAY.INTL(BP4,1,,'Don''t Change'!$A$2:$A$7)</f>
        <v>46199</v>
      </c>
      <c r="BR4" s="2">
        <f>WORKDAY.INTL(BQ4,1,,'Don''t Change'!$A$2:$A$7)</f>
        <v>46202</v>
      </c>
      <c r="BS4" s="2">
        <f>WORKDAY.INTL(BR4,1,,'Don''t Change'!$A$2:$A$7)</f>
        <v>46203</v>
      </c>
      <c r="BT4" s="2">
        <f>WORKDAY.INTL(BS4,1,,'Don''t Change'!$A$2:$A$7)</f>
        <v>46204</v>
      </c>
      <c r="BU4" s="2">
        <f>WORKDAY.INTL(BT4,1,,'Don''t Change'!$A$2:$A$7)</f>
        <v>46206</v>
      </c>
      <c r="BV4" s="2">
        <f>WORKDAY.INTL(BU4,1,,'Don''t Change'!$A$2:$A$7)</f>
        <v>46209</v>
      </c>
      <c r="BW4" s="2">
        <f>WORKDAY.INTL(BV4,1,,'Don''t Change'!$A$2:$A$7)</f>
        <v>46210</v>
      </c>
      <c r="BX4" s="2">
        <f>WORKDAY.INTL(BW4,1,,'Don''t Change'!$A$2:$A$7)</f>
        <v>46211</v>
      </c>
      <c r="BY4" s="2">
        <f>WORKDAY.INTL(BX4,1,,'Don''t Change'!$A$2:$A$7)</f>
        <v>46212</v>
      </c>
      <c r="BZ4" s="2">
        <f>WORKDAY.INTL(BY4,1,,'Don''t Change'!$A$2:$A$7)</f>
        <v>46213</v>
      </c>
      <c r="CA4" s="2">
        <f>WORKDAY.INTL(BZ4,1,,'Don''t Change'!$A$2:$A$7)</f>
        <v>46216</v>
      </c>
      <c r="CB4" s="2">
        <f>WORKDAY.INTL(CA4,1,,'Don''t Change'!$A$2:$A$7)</f>
        <v>46217</v>
      </c>
      <c r="CC4" s="2">
        <f>WORKDAY.INTL(CB4,1,,'Don''t Change'!$A$2:$A$7)</f>
        <v>46218</v>
      </c>
      <c r="CD4" s="2">
        <f>WORKDAY.INTL(CC4,1,,'Don''t Change'!$A$2:$A$7)</f>
        <v>46219</v>
      </c>
      <c r="CE4" s="2">
        <f>WORKDAY.INTL(CD4,1,,'Don''t Change'!$A$2:$A$7)</f>
        <v>46220</v>
      </c>
      <c r="CF4" s="2">
        <f>WORKDAY.INTL(CE4,1,,'Don''t Change'!$A$2:$A$7)</f>
        <v>46223</v>
      </c>
      <c r="CG4" s="2">
        <f>WORKDAY.INTL(CF4,1,,'Don''t Change'!$A$2:$A$7)</f>
        <v>46224</v>
      </c>
      <c r="CH4" s="2">
        <f>WORKDAY.INTL(CG4,1,,'Don''t Change'!$A$2:$A$7)</f>
        <v>46225</v>
      </c>
      <c r="CI4" s="2">
        <f>WORKDAY.INTL(CH4,1,,'Don''t Change'!$A$2:$A$7)</f>
        <v>46226</v>
      </c>
      <c r="CJ4" s="2">
        <f>WORKDAY.INTL(CI4,1,,'Don''t Change'!$A$2:$A$7)</f>
        <v>46227</v>
      </c>
      <c r="CK4" s="2">
        <f>WORKDAY.INTL(CJ4,1,,'Don''t Change'!$A$2:$A$7)</f>
        <v>46230</v>
      </c>
      <c r="CL4" s="2">
        <f>WORKDAY.INTL(CK4,1,,'Don''t Change'!$A$2:$A$7)</f>
        <v>46231</v>
      </c>
      <c r="CM4" s="2">
        <f>WORKDAY.INTL(CL4,1,,'Don''t Change'!$A$2:$A$7)</f>
        <v>46232</v>
      </c>
      <c r="CN4" s="2">
        <f>WORKDAY.INTL(CM4,1,,'Don''t Change'!$A$2:$A$7)</f>
        <v>46233</v>
      </c>
      <c r="CO4" s="2">
        <f>WORKDAY.INTL(CN4,1,,'Don''t Change'!$A$2:$A$7)</f>
        <v>46234</v>
      </c>
      <c r="CP4" s="2">
        <f>WORKDAY.INTL(CO4,1,,'Don''t Change'!$A$2:$A$7)</f>
        <v>46237</v>
      </c>
      <c r="CQ4" s="2">
        <f>WORKDAY.INTL(CP4,1,,'Don''t Change'!$A$2:$A$7)</f>
        <v>46238</v>
      </c>
      <c r="CR4" s="2">
        <f>WORKDAY.INTL(CQ4,1,,'Don''t Change'!$A$2:$A$7)</f>
        <v>46239</v>
      </c>
      <c r="CS4" s="2">
        <f>WORKDAY.INTL(CR4,1,,'Don''t Change'!$A$2:$A$7)</f>
        <v>46240</v>
      </c>
      <c r="CT4" s="2">
        <f>WORKDAY.INTL(CS4,1,,'Don''t Change'!$A$2:$A$7)</f>
        <v>46241</v>
      </c>
      <c r="CU4" s="2">
        <f>WORKDAY.INTL(CT4,1,,'Don''t Change'!$A$2:$A$7)</f>
        <v>46244</v>
      </c>
      <c r="CV4" s="2">
        <f>WORKDAY.INTL(CU4,1,,'Don''t Change'!$A$2:$A$7)</f>
        <v>46245</v>
      </c>
      <c r="CW4" s="2">
        <f>WORKDAY.INTL(CV4,1,,'Don''t Change'!$A$2:$A$7)</f>
        <v>46246</v>
      </c>
      <c r="CX4" s="2">
        <f>WORKDAY.INTL(CW4,1,,'Don''t Change'!$A$2:$A$7)</f>
        <v>46247</v>
      </c>
      <c r="CY4" s="2">
        <f>WORKDAY.INTL(CX4,1,,'Don''t Change'!$A$2:$A$7)</f>
        <v>46248</v>
      </c>
      <c r="CZ4" s="2">
        <f>WORKDAY.INTL(CY4,1,,'Don''t Change'!$A$2:$A$7)</f>
        <v>46251</v>
      </c>
      <c r="DA4" s="2">
        <f>WORKDAY.INTL(CZ4,1,,'Don''t Change'!$A$2:$A$7)</f>
        <v>46252</v>
      </c>
      <c r="DB4" s="2">
        <f>WORKDAY.INTL(DA4,1,,'Don''t Change'!$A$2:$A$7)</f>
        <v>46253</v>
      </c>
      <c r="DC4" s="2">
        <f>WORKDAY.INTL(DB4,1,,'Don''t Change'!$A$2:$A$7)</f>
        <v>46254</v>
      </c>
      <c r="DD4" s="2">
        <f>WORKDAY.INTL(DC4,1,,'Don''t Change'!$A$2:$A$7)</f>
        <v>46255</v>
      </c>
      <c r="DE4" s="2">
        <f>WORKDAY.INTL(DD4,1,,'Don''t Change'!$A$2:$A$7)</f>
        <v>46258</v>
      </c>
      <c r="DF4" s="2">
        <f>WORKDAY.INTL(DE4,1,,'Don''t Change'!$A$2:$A$7)</f>
        <v>46259</v>
      </c>
      <c r="DG4" s="2">
        <f>WORKDAY.INTL(DF4,1,,'Don''t Change'!$A$2:$A$7)</f>
        <v>46260</v>
      </c>
      <c r="DH4" s="2">
        <f>WORKDAY.INTL(DG4,1,,'Don''t Change'!$A$2:$A$7)</f>
        <v>46261</v>
      </c>
      <c r="DI4" s="2">
        <f>WORKDAY.INTL(DH4,1,,'Don''t Change'!$A$2:$A$7)</f>
        <v>46262</v>
      </c>
      <c r="DJ4" s="2">
        <f>WORKDAY.INTL(DI4,1,,'Don''t Change'!$A$2:$A$7)</f>
        <v>46265</v>
      </c>
      <c r="DK4" s="2">
        <f>WORKDAY.INTL(DJ4,1,,'Don''t Change'!$A$2:$A$7)</f>
        <v>46266</v>
      </c>
      <c r="DL4" s="2">
        <f>WORKDAY.INTL(DK4,1,,'Don''t Change'!$A$2:$A$7)</f>
        <v>46267</v>
      </c>
      <c r="DM4" s="2">
        <f>WORKDAY.INTL(DL4,1,,'Don''t Change'!$A$2:$A$7)</f>
        <v>46268</v>
      </c>
      <c r="DN4" s="2">
        <f>WORKDAY.INTL(DM4,1,,'Don''t Change'!$A$2:$A$7)</f>
        <v>46269</v>
      </c>
      <c r="DO4" s="2">
        <f>WORKDAY.INTL(DN4,1,,'Don''t Change'!$A$2:$A$7)</f>
        <v>46273</v>
      </c>
      <c r="DP4" s="2">
        <f>WORKDAY.INTL(DO4,1,,'Don''t Change'!$A$2:$A$7)</f>
        <v>46274</v>
      </c>
      <c r="DQ4" s="2">
        <f>WORKDAY.INTL(DP4,1,,'Don''t Change'!$A$2:$A$7)</f>
        <v>46275</v>
      </c>
      <c r="DR4" s="2">
        <f>WORKDAY.INTL(DQ4,1,,'Don''t Change'!$A$2:$A$7)</f>
        <v>46276</v>
      </c>
      <c r="DS4" s="2">
        <f>WORKDAY.INTL(DR4,1,,'Don''t Change'!$A$2:$A$7)</f>
        <v>46279</v>
      </c>
      <c r="DT4" s="2">
        <f>WORKDAY.INTL(DS4,1,,'Don''t Change'!$A$2:$A$7)</f>
        <v>46280</v>
      </c>
      <c r="DU4" s="2">
        <f>WORKDAY.INTL(DT4,1,,'Don''t Change'!$A$2:$A$7)</f>
        <v>46281</v>
      </c>
      <c r="DV4" s="2">
        <f>WORKDAY.INTL(DU4,1,,'Don''t Change'!$A$2:$A$7)</f>
        <v>46282</v>
      </c>
      <c r="DW4" s="2">
        <f>WORKDAY.INTL(DV4,1,,'Don''t Change'!$A$2:$A$7)</f>
        <v>46283</v>
      </c>
      <c r="DX4" s="2">
        <f>WORKDAY.INTL(DW4,1,,'Don''t Change'!$A$2:$A$7)</f>
        <v>46286</v>
      </c>
      <c r="DY4" s="2">
        <f>WORKDAY.INTL(DX4,1,,'Don''t Change'!$A$2:$A$7)</f>
        <v>46287</v>
      </c>
      <c r="DZ4" s="2">
        <f>WORKDAY.INTL(DY4,1,,'Don''t Change'!$A$2:$A$7)</f>
        <v>46288</v>
      </c>
      <c r="EA4" s="2">
        <f>WORKDAY.INTL(DZ4,1,,'Don''t Change'!$A$2:$A$7)</f>
        <v>46289</v>
      </c>
      <c r="EB4" s="2">
        <f>WORKDAY.INTL(EA4,1,,'Don''t Change'!$A$2:$A$7)</f>
        <v>46290</v>
      </c>
      <c r="EC4" s="2">
        <f>WORKDAY.INTL(EB4,1,,'Don''t Change'!$A$2:$A$7)</f>
        <v>46293</v>
      </c>
      <c r="ED4" s="2">
        <f>WORKDAY.INTL(EC4,1,,'Don''t Change'!$A$2:$A$7)</f>
        <v>46294</v>
      </c>
      <c r="EE4" s="2">
        <f>WORKDAY.INTL(ED4,1,,'Don''t Change'!$A$2:$A$7)</f>
        <v>46295</v>
      </c>
      <c r="EF4" s="2">
        <f>WORKDAY.INTL(EE4,1,,'Don''t Change'!$A$2:$A$7)</f>
        <v>46296</v>
      </c>
      <c r="EG4" s="2">
        <f>WORKDAY.INTL(EF4,1,,'Don''t Change'!$A$2:$A$7)</f>
        <v>46297</v>
      </c>
      <c r="EH4" s="2">
        <f>WORKDAY.INTL(EG4,1,,'Don''t Change'!$A$2:$A$7)</f>
        <v>46300</v>
      </c>
      <c r="EI4" s="2">
        <f>WORKDAY.INTL(EH4,1,,'Don''t Change'!$A$2:$A$7)</f>
        <v>46301</v>
      </c>
      <c r="EJ4" s="2">
        <f>WORKDAY.INTL(EI4,1,,'Don''t Change'!$A$2:$A$7)</f>
        <v>46302</v>
      </c>
      <c r="EK4" s="2">
        <f>WORKDAY.INTL(EJ4,1,,'Don''t Change'!$A$2:$A$7)</f>
        <v>46303</v>
      </c>
      <c r="EL4" s="2">
        <f>WORKDAY.INTL(EK4,1,,'Don''t Change'!$A$2:$A$7)</f>
        <v>46304</v>
      </c>
      <c r="EM4" s="2">
        <f>WORKDAY.INTL(EL4,1,,'Don''t Change'!$A$2:$A$7)</f>
        <v>46307</v>
      </c>
      <c r="EN4" s="2">
        <f>WORKDAY.INTL(EM4,1,,'Don''t Change'!$A$2:$A$7)</f>
        <v>46308</v>
      </c>
      <c r="EO4" s="2">
        <f>WORKDAY.INTL(EN4,1,,'Don''t Change'!$A$2:$A$7)</f>
        <v>46309</v>
      </c>
      <c r="EP4" s="2">
        <f>WORKDAY.INTL(EO4,1,,'Don''t Change'!$A$2:$A$7)</f>
        <v>46310</v>
      </c>
      <c r="EQ4" s="2">
        <f>WORKDAY.INTL(EP4,1,,'Don''t Change'!$A$2:$A$7)</f>
        <v>46311</v>
      </c>
      <c r="ER4" s="2">
        <f>WORKDAY.INTL(EQ4,1,,'Don''t Change'!$A$2:$A$7)</f>
        <v>46314</v>
      </c>
      <c r="ES4" s="2">
        <f>WORKDAY.INTL(ER4,1,,'Don''t Change'!$A$2:$A$7)</f>
        <v>46315</v>
      </c>
      <c r="ET4" s="2">
        <f>WORKDAY.INTL(ES4,1,,'Don''t Change'!$A$2:$A$7)</f>
        <v>46316</v>
      </c>
      <c r="EU4" s="2">
        <f>WORKDAY.INTL(ET4,1,,'Don''t Change'!$A$2:$A$7)</f>
        <v>46317</v>
      </c>
      <c r="EV4" s="2">
        <f>WORKDAY.INTL(EU4,1,,'Don''t Change'!$A$2:$A$7)</f>
        <v>46318</v>
      </c>
      <c r="EW4" s="2">
        <f>WORKDAY.INTL(EV4,1,,'Don''t Change'!$A$2:$A$7)</f>
        <v>46321</v>
      </c>
      <c r="EX4" s="2">
        <f>WORKDAY.INTL(EW4,1,,'Don''t Change'!$A$2:$A$7)</f>
        <v>46322</v>
      </c>
      <c r="EY4" s="2">
        <f>WORKDAY.INTL(EX4,1,,'Don''t Change'!$A$2:$A$7)</f>
        <v>46323</v>
      </c>
      <c r="EZ4" s="2">
        <f>WORKDAY.INTL(EY4,1,,'Don''t Change'!$A$2:$A$7)</f>
        <v>46324</v>
      </c>
      <c r="FA4" s="2">
        <f>WORKDAY.INTL(EZ4,1,,'Don''t Change'!$A$2:$A$7)</f>
        <v>46325</v>
      </c>
      <c r="FB4" s="2">
        <f>WORKDAY.INTL(FA4,1,,'Don''t Change'!$A$2:$A$7)</f>
        <v>46328</v>
      </c>
      <c r="FC4" s="2">
        <f>WORKDAY.INTL(FB4,1,,'Don''t Change'!$A$2:$A$7)</f>
        <v>46329</v>
      </c>
      <c r="FD4" s="2">
        <f>WORKDAY.INTL(FC4,1,,'Don''t Change'!$A$2:$A$7)</f>
        <v>46330</v>
      </c>
      <c r="FE4" s="2">
        <f>WORKDAY.INTL(FD4,1,,'Don''t Change'!$A$2:$A$7)</f>
        <v>46331</v>
      </c>
      <c r="FF4" s="2">
        <f>WORKDAY.INTL(FE4,1,,'Don''t Change'!$A$2:$A$7)</f>
        <v>46332</v>
      </c>
      <c r="FG4" s="2">
        <f>WORKDAY.INTL(FF4,1,,'Don''t Change'!$A$2:$A$7)</f>
        <v>46335</v>
      </c>
      <c r="FH4" s="2">
        <f>WORKDAY.INTL(FG4,1,,'Don''t Change'!$A$2:$A$7)</f>
        <v>46336</v>
      </c>
      <c r="FI4" s="2">
        <f>WORKDAY.INTL(FH4,1,,'Don''t Change'!$A$2:$A$7)</f>
        <v>46337</v>
      </c>
      <c r="FJ4" s="2">
        <f>WORKDAY.INTL(FI4,1,,'Don''t Change'!$A$2:$A$7)</f>
        <v>46338</v>
      </c>
      <c r="FK4" s="2">
        <f>WORKDAY.INTL(FJ4,1,,'Don''t Change'!$A$2:$A$7)</f>
        <v>46339</v>
      </c>
      <c r="FL4" s="2">
        <f>WORKDAY.INTL(FK4,1,,'Don''t Change'!$A$2:$A$7)</f>
        <v>46342</v>
      </c>
      <c r="FM4" s="2">
        <f>WORKDAY.INTL(FL4,1,,'Don''t Change'!$A$2:$A$7)</f>
        <v>46343</v>
      </c>
      <c r="FN4" s="2">
        <f>WORKDAY.INTL(FM4,1,,'Don''t Change'!$A$2:$A$7)</f>
        <v>46344</v>
      </c>
      <c r="FO4" s="2">
        <f>WORKDAY.INTL(FN4,1,,'Don''t Change'!$A$2:$A$7)</f>
        <v>46345</v>
      </c>
      <c r="FP4" s="2">
        <f>WORKDAY.INTL(FO4,1,,'Don''t Change'!$A$2:$A$7)</f>
        <v>46346</v>
      </c>
      <c r="FQ4" s="2">
        <f>WORKDAY.INTL(FP4,1,,'Don''t Change'!$A$2:$A$7)</f>
        <v>46349</v>
      </c>
      <c r="FR4" s="2">
        <f>WORKDAY.INTL(FQ4,1,,'Don''t Change'!$A$2:$A$7)</f>
        <v>46350</v>
      </c>
      <c r="FS4" s="2">
        <f>WORKDAY.INTL(FR4,1,,'Don''t Change'!$A$2:$A$7)</f>
        <v>46351</v>
      </c>
      <c r="FT4" s="2">
        <f>WORKDAY.INTL(FS4,1,,'Don''t Change'!$A$2:$A$7)</f>
        <v>46356</v>
      </c>
      <c r="FU4" s="2">
        <f>WORKDAY.INTL(FT4,1,,'Don''t Change'!$A$2:$A$7)</f>
        <v>46357</v>
      </c>
      <c r="FV4" s="2">
        <f>WORKDAY.INTL(FU4,1,,'Don''t Change'!$A$2:$A$7)</f>
        <v>46358</v>
      </c>
      <c r="FW4" s="2">
        <f>WORKDAY.INTL(FV4,1,,'Don''t Change'!$A$2:$A$7)</f>
        <v>46359</v>
      </c>
      <c r="FX4" s="2">
        <f>WORKDAY.INTL(FW4,1,,'Don''t Change'!$A$2:$A$7)</f>
        <v>46360</v>
      </c>
      <c r="FY4" s="2">
        <f>WORKDAY.INTL(FX4,1,,'Don''t Change'!$A$2:$A$7)</f>
        <v>46363</v>
      </c>
      <c r="FZ4" s="2">
        <f>WORKDAY.INTL(FY4,1,,'Don''t Change'!$A$2:$A$7)</f>
        <v>46364</v>
      </c>
      <c r="GA4" s="2">
        <f>WORKDAY.INTL(FZ4,1,,'Don''t Change'!$A$2:$A$7)</f>
        <v>46365</v>
      </c>
      <c r="GB4" s="2">
        <f>WORKDAY.INTL(GA4,1,,'Don''t Change'!$A$2:$A$7)</f>
        <v>46366</v>
      </c>
      <c r="GC4" s="2">
        <f>WORKDAY.INTL(GB4,1,,'Don''t Change'!$A$2:$A$7)</f>
        <v>46367</v>
      </c>
      <c r="GD4" s="2">
        <f>WORKDAY.INTL(GC4,1,,'Don''t Change'!$A$2:$A$7)</f>
        <v>46370</v>
      </c>
      <c r="GE4" s="2">
        <f>WORKDAY.INTL(GD4,1,,'Don''t Change'!$A$2:$A$7)</f>
        <v>46371</v>
      </c>
      <c r="GF4" s="2">
        <f>WORKDAY.INTL(GE4,1,,'Don''t Change'!$A$2:$A$7)</f>
        <v>46372</v>
      </c>
      <c r="GG4" s="2">
        <f>WORKDAY.INTL(GF4,1,,'Don''t Change'!$A$2:$A$7)</f>
        <v>46373</v>
      </c>
      <c r="GH4" s="2">
        <f>WORKDAY.INTL(GG4,1,,'Don''t Change'!$A$2:$A$7)</f>
        <v>46374</v>
      </c>
      <c r="GI4" s="2">
        <f>WORKDAY.INTL(GH4,1,,'Don''t Change'!$A$2:$A$7)</f>
        <v>46377</v>
      </c>
      <c r="GJ4" s="2">
        <f>WORKDAY.INTL(GI4,1,,'Don''t Change'!$A$2:$A$7)</f>
        <v>46378</v>
      </c>
      <c r="GK4" s="2">
        <f>WORKDAY.INTL(GJ4,1,,'Don''t Change'!$A$2:$A$7)</f>
        <v>46379</v>
      </c>
    </row>
    <row r="5" spans="1:195" ht="15" thickBot="1" x14ac:dyDescent="0.4"/>
    <row r="6" spans="1:195" x14ac:dyDescent="0.35">
      <c r="A6" s="24" t="s">
        <v>42</v>
      </c>
      <c r="B6" s="25">
        <f>IF(B1="Fri",0,SUMIF('Ramp Up Plan'!$3:$3,B$2,'Ramp Up Plan'!96:96))</f>
        <v>0</v>
      </c>
      <c r="C6" s="25">
        <f>IF(C1="Fri",0,SUMIF('Ramp Up Plan'!$3:$3,C$2,'Ramp Up Plan'!96:96))</f>
        <v>0</v>
      </c>
      <c r="D6" s="25">
        <f>IF(D1="Fri",0,SUMIF('Ramp Up Plan'!$3:$3,D$2,'Ramp Up Plan'!96:96))</f>
        <v>0</v>
      </c>
      <c r="E6" s="25">
        <f>IF(E1="Fri",0,SUMIF('Ramp Up Plan'!$3:$3,E$2,'Ramp Up Plan'!96:96))</f>
        <v>0</v>
      </c>
      <c r="F6" s="25">
        <f>IF(F1="Fri",0,SUMIF('Ramp Up Plan'!$3:$3,F$2,'Ramp Up Plan'!96:96))</f>
        <v>11520</v>
      </c>
      <c r="G6" s="25">
        <f>IF(G1="Fri",0,SUMIF('Ramp Up Plan'!$3:$3,G2,'Ramp Up Plan'!96:96))</f>
        <v>11520</v>
      </c>
      <c r="H6" s="25">
        <f>IF(H1="Fri",0,SUMIF('Ramp Up Plan'!$3:$3,H2,'Ramp Up Plan'!96:96))</f>
        <v>11520</v>
      </c>
      <c r="I6" s="25">
        <f>IF(I1="Fri",0,SUMIF('Ramp Up Plan'!$3:$3,I2,'Ramp Up Plan'!96:96))</f>
        <v>11520</v>
      </c>
      <c r="J6" s="25">
        <f>IF(J1="Fri",0,SUMIF('Ramp Up Plan'!$3:$3,J2,'Ramp Up Plan'!96:96))</f>
        <v>0</v>
      </c>
      <c r="K6" s="25">
        <f>IF(K1="Fri",0,SUMIF('Ramp Up Plan'!$3:$3,K2,'Ramp Up Plan'!96:96))</f>
        <v>11520</v>
      </c>
      <c r="L6" s="25">
        <f>IF(L1="Fri",0,SUMIF('Ramp Up Plan'!$3:$3,L2,'Ramp Up Plan'!96:96))</f>
        <v>11520</v>
      </c>
      <c r="M6" s="25">
        <f>IF(M1="Fri",0,SUMIF('Ramp Up Plan'!$3:$3,M2,'Ramp Up Plan'!96:96))</f>
        <v>11520</v>
      </c>
      <c r="N6" s="25">
        <f>IF(N1="Fri",0,SUMIF('Ramp Up Plan'!$3:$3,N2,'Ramp Up Plan'!96:96))</f>
        <v>11520</v>
      </c>
      <c r="O6" s="25">
        <f>IF(O1="Fri",0,SUMIF('Ramp Up Plan'!$3:$3,O2,'Ramp Up Plan'!96:96))</f>
        <v>0</v>
      </c>
      <c r="P6" s="25">
        <f>IF(P1="Fri",0,SUMIF('Ramp Up Plan'!$3:$3,P2,'Ramp Up Plan'!96:96))</f>
        <v>11520</v>
      </c>
      <c r="Q6" s="25">
        <f>IF(Q1="Fri",0,SUMIF('Ramp Up Plan'!$3:$3,Q2,'Ramp Up Plan'!96:96))</f>
        <v>11520</v>
      </c>
      <c r="R6" s="25">
        <f>IF(R1="Fri",0,SUMIF('Ramp Up Plan'!$3:$3,R2,'Ramp Up Plan'!96:96))</f>
        <v>11520</v>
      </c>
      <c r="S6" s="25">
        <f>IF(S1="Fri",0,SUMIF('Ramp Up Plan'!$3:$3,S2,'Ramp Up Plan'!96:96))</f>
        <v>11520</v>
      </c>
      <c r="T6" s="25">
        <f>IF(T1="Fri",0,SUMIF('Ramp Up Plan'!$3:$3,T2,'Ramp Up Plan'!96:96))</f>
        <v>0</v>
      </c>
      <c r="U6" s="25">
        <f>IF(U1="Fri",0,SUMIF('Ramp Up Plan'!$3:$3,U2,'Ramp Up Plan'!96:96))</f>
        <v>11520</v>
      </c>
      <c r="V6" s="25">
        <f>IF(V1="Fri",0,SUMIF('Ramp Up Plan'!$3:$3,V2,'Ramp Up Plan'!96:96))</f>
        <v>11520</v>
      </c>
      <c r="W6" s="25">
        <f>IF(W1="Fri",0,SUMIF('Ramp Up Plan'!$3:$3,W2,'Ramp Up Plan'!96:96))</f>
        <v>11520</v>
      </c>
      <c r="X6" s="25">
        <f>IF(X1="Fri",0,SUMIF('Ramp Up Plan'!$3:$3,X2,'Ramp Up Plan'!96:96))</f>
        <v>11520</v>
      </c>
      <c r="Y6" s="25">
        <f>IF(Y1="Fri",0,SUMIF('Ramp Up Plan'!$3:$3,Y2,'Ramp Up Plan'!96:96))</f>
        <v>0</v>
      </c>
      <c r="Z6" s="25">
        <f>IF(Z1="Fri",0,SUMIF('Ramp Up Plan'!$3:$3,Z2,'Ramp Up Plan'!96:96))</f>
        <v>11520</v>
      </c>
      <c r="AA6" s="25">
        <f>IF(AA1="Fri",0,SUMIF('Ramp Up Plan'!$3:$3,AA2,'Ramp Up Plan'!96:96))</f>
        <v>11520</v>
      </c>
      <c r="AB6" s="25">
        <f>IF(AB1="Fri",0,SUMIF('Ramp Up Plan'!$3:$3,AB2,'Ramp Up Plan'!96:96))</f>
        <v>11520</v>
      </c>
      <c r="AC6" s="25">
        <f>IF(AC1="Fri",0,SUMIF('Ramp Up Plan'!$3:$3,AC2,'Ramp Up Plan'!96:96))</f>
        <v>11520</v>
      </c>
      <c r="AD6" s="25">
        <f>IF(AD1="Fri",0,SUMIF('Ramp Up Plan'!$3:$3,AD2,'Ramp Up Plan'!96:96))</f>
        <v>0</v>
      </c>
      <c r="AE6" s="25">
        <f>IF(AE1="Fri",0,SUMIF('Ramp Up Plan'!$3:$3,AE2,'Ramp Up Plan'!96:96))</f>
        <v>36000</v>
      </c>
      <c r="AF6" s="25">
        <f>IF(AF1="Fri",0,SUMIF('Ramp Up Plan'!$3:$3,AF2,'Ramp Up Plan'!96:96))</f>
        <v>36000</v>
      </c>
      <c r="AG6" s="25">
        <f>IF(AG1="Fri",0,SUMIF('Ramp Up Plan'!$3:$3,AG2,'Ramp Up Plan'!96:96))</f>
        <v>36000</v>
      </c>
      <c r="AH6" s="25">
        <f>IF(AH1="Fri",0,SUMIF('Ramp Up Plan'!$3:$3,AH2,'Ramp Up Plan'!96:96))</f>
        <v>36000</v>
      </c>
      <c r="AI6" s="25">
        <f>IF(AI1="Fri",0,SUMIF('Ramp Up Plan'!$3:$3,AI2,'Ramp Up Plan'!96:96))</f>
        <v>0</v>
      </c>
      <c r="AJ6" s="25">
        <f>IF(AJ1="Fri",0,SUMIF('Ramp Up Plan'!$3:$3,AJ2,'Ramp Up Plan'!96:96))</f>
        <v>36000</v>
      </c>
      <c r="AK6" s="25">
        <f>IF(AK1="Fri",0,SUMIF('Ramp Up Plan'!$3:$3,AK2,'Ramp Up Plan'!96:96))</f>
        <v>36000</v>
      </c>
      <c r="AL6" s="25">
        <f>IF(AL1="Fri",0,SUMIF('Ramp Up Plan'!$3:$3,AL2,'Ramp Up Plan'!96:96))</f>
        <v>36000</v>
      </c>
      <c r="AM6" s="25">
        <f>IF(AM1="Fri",0,SUMIF('Ramp Up Plan'!$3:$3,AM2,'Ramp Up Plan'!96:96))</f>
        <v>36000</v>
      </c>
      <c r="AN6" s="25">
        <f>IF(AN1="Fri",0,SUMIF('Ramp Up Plan'!$3:$3,AN2,'Ramp Up Plan'!96:96))</f>
        <v>0</v>
      </c>
      <c r="AO6" s="25">
        <f>IF(AO1="Fri",0,SUMIF('Ramp Up Plan'!$3:$3,AO2,'Ramp Up Plan'!96:96))</f>
        <v>36000</v>
      </c>
      <c r="AP6" s="25">
        <f>IF(AP1="Fri",0,SUMIF('Ramp Up Plan'!$3:$3,AP2,'Ramp Up Plan'!96:96))</f>
        <v>36000</v>
      </c>
      <c r="AQ6" s="25">
        <f>IF(AQ1="Fri",0,SUMIF('Ramp Up Plan'!$3:$3,AQ2,'Ramp Up Plan'!96:96))</f>
        <v>36000</v>
      </c>
      <c r="AR6" s="25">
        <f>IF(AR1="Fri",0,SUMIF('Ramp Up Plan'!$3:$3,AR2,'Ramp Up Plan'!96:96))</f>
        <v>36000</v>
      </c>
      <c r="AS6" s="25">
        <f>IF(AS1="Fri",0,SUMIF('Ramp Up Plan'!$3:$3,AS2,'Ramp Up Plan'!96:96))</f>
        <v>0</v>
      </c>
      <c r="AT6" s="25">
        <f>IF(AT1="Fri",0,SUMIF('Ramp Up Plan'!$3:$3,AT2,'Ramp Up Plan'!96:96))</f>
        <v>36000</v>
      </c>
      <c r="AU6" s="25">
        <f>IF(AU1="Fri",0,SUMIF('Ramp Up Plan'!$3:$3,AU2,'Ramp Up Plan'!96:96))</f>
        <v>36000</v>
      </c>
      <c r="AV6" s="25">
        <f>IF(AV1="Fri",0,SUMIF('Ramp Up Plan'!$3:$3,AV2,'Ramp Up Plan'!96:96))</f>
        <v>36000</v>
      </c>
      <c r="AW6" s="25">
        <f>IF(AW1="Fri",0,SUMIF('Ramp Up Plan'!$3:$3,AW2,'Ramp Up Plan'!96:96))</f>
        <v>0</v>
      </c>
      <c r="AX6" s="25">
        <f>SUMIF('Ramp Up Plan'!$3:$3,AX2,'Ramp Up Plan'!96:96)</f>
        <v>57600</v>
      </c>
      <c r="AY6" s="25">
        <f>SUMIF('Ramp Up Plan'!$3:$3,AY2,'Ramp Up Plan'!96:96)</f>
        <v>57600</v>
      </c>
      <c r="AZ6" s="25">
        <f>SUMIF('Ramp Up Plan'!$3:$3,AZ2,'Ramp Up Plan'!96:96)</f>
        <v>57600</v>
      </c>
      <c r="BA6" s="25">
        <f>SUMIF('Ramp Up Plan'!$3:$3,BA2,'Ramp Up Plan'!96:96)</f>
        <v>57600</v>
      </c>
      <c r="BB6" s="25">
        <f>SUMIF('Ramp Up Plan'!$3:$3,BB2,'Ramp Up Plan'!96:96)</f>
        <v>57600</v>
      </c>
      <c r="BC6" s="25">
        <f>SUMIF('Ramp Up Plan'!$3:$3,BC2,'Ramp Up Plan'!96:96)</f>
        <v>57600</v>
      </c>
      <c r="BD6" s="25">
        <f>SUMIF('Ramp Up Plan'!$3:$3,BD2,'Ramp Up Plan'!96:96)</f>
        <v>57600</v>
      </c>
      <c r="BE6" s="25">
        <f>SUMIF('Ramp Up Plan'!$3:$3,BE2,'Ramp Up Plan'!96:96)</f>
        <v>57600</v>
      </c>
      <c r="BF6" s="25">
        <f>SUMIF('Ramp Up Plan'!$3:$3,BF2,'Ramp Up Plan'!96:96)</f>
        <v>57600</v>
      </c>
      <c r="BG6" s="25">
        <f>SUMIF('Ramp Up Plan'!$3:$3,BG2,'Ramp Up Plan'!96:96)</f>
        <v>57600</v>
      </c>
      <c r="BH6" s="25">
        <f>SUMIF('Ramp Up Plan'!$3:$3,BH2,'Ramp Up Plan'!96:96)</f>
        <v>57600</v>
      </c>
      <c r="BI6" s="25">
        <f>SUMIF('Ramp Up Plan'!$3:$3,BI2,'Ramp Up Plan'!96:96)</f>
        <v>57600</v>
      </c>
      <c r="BJ6" s="25">
        <f>SUMIF('Ramp Up Plan'!$3:$3,BJ2,'Ramp Up Plan'!96:96)</f>
        <v>57600</v>
      </c>
      <c r="BK6" s="25">
        <f>SUMIF('Ramp Up Plan'!$3:$3,BK2,'Ramp Up Plan'!96:96)</f>
        <v>57600</v>
      </c>
      <c r="BL6" s="25">
        <f>SUMIF('Ramp Up Plan'!$3:$3,BL2,'Ramp Up Plan'!96:96)</f>
        <v>57600</v>
      </c>
      <c r="BM6" s="25">
        <f>SUMIF('Ramp Up Plan'!$3:$3,BM2,'Ramp Up Plan'!96:96)</f>
        <v>57600</v>
      </c>
      <c r="BN6" s="25">
        <f>SUMIF('Ramp Up Plan'!$3:$3,BN2,'Ramp Up Plan'!96:96)</f>
        <v>57600</v>
      </c>
      <c r="BO6" s="25">
        <f>SUMIF('Ramp Up Plan'!$3:$3,BO2,'Ramp Up Plan'!96:96)</f>
        <v>57600</v>
      </c>
      <c r="BP6" s="25">
        <f>SUMIF('Ramp Up Plan'!$3:$3,BP2,'Ramp Up Plan'!96:96)</f>
        <v>57600</v>
      </c>
      <c r="BQ6" s="25">
        <f>SUMIF('Ramp Up Plan'!$3:$3,BQ2,'Ramp Up Plan'!96:96)</f>
        <v>57600</v>
      </c>
      <c r="BR6" s="25">
        <f>SUMIF('Ramp Up Plan'!$3:$3,BR2,'Ramp Up Plan'!96:96)</f>
        <v>66355.199999999997</v>
      </c>
      <c r="BS6" s="25">
        <f>SUMIF('Ramp Up Plan'!$3:$3,BS2,'Ramp Up Plan'!96:96)</f>
        <v>66355.199999999997</v>
      </c>
      <c r="BT6" s="25">
        <f>SUMIF('Ramp Up Plan'!$3:$3,BT2,'Ramp Up Plan'!96:96)</f>
        <v>66355.199999999997</v>
      </c>
      <c r="BU6" s="25">
        <f>SUMIF('Ramp Up Plan'!$3:$3,BU2,'Ramp Up Plan'!96:96)</f>
        <v>66355.199999999997</v>
      </c>
      <c r="BV6" s="25">
        <f>SUMIF('Ramp Up Plan'!$3:$3,BV2,'Ramp Up Plan'!96:96)</f>
        <v>66355.199999999997</v>
      </c>
      <c r="BW6" s="25">
        <f>SUMIF('Ramp Up Plan'!$3:$3,BW2,'Ramp Up Plan'!96:96)</f>
        <v>66355.199999999997</v>
      </c>
      <c r="BX6" s="25">
        <f>SUMIF('Ramp Up Plan'!$3:$3,BX2,'Ramp Up Plan'!96:96)</f>
        <v>66355.199999999997</v>
      </c>
      <c r="BY6" s="25">
        <f>SUMIF('Ramp Up Plan'!$3:$3,BY2,'Ramp Up Plan'!96:96)</f>
        <v>66355.199999999997</v>
      </c>
      <c r="BZ6" s="25">
        <f>SUMIF('Ramp Up Plan'!$3:$3,BZ2,'Ramp Up Plan'!96:96)</f>
        <v>66355.199999999997</v>
      </c>
      <c r="CA6" s="25">
        <f>SUMIF('Ramp Up Plan'!$3:$3,CA2,'Ramp Up Plan'!96:96)</f>
        <v>66355.199999999997</v>
      </c>
      <c r="CB6" s="25">
        <f>SUMIF('Ramp Up Plan'!$3:$3,CB2,'Ramp Up Plan'!96:96)</f>
        <v>66355.199999999997</v>
      </c>
      <c r="CC6" s="25">
        <f>SUMIF('Ramp Up Plan'!$3:$3,CC2,'Ramp Up Plan'!96:96)</f>
        <v>66355.199999999997</v>
      </c>
      <c r="CD6" s="25">
        <f>SUMIF('Ramp Up Plan'!$3:$3,CD2,'Ramp Up Plan'!96:96)</f>
        <v>66355.199999999997</v>
      </c>
      <c r="CE6" s="25">
        <f>SUMIF('Ramp Up Plan'!$3:$3,CE2,'Ramp Up Plan'!96:96)</f>
        <v>66355.199999999997</v>
      </c>
      <c r="CF6" s="25">
        <f>SUMIF('Ramp Up Plan'!$3:$3,CF2,'Ramp Up Plan'!96:96)</f>
        <v>66355.199999999997</v>
      </c>
      <c r="CG6" s="25">
        <f>SUMIF('Ramp Up Plan'!$3:$3,CG2,'Ramp Up Plan'!96:96)</f>
        <v>66355.199999999997</v>
      </c>
      <c r="CH6" s="25">
        <f>SUMIF('Ramp Up Plan'!$3:$3,CH2,'Ramp Up Plan'!96:96)</f>
        <v>66355.199999999997</v>
      </c>
      <c r="CI6" s="25">
        <f>SUMIF('Ramp Up Plan'!$3:$3,CI2,'Ramp Up Plan'!96:96)</f>
        <v>66355.199999999997</v>
      </c>
      <c r="CJ6" s="25">
        <f>SUMIF('Ramp Up Plan'!$3:$3,CJ2,'Ramp Up Plan'!96:96)</f>
        <v>66355.199999999997</v>
      </c>
      <c r="CK6" s="25">
        <f>SUMIF('Ramp Up Plan'!$3:$3,CK2,'Ramp Up Plan'!96:96)</f>
        <v>66355.199999999997</v>
      </c>
      <c r="CL6" s="25">
        <f>SUMIF('Ramp Up Plan'!$3:$3,CL2,'Ramp Up Plan'!96:96)</f>
        <v>66355.199999999997</v>
      </c>
      <c r="CM6" s="25">
        <f>SUMIF('Ramp Up Plan'!$3:$3,CM2,'Ramp Up Plan'!96:96)</f>
        <v>66355.199999999997</v>
      </c>
      <c r="CN6" s="25">
        <f>SUMIF('Ramp Up Plan'!$3:$3,CN2,'Ramp Up Plan'!96:96)</f>
        <v>66355.199999999997</v>
      </c>
      <c r="CO6" s="25">
        <f>SUMIF('Ramp Up Plan'!$3:$3,CO2,'Ramp Up Plan'!96:96)</f>
        <v>66355.199999999997</v>
      </c>
      <c r="CP6" s="25">
        <f>SUMIF('Ramp Up Plan'!$3:$3,CP2,'Ramp Up Plan'!96:96)</f>
        <v>86400</v>
      </c>
      <c r="CQ6" s="25">
        <f>SUMIF('Ramp Up Plan'!$3:$3,CQ2,'Ramp Up Plan'!96:96)</f>
        <v>86400</v>
      </c>
      <c r="CR6" s="25">
        <f>SUMIF('Ramp Up Plan'!$3:$3,CR2,'Ramp Up Plan'!96:96)</f>
        <v>86400</v>
      </c>
      <c r="CS6" s="25">
        <f>SUMIF('Ramp Up Plan'!$3:$3,CS2,'Ramp Up Plan'!96:96)</f>
        <v>86400</v>
      </c>
      <c r="CT6" s="25">
        <f>SUMIF('Ramp Up Plan'!$3:$3,CT2,'Ramp Up Plan'!96:96)</f>
        <v>86400</v>
      </c>
      <c r="CU6" s="25">
        <f>SUMIF('Ramp Up Plan'!$3:$3,CU2,'Ramp Up Plan'!96:96)</f>
        <v>86400</v>
      </c>
      <c r="CV6" s="25">
        <f>SUMIF('Ramp Up Plan'!$3:$3,CV2,'Ramp Up Plan'!96:96)</f>
        <v>86400</v>
      </c>
      <c r="CW6" s="25">
        <f>SUMIF('Ramp Up Plan'!$3:$3,CW2,'Ramp Up Plan'!96:96)</f>
        <v>86400</v>
      </c>
      <c r="CX6" s="25">
        <f>SUMIF('Ramp Up Plan'!$3:$3,CX2,'Ramp Up Plan'!96:96)</f>
        <v>86400</v>
      </c>
      <c r="CY6" s="25">
        <f>SUMIF('Ramp Up Plan'!$3:$3,CY2,'Ramp Up Plan'!96:96)</f>
        <v>86400</v>
      </c>
      <c r="CZ6" s="25">
        <f>SUMIF('Ramp Up Plan'!$3:$3,CZ2,'Ramp Up Plan'!96:96)</f>
        <v>86400</v>
      </c>
      <c r="DA6" s="25">
        <f>SUMIF('Ramp Up Plan'!$3:$3,DA2,'Ramp Up Plan'!96:96)</f>
        <v>86400</v>
      </c>
      <c r="DB6" s="25">
        <f>SUMIF('Ramp Up Plan'!$3:$3,DB2,'Ramp Up Plan'!96:96)</f>
        <v>86400</v>
      </c>
      <c r="DC6" s="25">
        <f>SUMIF('Ramp Up Plan'!$3:$3,DC2,'Ramp Up Plan'!96:96)</f>
        <v>86400</v>
      </c>
      <c r="DD6" s="25">
        <f>SUMIF('Ramp Up Plan'!$3:$3,DD2,'Ramp Up Plan'!96:96)</f>
        <v>86400</v>
      </c>
      <c r="DE6" s="25">
        <f>SUMIF('Ramp Up Plan'!$3:$3,DE2,'Ramp Up Plan'!96:96)</f>
        <v>86400</v>
      </c>
      <c r="DF6" s="25">
        <f>SUMIF('Ramp Up Plan'!$3:$3,DF2,'Ramp Up Plan'!96:96)</f>
        <v>86400</v>
      </c>
      <c r="DG6" s="25">
        <f>SUMIF('Ramp Up Plan'!$3:$3,DG2,'Ramp Up Plan'!96:96)</f>
        <v>86400</v>
      </c>
      <c r="DH6" s="25">
        <f>SUMIF('Ramp Up Plan'!$3:$3,DH2,'Ramp Up Plan'!96:96)</f>
        <v>86400</v>
      </c>
      <c r="DI6" s="25">
        <f>SUMIF('Ramp Up Plan'!$3:$3,DI2,'Ramp Up Plan'!96:96)</f>
        <v>86400</v>
      </c>
      <c r="DJ6" s="25">
        <f>SUMIF('Ramp Up Plan'!$3:$3,DJ2,'Ramp Up Plan'!96:96)</f>
        <v>98496</v>
      </c>
      <c r="DK6" s="25">
        <f>SUMIF('Ramp Up Plan'!$3:$3,DK2,'Ramp Up Plan'!96:96)</f>
        <v>98496</v>
      </c>
      <c r="DL6" s="25">
        <f>SUMIF('Ramp Up Plan'!$3:$3,DL2,'Ramp Up Plan'!96:96)</f>
        <v>98496</v>
      </c>
      <c r="DM6" s="25">
        <f>SUMIF('Ramp Up Plan'!$3:$3,DM2,'Ramp Up Plan'!96:96)</f>
        <v>98496</v>
      </c>
      <c r="DN6" s="25">
        <f>SUMIF('Ramp Up Plan'!$3:$3,DN2,'Ramp Up Plan'!96:96)</f>
        <v>98496</v>
      </c>
      <c r="DO6" s="25">
        <f>SUMIF('Ramp Up Plan'!$3:$3,DO2,'Ramp Up Plan'!96:96)</f>
        <v>98496</v>
      </c>
      <c r="DP6" s="25">
        <f>SUMIF('Ramp Up Plan'!$3:$3,DP2,'Ramp Up Plan'!96:96)</f>
        <v>98496</v>
      </c>
      <c r="DQ6" s="25">
        <f>SUMIF('Ramp Up Plan'!$3:$3,DQ2,'Ramp Up Plan'!96:96)</f>
        <v>98496</v>
      </c>
      <c r="DR6" s="25">
        <f>SUMIF('Ramp Up Plan'!$3:$3,DR2,'Ramp Up Plan'!96:96)</f>
        <v>98496</v>
      </c>
      <c r="DS6" s="25">
        <f>SUMIF('Ramp Up Plan'!$3:$3,DS2,'Ramp Up Plan'!96:96)</f>
        <v>98496</v>
      </c>
      <c r="DT6" s="25">
        <f>SUMIF('Ramp Up Plan'!$3:$3,DT2,'Ramp Up Plan'!96:96)</f>
        <v>98496</v>
      </c>
      <c r="DU6" s="25">
        <f>SUMIF('Ramp Up Plan'!$3:$3,DU2,'Ramp Up Plan'!96:96)</f>
        <v>98496</v>
      </c>
      <c r="DV6" s="25">
        <f>SUMIF('Ramp Up Plan'!$3:$3,DV2,'Ramp Up Plan'!96:96)</f>
        <v>98496</v>
      </c>
      <c r="DW6" s="25">
        <f>SUMIF('Ramp Up Plan'!$3:$3,DW2,'Ramp Up Plan'!96:96)</f>
        <v>98496</v>
      </c>
      <c r="DX6" s="25">
        <f>SUMIF('Ramp Up Plan'!$3:$3,DX2,'Ramp Up Plan'!96:96)</f>
        <v>98496</v>
      </c>
      <c r="DY6" s="25">
        <f>SUMIF('Ramp Up Plan'!$3:$3,DY2,'Ramp Up Plan'!96:96)</f>
        <v>98496</v>
      </c>
      <c r="DZ6" s="25">
        <f>SUMIF('Ramp Up Plan'!$3:$3,DZ2,'Ramp Up Plan'!96:96)</f>
        <v>98496</v>
      </c>
      <c r="EA6" s="25">
        <f>SUMIF('Ramp Up Plan'!$3:$3,EA2,'Ramp Up Plan'!96:96)</f>
        <v>98496</v>
      </c>
      <c r="EB6" s="25">
        <f>SUMIF('Ramp Up Plan'!$3:$3,EB2,'Ramp Up Plan'!96:96)</f>
        <v>98496</v>
      </c>
      <c r="EC6" s="25">
        <f>SUMIF('Ramp Up Plan'!$3:$3,EC2,'Ramp Up Plan'!96:96)</f>
        <v>103680</v>
      </c>
      <c r="ED6" s="25">
        <f>SUMIF('Ramp Up Plan'!$3:$3,ED2,'Ramp Up Plan'!96:96)</f>
        <v>103680</v>
      </c>
      <c r="EE6" s="25">
        <f>SUMIF('Ramp Up Plan'!$3:$3,EE2,'Ramp Up Plan'!96:96)</f>
        <v>103680</v>
      </c>
      <c r="EF6" s="25">
        <f>SUMIF('Ramp Up Plan'!$3:$3,EF2,'Ramp Up Plan'!96:96)</f>
        <v>103680</v>
      </c>
      <c r="EG6" s="25">
        <f>SUMIF('Ramp Up Plan'!$3:$3,EG2,'Ramp Up Plan'!96:96)</f>
        <v>103680</v>
      </c>
      <c r="EH6" s="25">
        <f>SUMIF('Ramp Up Plan'!$3:$3,EH2,'Ramp Up Plan'!96:96)</f>
        <v>103680</v>
      </c>
      <c r="EI6" s="25">
        <f>SUMIF('Ramp Up Plan'!$3:$3,EI2,'Ramp Up Plan'!96:96)</f>
        <v>103680</v>
      </c>
      <c r="EJ6" s="25">
        <f>SUMIF('Ramp Up Plan'!$3:$3,EJ2,'Ramp Up Plan'!96:96)</f>
        <v>103680</v>
      </c>
      <c r="EK6" s="25">
        <f>SUMIF('Ramp Up Plan'!$3:$3,EK2,'Ramp Up Plan'!96:96)</f>
        <v>103680</v>
      </c>
      <c r="EL6" s="25">
        <f>SUMIF('Ramp Up Plan'!$3:$3,EL2,'Ramp Up Plan'!96:96)</f>
        <v>103680</v>
      </c>
      <c r="EM6" s="25">
        <f>SUMIF('Ramp Up Plan'!$3:$3,EM2,'Ramp Up Plan'!96:96)</f>
        <v>103680</v>
      </c>
      <c r="EN6" s="25">
        <f>SUMIF('Ramp Up Plan'!$3:$3,EN2,'Ramp Up Plan'!96:96)</f>
        <v>103680</v>
      </c>
      <c r="EO6" s="25">
        <f>SUMIF('Ramp Up Plan'!$3:$3,EO2,'Ramp Up Plan'!96:96)</f>
        <v>103680</v>
      </c>
      <c r="EP6" s="25">
        <f>SUMIF('Ramp Up Plan'!$3:$3,EP2,'Ramp Up Plan'!96:96)</f>
        <v>103680</v>
      </c>
      <c r="EQ6" s="25">
        <f>SUMIF('Ramp Up Plan'!$3:$3,EQ2,'Ramp Up Plan'!96:96)</f>
        <v>103680</v>
      </c>
      <c r="ER6" s="25">
        <f>SUMIF('Ramp Up Plan'!$3:$3,ER2,'Ramp Up Plan'!96:96)</f>
        <v>103680</v>
      </c>
      <c r="ES6" s="25">
        <f>SUMIF('Ramp Up Plan'!$3:$3,ES2,'Ramp Up Plan'!96:96)</f>
        <v>103680</v>
      </c>
      <c r="ET6" s="25">
        <f>SUMIF('Ramp Up Plan'!$3:$3,ET2,'Ramp Up Plan'!96:96)</f>
        <v>103680</v>
      </c>
      <c r="EU6" s="25">
        <f>SUMIF('Ramp Up Plan'!$3:$3,EU2,'Ramp Up Plan'!96:96)</f>
        <v>103680</v>
      </c>
      <c r="EV6" s="25">
        <f>SUMIF('Ramp Up Plan'!$3:$3,EV2,'Ramp Up Plan'!96:96)</f>
        <v>103680</v>
      </c>
      <c r="EW6" s="25">
        <f>SUMIF('Ramp Up Plan'!$3:$3,EW2,'Ramp Up Plan'!96:96)</f>
        <v>103680</v>
      </c>
      <c r="EX6" s="25">
        <f>SUMIF('Ramp Up Plan'!$3:$3,EX2,'Ramp Up Plan'!96:96)</f>
        <v>103680</v>
      </c>
      <c r="EY6" s="25">
        <f>SUMIF('Ramp Up Plan'!$3:$3,EY2,'Ramp Up Plan'!96:96)</f>
        <v>103680</v>
      </c>
      <c r="EZ6" s="25">
        <f>SUMIF('Ramp Up Plan'!$3:$3,EZ2,'Ramp Up Plan'!96:96)</f>
        <v>103680</v>
      </c>
      <c r="FA6" s="25">
        <f>SUMIF('Ramp Up Plan'!$3:$3,FA2,'Ramp Up Plan'!96:96)</f>
        <v>103680</v>
      </c>
      <c r="FB6" s="25">
        <f>SUMIF('Ramp Up Plan'!$3:$3,FB2,'Ramp Up Plan'!96:96)</f>
        <v>98496</v>
      </c>
      <c r="FC6" s="25">
        <f>SUMIF('Ramp Up Plan'!$3:$3,FC2,'Ramp Up Plan'!96:96)</f>
        <v>98496</v>
      </c>
      <c r="FD6" s="25">
        <f>SUMIF('Ramp Up Plan'!$3:$3,FD2,'Ramp Up Plan'!96:96)</f>
        <v>98496</v>
      </c>
      <c r="FE6" s="25">
        <f>SUMIF('Ramp Up Plan'!$3:$3,FE2,'Ramp Up Plan'!96:96)</f>
        <v>98496</v>
      </c>
      <c r="FF6" s="25">
        <f>SUMIF('Ramp Up Plan'!$3:$3,FF2,'Ramp Up Plan'!96:96)</f>
        <v>98496</v>
      </c>
      <c r="FG6" s="25">
        <f>SUMIF('Ramp Up Plan'!$3:$3,FG2,'Ramp Up Plan'!96:96)</f>
        <v>98496</v>
      </c>
      <c r="FH6" s="25">
        <f>SUMIF('Ramp Up Plan'!$3:$3,FH2,'Ramp Up Plan'!96:96)</f>
        <v>98496</v>
      </c>
      <c r="FI6" s="25">
        <f>SUMIF('Ramp Up Plan'!$3:$3,FI2,'Ramp Up Plan'!96:96)</f>
        <v>98496</v>
      </c>
      <c r="FJ6" s="25">
        <f>SUMIF('Ramp Up Plan'!$3:$3,FJ2,'Ramp Up Plan'!96:96)</f>
        <v>98496</v>
      </c>
      <c r="FK6" s="25">
        <f>SUMIF('Ramp Up Plan'!$3:$3,FK2,'Ramp Up Plan'!96:96)</f>
        <v>98496</v>
      </c>
      <c r="FL6" s="25">
        <f>SUMIF('Ramp Up Plan'!$3:$3,FL2,'Ramp Up Plan'!96:96)</f>
        <v>98496</v>
      </c>
      <c r="FM6" s="25">
        <f>SUMIF('Ramp Up Plan'!$3:$3,FM2,'Ramp Up Plan'!96:96)</f>
        <v>98496</v>
      </c>
      <c r="FN6" s="25">
        <f>SUMIF('Ramp Up Plan'!$3:$3,FN2,'Ramp Up Plan'!96:96)</f>
        <v>98496</v>
      </c>
      <c r="FO6" s="25">
        <f>SUMIF('Ramp Up Plan'!$3:$3,FO2,'Ramp Up Plan'!96:96)</f>
        <v>98496</v>
      </c>
      <c r="FP6" s="25">
        <f>SUMIF('Ramp Up Plan'!$3:$3,FP2,'Ramp Up Plan'!96:96)</f>
        <v>98496</v>
      </c>
      <c r="FQ6" s="25">
        <f>SUMIF('Ramp Up Plan'!$3:$3,FQ2,'Ramp Up Plan'!96:96)</f>
        <v>98496</v>
      </c>
      <c r="FR6" s="25">
        <f>SUMIF('Ramp Up Plan'!$3:$3,FR2,'Ramp Up Plan'!96:96)</f>
        <v>98496</v>
      </c>
      <c r="FS6" s="25">
        <f>SUMIF('Ramp Up Plan'!$3:$3,FS2,'Ramp Up Plan'!96:96)</f>
        <v>98496</v>
      </c>
      <c r="FT6" s="25">
        <f>SUMIF('Ramp Up Plan'!$3:$3,FT2,'Ramp Up Plan'!96:96)</f>
        <v>98496</v>
      </c>
      <c r="FU6" s="25">
        <f>SUMIF('Ramp Up Plan'!$3:$3,FU2,'Ramp Up Plan'!96:96)</f>
        <v>98496</v>
      </c>
      <c r="FV6" s="25">
        <f>SUMIF('Ramp Up Plan'!$3:$3,FV2,'Ramp Up Plan'!96:96)</f>
        <v>98496</v>
      </c>
      <c r="FW6" s="25">
        <f>SUMIF('Ramp Up Plan'!$3:$3,FW2,'Ramp Up Plan'!96:96)</f>
        <v>98496</v>
      </c>
      <c r="FX6" s="25">
        <f>SUMIF('Ramp Up Plan'!$3:$3,FX2,'Ramp Up Plan'!96:96)</f>
        <v>98496</v>
      </c>
      <c r="FY6" s="25">
        <f>SUMIF('Ramp Up Plan'!$3:$3,FY2,'Ramp Up Plan'!96:96)</f>
        <v>98496</v>
      </c>
      <c r="FZ6" s="25">
        <f>SUMIF('Ramp Up Plan'!$3:$3,FZ2,'Ramp Up Plan'!96:96)</f>
        <v>98496</v>
      </c>
      <c r="GA6" s="25">
        <f>SUMIF('Ramp Up Plan'!$3:$3,GA2,'Ramp Up Plan'!96:96)</f>
        <v>98496</v>
      </c>
      <c r="GB6" s="25">
        <f>SUMIF('Ramp Up Plan'!$3:$3,GB2,'Ramp Up Plan'!96:96)</f>
        <v>98496</v>
      </c>
      <c r="GC6" s="25">
        <f>SUMIF('Ramp Up Plan'!$3:$3,GC2,'Ramp Up Plan'!96:96)</f>
        <v>98496</v>
      </c>
      <c r="GD6" s="25">
        <f>SUMIF('Ramp Up Plan'!$3:$3,GD2,'Ramp Up Plan'!96:96)</f>
        <v>98496</v>
      </c>
      <c r="GE6" s="25">
        <f>SUMIF('Ramp Up Plan'!$3:$3,GE2,'Ramp Up Plan'!96:96)</f>
        <v>98496</v>
      </c>
      <c r="GF6" s="25">
        <f>SUMIF('Ramp Up Plan'!$3:$3,GF2,'Ramp Up Plan'!96:96)</f>
        <v>98496</v>
      </c>
      <c r="GG6" s="25">
        <f>SUMIF('Ramp Up Plan'!$3:$3,GG2,'Ramp Up Plan'!96:96)</f>
        <v>98496</v>
      </c>
      <c r="GH6" s="25">
        <f>SUMIF('Ramp Up Plan'!$3:$3,GH2,'Ramp Up Plan'!96:96)</f>
        <v>98496</v>
      </c>
      <c r="GI6" s="25">
        <f>SUMIF('Ramp Up Plan'!$3:$3,GI2,'Ramp Up Plan'!96:96)</f>
        <v>98496</v>
      </c>
      <c r="GJ6" s="25">
        <f>SUMIF('Ramp Up Plan'!$3:$3,GJ2,'Ramp Up Plan'!96:96)</f>
        <v>98496</v>
      </c>
      <c r="GK6" s="25">
        <f>SUMIF('Ramp Up Plan'!$3:$3,GK2,'Ramp Up Plan'!96:96)</f>
        <v>98496</v>
      </c>
    </row>
    <row r="7" spans="1:195" s="30" customFormat="1" x14ac:dyDescent="0.35">
      <c r="A7" s="29" t="s">
        <v>185</v>
      </c>
      <c r="B7" s="107">
        <f t="shared" ref="B7:E7" si="8">+B6</f>
        <v>0</v>
      </c>
      <c r="C7" s="107">
        <f t="shared" si="8"/>
        <v>0</v>
      </c>
      <c r="D7" s="107">
        <f t="shared" si="8"/>
        <v>0</v>
      </c>
      <c r="E7" s="107">
        <f t="shared" si="8"/>
        <v>0</v>
      </c>
      <c r="F7" s="107"/>
      <c r="G7" s="107"/>
      <c r="H7" s="107"/>
      <c r="I7" s="107"/>
      <c r="J7" s="107"/>
      <c r="K7" s="107"/>
      <c r="L7" s="107"/>
      <c r="M7" s="107"/>
      <c r="N7" s="107"/>
      <c r="O7" s="107"/>
      <c r="P7" s="107"/>
      <c r="Q7" s="107"/>
      <c r="R7" s="107"/>
      <c r="S7" s="107"/>
      <c r="T7" s="107"/>
      <c r="U7" s="107"/>
      <c r="V7" s="107"/>
      <c r="W7" s="107"/>
      <c r="X7" s="107"/>
      <c r="Y7" s="107"/>
      <c r="Z7" s="107"/>
      <c r="AA7" s="107"/>
      <c r="AB7" s="107"/>
      <c r="AC7" s="107"/>
      <c r="AD7" s="107"/>
      <c r="AE7" s="107"/>
      <c r="AF7" s="107"/>
      <c r="AG7" s="107"/>
      <c r="AH7" s="107"/>
      <c r="AI7" s="107"/>
      <c r="AJ7" s="107"/>
      <c r="AK7" s="107"/>
      <c r="AL7" s="107"/>
      <c r="AM7" s="107"/>
      <c r="AN7" s="107"/>
      <c r="AO7" s="107"/>
      <c r="AP7" s="107"/>
      <c r="AQ7" s="107"/>
      <c r="AR7" s="107"/>
      <c r="AS7" s="107"/>
      <c r="AT7" s="107"/>
      <c r="AU7" s="107"/>
      <c r="AV7" s="107"/>
      <c r="AW7" s="107"/>
      <c r="AX7" s="107"/>
      <c r="AY7" s="107"/>
      <c r="AZ7" s="107"/>
      <c r="BA7" s="107"/>
      <c r="BB7" s="107"/>
      <c r="BC7" s="107"/>
      <c r="BD7" s="107"/>
      <c r="BE7" s="107"/>
      <c r="BF7" s="107"/>
      <c r="BG7" s="107"/>
      <c r="BH7" s="107"/>
      <c r="BI7" s="107"/>
      <c r="BJ7" s="107"/>
      <c r="BK7" s="107"/>
      <c r="BL7" s="107"/>
      <c r="BM7" s="107"/>
      <c r="BN7" s="107"/>
      <c r="BO7" s="107"/>
      <c r="BP7" s="107"/>
      <c r="BQ7" s="107"/>
      <c r="BR7" s="107"/>
      <c r="BS7" s="107"/>
      <c r="BT7" s="107"/>
      <c r="BU7" s="107"/>
      <c r="BV7" s="107"/>
      <c r="BW7" s="107"/>
      <c r="BX7" s="107"/>
      <c r="BY7" s="107"/>
      <c r="BZ7" s="107"/>
      <c r="CA7" s="107"/>
      <c r="CB7" s="107"/>
      <c r="CC7" s="107"/>
      <c r="CD7" s="107"/>
      <c r="CE7" s="107"/>
      <c r="CF7" s="107"/>
      <c r="CG7" s="107"/>
      <c r="CH7" s="107"/>
      <c r="CI7" s="107"/>
      <c r="CJ7" s="107"/>
      <c r="CK7" s="107"/>
      <c r="CL7" s="107"/>
      <c r="CM7" s="107"/>
      <c r="CN7" s="107"/>
      <c r="CO7" s="107"/>
      <c r="CP7" s="107">
        <f>SUMIF('New Plant SD Plan'!$A:$A,CP4,'New Plant SD Plan'!$E:$E)</f>
        <v>80000</v>
      </c>
      <c r="CQ7" s="107">
        <f>SUMIF('New Plant SD Plan'!$A:$A,CQ4,'New Plant SD Plan'!$E:$E)</f>
        <v>80000</v>
      </c>
      <c r="CR7" s="107">
        <f>SUMIF('New Plant SD Plan'!$A:$A,CR4,'New Plant SD Plan'!$E:$E)</f>
        <v>80000</v>
      </c>
      <c r="CS7" s="107">
        <f>SUMIF('New Plant SD Plan'!$A:$A,CS4,'New Plant SD Plan'!$E:$E)</f>
        <v>80000</v>
      </c>
      <c r="CT7" s="107">
        <f>SUMIF('New Plant SD Plan'!$A:$A,CT4,'New Plant SD Plan'!$E:$E)</f>
        <v>0</v>
      </c>
      <c r="CU7" s="107">
        <f>SUMIF('New Plant SD Plan'!$A:$A,CU4,'New Plant SD Plan'!$E:$E)</f>
        <v>80000</v>
      </c>
      <c r="CV7" s="107">
        <f>SUMIF('New Plant SD Plan'!$A:$A,CV4,'New Plant SD Plan'!$E:$E)</f>
        <v>80000</v>
      </c>
      <c r="CW7" s="107">
        <f>SUMIF('New Plant SD Plan'!$A:$A,CW4,'New Plant SD Plan'!$E:$E)</f>
        <v>80000</v>
      </c>
      <c r="CX7" s="107">
        <f>SUMIF('New Plant SD Plan'!$A:$A,CX4,'New Plant SD Plan'!$E:$E)</f>
        <v>80000</v>
      </c>
      <c r="CY7" s="107">
        <f>SUMIF('New Plant SD Plan'!$A:$A,CY4,'New Plant SD Plan'!$E:$E)</f>
        <v>0</v>
      </c>
      <c r="CZ7" s="107">
        <f>SUMIF('New Plant SD Plan'!$A:$A,CZ4,'New Plant SD Plan'!$E:$E)</f>
        <v>80000</v>
      </c>
      <c r="DA7" s="107">
        <f>SUMIF('New Plant SD Plan'!$A:$A,DA4,'New Plant SD Plan'!$E:$E)</f>
        <v>80000</v>
      </c>
      <c r="DB7" s="107">
        <f>SUMIF('New Plant SD Plan'!$A:$A,DB4,'New Plant SD Plan'!$E:$E)</f>
        <v>0</v>
      </c>
      <c r="DC7" s="107">
        <f>SUMIF('New Plant SD Plan'!$A:$A,DC4,'New Plant SD Plan'!$E:$E)</f>
        <v>0</v>
      </c>
      <c r="DD7" s="107">
        <f>SUMIF('New Plant SD Plan'!$A:$A,DD4,'New Plant SD Plan'!$E:$E)</f>
        <v>0</v>
      </c>
      <c r="DE7" s="107">
        <f>SUMIF('New Plant SD Plan'!$A:$A,DE4,'New Plant SD Plan'!$E:$E)</f>
        <v>80000</v>
      </c>
      <c r="DF7" s="107">
        <f>SUMIF('New Plant SD Plan'!$A:$A,DF4,'New Plant SD Plan'!$E:$E)</f>
        <v>80000</v>
      </c>
      <c r="DG7" s="107">
        <f>SUMIF('New Plant SD Plan'!$A:$A,DG4,'New Plant SD Plan'!$E:$E)</f>
        <v>80000</v>
      </c>
      <c r="DH7" s="107">
        <f>SUMIF('New Plant SD Plan'!$A:$A,DH4,'New Plant SD Plan'!$E:$E)</f>
        <v>80000</v>
      </c>
      <c r="DI7" s="107">
        <f>SUMIF('New Plant SD Plan'!$A:$A,DI4,'New Plant SD Plan'!$E:$E)</f>
        <v>0</v>
      </c>
      <c r="DJ7" s="107">
        <f>SUMIF('New Plant SD Plan'!$A:$A,DJ4,'New Plant SD Plan'!$E:$E)</f>
        <v>0</v>
      </c>
      <c r="DK7" s="107">
        <f>SUMIF('New Plant SD Plan'!$A:$A,DK4,'New Plant SD Plan'!$E:$E)</f>
        <v>120000</v>
      </c>
      <c r="DL7" s="107">
        <f>SUMIF('New Plant SD Plan'!$A:$A,DL4,'New Plant SD Plan'!$E:$E)</f>
        <v>120000</v>
      </c>
      <c r="DM7" s="107">
        <f>SUMIF('New Plant SD Plan'!$A:$A,DM4,'New Plant SD Plan'!$E:$E)</f>
        <v>120000</v>
      </c>
      <c r="DN7" s="107">
        <f>SUMIF('New Plant SD Plan'!$A:$A,DN4,'New Plant SD Plan'!$E:$E)</f>
        <v>0</v>
      </c>
      <c r="DO7" s="107">
        <f>SUMIF('New Plant SD Plan'!$A:$A,DO4,'New Plant SD Plan'!$E:$E)</f>
        <v>120000</v>
      </c>
      <c r="DP7" s="107">
        <f>SUMIF('New Plant SD Plan'!$A:$A,DP4,'New Plant SD Plan'!$E:$E)</f>
        <v>120000</v>
      </c>
      <c r="DQ7" s="107">
        <f>SUMIF('New Plant SD Plan'!$A:$A,DQ4,'New Plant SD Plan'!$E:$E)</f>
        <v>120000</v>
      </c>
      <c r="DR7" s="107">
        <f>SUMIF('New Plant SD Plan'!$A:$A,DR4,'New Plant SD Plan'!$E:$E)</f>
        <v>0</v>
      </c>
      <c r="DS7" s="107">
        <f>SUMIF('New Plant SD Plan'!$A:$A,DS4,'New Plant SD Plan'!$E:$E)</f>
        <v>120000</v>
      </c>
      <c r="DT7" s="107">
        <f>SUMIF('New Plant SD Plan'!$A:$A,DT4,'New Plant SD Plan'!$E:$E)</f>
        <v>120000</v>
      </c>
      <c r="DU7" s="107">
        <f>SUMIF('New Plant SD Plan'!$A:$A,DU4,'New Plant SD Plan'!$E:$E)</f>
        <v>120000</v>
      </c>
      <c r="DV7" s="107">
        <f>SUMIF('New Plant SD Plan'!$A:$A,DV4,'New Plant SD Plan'!$E:$E)</f>
        <v>120000</v>
      </c>
      <c r="DW7" s="107">
        <f>SUMIF('New Plant SD Plan'!$A:$A,DW4,'New Plant SD Plan'!$E:$E)</f>
        <v>120000</v>
      </c>
      <c r="DX7" s="107">
        <f>SUMIF('New Plant SD Plan'!$A:$A,DX4,'New Plant SD Plan'!$E:$E)</f>
        <v>120000</v>
      </c>
      <c r="DY7" s="107">
        <f>SUMIF('New Plant SD Plan'!$A:$A,DY4,'New Plant SD Plan'!$E:$E)</f>
        <v>120000</v>
      </c>
      <c r="DZ7" s="107">
        <f>SUMIF('New Plant SD Plan'!$A:$A,DZ4,'New Plant SD Plan'!$E:$E)</f>
        <v>120000</v>
      </c>
      <c r="EA7" s="107">
        <f>SUMIF('New Plant SD Plan'!$A:$A,EA4,'New Plant SD Plan'!$E:$E)</f>
        <v>120000</v>
      </c>
      <c r="EB7" s="107">
        <f>SUMIF('New Plant SD Plan'!$A:$A,EB4,'New Plant SD Plan'!$E:$E)</f>
        <v>120000</v>
      </c>
      <c r="EC7" s="107">
        <f>SUMIF('New Plant SD Plan'!$A:$A,EC4,'New Plant SD Plan'!$E:$E)</f>
        <v>120000</v>
      </c>
      <c r="ED7" s="107">
        <f>SUMIF('New Plant SD Plan'!$A:$A,ED4,'New Plant SD Plan'!$E:$E)</f>
        <v>120000</v>
      </c>
      <c r="EE7" s="107">
        <f>SUMIF('New Plant SD Plan'!$A:$A,EE4,'New Plant SD Plan'!$E:$E)</f>
        <v>120000</v>
      </c>
      <c r="EF7" s="107">
        <f>SUMIF('New Plant SD Plan'!$A:$A,EF4,'New Plant SD Plan'!$E:$E)</f>
        <v>120000</v>
      </c>
      <c r="EG7" s="107">
        <f>SUMIF('New Plant SD Plan'!$A:$A,EG4,'New Plant SD Plan'!$E:$E)</f>
        <v>120000</v>
      </c>
      <c r="EH7" s="107">
        <f>SUMIF('New Plant SD Plan'!$A:$A,EH4,'New Plant SD Plan'!$E:$E)</f>
        <v>120000</v>
      </c>
      <c r="EI7" s="107">
        <f>SUMIF('New Plant SD Plan'!$A:$A,EI4,'New Plant SD Plan'!$E:$E)</f>
        <v>120000</v>
      </c>
      <c r="EJ7" s="107">
        <f>SUMIF('New Plant SD Plan'!$A:$A,EJ4,'New Plant SD Plan'!$E:$E)</f>
        <v>120000</v>
      </c>
      <c r="EK7" s="107">
        <f>SUMIF('New Plant SD Plan'!$A:$A,EK4,'New Plant SD Plan'!$E:$E)</f>
        <v>120000</v>
      </c>
      <c r="EL7" s="107">
        <f>SUMIF('New Plant SD Plan'!$A:$A,EL4,'New Plant SD Plan'!$E:$E)</f>
        <v>120000</v>
      </c>
      <c r="EM7" s="107">
        <f>SUMIF('New Plant SD Plan'!$A:$A,EM4,'New Plant SD Plan'!$E:$E)</f>
        <v>120000</v>
      </c>
      <c r="EN7" s="107">
        <f>SUMIF('New Plant SD Plan'!$A:$A,EN4,'New Plant SD Plan'!$E:$E)</f>
        <v>120000</v>
      </c>
      <c r="EO7" s="107">
        <f>SUMIF('New Plant SD Plan'!$A:$A,EO4,'New Plant SD Plan'!$E:$E)</f>
        <v>120000</v>
      </c>
      <c r="EP7" s="107">
        <f>SUMIF('New Plant SD Plan'!$A:$A,EP4,'New Plant SD Plan'!$E:$E)</f>
        <v>120000</v>
      </c>
      <c r="EQ7" s="107">
        <f>SUMIF('New Plant SD Plan'!$A:$A,EQ4,'New Plant SD Plan'!$E:$E)</f>
        <v>120000</v>
      </c>
      <c r="ER7" s="107">
        <f>SUMIF('New Plant SD Plan'!$A:$A,ER4,'New Plant SD Plan'!$E:$E)</f>
        <v>120000</v>
      </c>
      <c r="ES7" s="107">
        <f>SUMIF('New Plant SD Plan'!$A:$A,ES4,'New Plant SD Plan'!$E:$E)</f>
        <v>120000</v>
      </c>
      <c r="ET7" s="107">
        <f>SUMIF('New Plant SD Plan'!$A:$A,ET4,'New Plant SD Plan'!$E:$E)</f>
        <v>120000</v>
      </c>
      <c r="EU7" s="107">
        <f>SUMIF('New Plant SD Plan'!$A:$A,EU4,'New Plant SD Plan'!$E:$E)</f>
        <v>120000</v>
      </c>
      <c r="EV7" s="107">
        <f>SUMIF('New Plant SD Plan'!$A:$A,EV4,'New Plant SD Plan'!$E:$E)</f>
        <v>120000</v>
      </c>
      <c r="EW7" s="107">
        <f>SUMIF('New Plant SD Plan'!$A:$A,EW4,'New Plant SD Plan'!$E:$E)</f>
        <v>120000</v>
      </c>
      <c r="EX7" s="107">
        <f>SUMIF('New Plant SD Plan'!$A:$A,EX4,'New Plant SD Plan'!$E:$E)</f>
        <v>120000</v>
      </c>
      <c r="EY7" s="107">
        <f>SUMIF('New Plant SD Plan'!$A:$A,EY4,'New Plant SD Plan'!$E:$E)</f>
        <v>120000</v>
      </c>
      <c r="EZ7" s="107">
        <f>SUMIF('New Plant SD Plan'!$A:$A,EZ4,'New Plant SD Plan'!$E:$E)</f>
        <v>120000</v>
      </c>
      <c r="FA7" s="107">
        <f>SUMIF('New Plant SD Plan'!$A:$A,FA4,'New Plant SD Plan'!$E:$E)</f>
        <v>120000</v>
      </c>
      <c r="FB7" s="107">
        <f>SUMIF('New Plant SD Plan'!$A:$A,FB4,'New Plant SD Plan'!$E:$E)</f>
        <v>160000</v>
      </c>
      <c r="FC7" s="107">
        <f>SUMIF('New Plant SD Plan'!$A:$A,FC4,'New Plant SD Plan'!$E:$E)</f>
        <v>160000</v>
      </c>
      <c r="FD7" s="107">
        <f>SUMIF('New Plant SD Plan'!$A:$A,FD4,'New Plant SD Plan'!$E:$E)</f>
        <v>160000</v>
      </c>
      <c r="FE7" s="107">
        <f>SUMIF('New Plant SD Plan'!$A:$A,FE4,'New Plant SD Plan'!$E:$E)</f>
        <v>160000</v>
      </c>
      <c r="FF7" s="107">
        <f>SUMIF('New Plant SD Plan'!$A:$A,FF4,'New Plant SD Plan'!$E:$E)</f>
        <v>160000</v>
      </c>
      <c r="FG7" s="107">
        <f>SUMIF('New Plant SD Plan'!$A:$A,FG4,'New Plant SD Plan'!$E:$E)</f>
        <v>160000</v>
      </c>
      <c r="FH7" s="107">
        <f>SUMIF('New Plant SD Plan'!$A:$A,FH4,'New Plant SD Plan'!$E:$E)</f>
        <v>160000</v>
      </c>
      <c r="FI7" s="107">
        <f>SUMIF('New Plant SD Plan'!$A:$A,FI4,'New Plant SD Plan'!$E:$E)</f>
        <v>160000</v>
      </c>
      <c r="FJ7" s="107">
        <f>SUMIF('New Plant SD Plan'!$A:$A,FJ4,'New Plant SD Plan'!$E:$E)</f>
        <v>160000</v>
      </c>
      <c r="FK7" s="107">
        <f>SUMIF('New Plant SD Plan'!$A:$A,FK4,'New Plant SD Plan'!$E:$E)</f>
        <v>160000</v>
      </c>
      <c r="FL7" s="107">
        <f>SUMIF('New Plant SD Plan'!$A:$A,FL4,'New Plant SD Plan'!$E:$E)</f>
        <v>160000</v>
      </c>
      <c r="FM7" s="107">
        <f>SUMIF('New Plant SD Plan'!$A:$A,FM4,'New Plant SD Plan'!$E:$E)</f>
        <v>160000</v>
      </c>
      <c r="FN7" s="107">
        <f>SUMIF('New Plant SD Plan'!$A:$A,FN4,'New Plant SD Plan'!$E:$E)</f>
        <v>160000</v>
      </c>
      <c r="FO7" s="107">
        <f>SUMIF('New Plant SD Plan'!$A:$A,FO4,'New Plant SD Plan'!$E:$E)</f>
        <v>160000</v>
      </c>
      <c r="FP7" s="107">
        <f>SUMIF('New Plant SD Plan'!$A:$A,FP4,'New Plant SD Plan'!$E:$E)</f>
        <v>160000</v>
      </c>
      <c r="FQ7" s="107">
        <f>SUMIF('New Plant SD Plan'!$A:$A,FQ4,'New Plant SD Plan'!$E:$E)</f>
        <v>160000</v>
      </c>
      <c r="FR7" s="107">
        <f>SUMIF('New Plant SD Plan'!$A:$A,FR4,'New Plant SD Plan'!$E:$E)</f>
        <v>160000</v>
      </c>
      <c r="FS7" s="107">
        <f>SUMIF('New Plant SD Plan'!$A:$A,FS4,'New Plant SD Plan'!$E:$E)</f>
        <v>160000</v>
      </c>
      <c r="FT7" s="107">
        <f>SUMIF('New Plant SD Plan'!$A:$A,FT4,'New Plant SD Plan'!$E:$E)</f>
        <v>160000</v>
      </c>
      <c r="FU7" s="107">
        <f>SUMIF('New Plant SD Plan'!$A:$A,FU4,'New Plant SD Plan'!$E:$E)</f>
        <v>160000</v>
      </c>
      <c r="FV7" s="107">
        <f>SUMIF('New Plant SD Plan'!$A:$A,FV4,'New Plant SD Plan'!$E:$E)</f>
        <v>160000</v>
      </c>
      <c r="FW7" s="107">
        <f>SUMIF('New Plant SD Plan'!$A:$A,FW4,'New Plant SD Plan'!$E:$E)</f>
        <v>160000</v>
      </c>
      <c r="FX7" s="107">
        <f>SUMIF('New Plant SD Plan'!$A:$A,FX4,'New Plant SD Plan'!$E:$E)</f>
        <v>160000</v>
      </c>
      <c r="FY7" s="107">
        <f>SUMIF('New Plant SD Plan'!$A:$A,FY4,'New Plant SD Plan'!$E:$E)</f>
        <v>160000</v>
      </c>
      <c r="FZ7" s="107">
        <f>SUMIF('New Plant SD Plan'!$A:$A,FZ4,'New Plant SD Plan'!$E:$E)</f>
        <v>160000</v>
      </c>
      <c r="GA7" s="107">
        <f>SUMIF('New Plant SD Plan'!$A:$A,GA4,'New Plant SD Plan'!$E:$E)</f>
        <v>160000</v>
      </c>
      <c r="GB7" s="107">
        <f>SUMIF('New Plant SD Plan'!$A:$A,GB4,'New Plant SD Plan'!$E:$E)</f>
        <v>160000</v>
      </c>
      <c r="GC7" s="107">
        <f>SUMIF('New Plant SD Plan'!$A:$A,GC4,'New Plant SD Plan'!$E:$E)</f>
        <v>160000</v>
      </c>
      <c r="GD7" s="107">
        <f>SUMIF('New Plant SD Plan'!$A:$A,GD4,'New Plant SD Plan'!$E:$E)</f>
        <v>160000</v>
      </c>
      <c r="GE7" s="107">
        <f>SUMIF('New Plant SD Plan'!$A:$A,GE4,'New Plant SD Plan'!$E:$E)</f>
        <v>160000</v>
      </c>
      <c r="GF7" s="107">
        <f>SUMIF('New Plant SD Plan'!$A:$A,GF4,'New Plant SD Plan'!$E:$E)</f>
        <v>160000</v>
      </c>
      <c r="GG7" s="107">
        <f>SUMIF('New Plant SD Plan'!$A:$A,GG4,'New Plant SD Plan'!$E:$E)</f>
        <v>160000</v>
      </c>
      <c r="GH7" s="107">
        <f>SUMIF('New Plant SD Plan'!$A:$A,GH4,'New Plant SD Plan'!$E:$E)</f>
        <v>160000</v>
      </c>
      <c r="GI7" s="107">
        <f>SUMIF('New Plant SD Plan'!$A:$A,GI4,'New Plant SD Plan'!$E:$E)</f>
        <v>160000</v>
      </c>
      <c r="GJ7" s="107">
        <f>SUMIF('New Plant SD Plan'!$A:$A,GJ4,'New Plant SD Plan'!$E:$E)</f>
        <v>160000</v>
      </c>
      <c r="GK7" s="107">
        <f>SUMIF('New Plant SD Plan'!$A:$A,GK4,'New Plant SD Plan'!$E:$E)</f>
        <v>160000</v>
      </c>
    </row>
    <row r="8" spans="1:195" x14ac:dyDescent="0.35">
      <c r="A8" s="31"/>
      <c r="B8" s="106"/>
      <c r="C8" s="106"/>
      <c r="D8" s="106"/>
      <c r="E8" s="106"/>
      <c r="F8" s="106"/>
      <c r="G8" s="106"/>
      <c r="H8" s="106"/>
      <c r="I8" s="106"/>
      <c r="J8" s="106"/>
      <c r="K8" s="106"/>
      <c r="L8" s="106"/>
      <c r="M8" s="106"/>
      <c r="N8" s="106"/>
      <c r="O8" s="106"/>
      <c r="P8" s="106"/>
      <c r="Q8" s="106"/>
      <c r="R8" s="106"/>
      <c r="S8" s="106"/>
      <c r="T8" s="106"/>
      <c r="U8" s="106"/>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6"/>
      <c r="BK8" s="106"/>
      <c r="BL8" s="106"/>
      <c r="BM8" s="106"/>
      <c r="BN8" s="106"/>
      <c r="BO8" s="106"/>
      <c r="BP8" s="106"/>
      <c r="BQ8" s="106"/>
      <c r="BR8" s="106"/>
      <c r="BS8" s="106"/>
      <c r="BT8" s="106"/>
      <c r="BU8" s="106"/>
      <c r="BV8" s="106"/>
      <c r="BW8" s="106"/>
      <c r="BX8" s="106"/>
      <c r="BY8" s="106"/>
      <c r="BZ8" s="106"/>
      <c r="CA8" s="106"/>
      <c r="CB8" s="106"/>
      <c r="CC8" s="106"/>
      <c r="CD8" s="106"/>
      <c r="CE8" s="106"/>
      <c r="CF8" s="106"/>
      <c r="CG8" s="106"/>
      <c r="CH8" s="106"/>
      <c r="CI8" s="106"/>
      <c r="CJ8" s="106"/>
      <c r="CK8" s="106"/>
      <c r="CL8" s="106"/>
      <c r="CM8" s="106"/>
      <c r="CN8" s="106"/>
      <c r="CO8" s="106"/>
      <c r="CP8" s="106"/>
      <c r="CQ8" s="106"/>
      <c r="CR8" s="106"/>
      <c r="CS8" s="106"/>
      <c r="CT8" s="106"/>
      <c r="CU8" s="106"/>
      <c r="CV8" s="106"/>
      <c r="CW8" s="106"/>
      <c r="CX8" s="106"/>
      <c r="CY8" s="106"/>
      <c r="CZ8" s="106"/>
      <c r="DA8" s="106"/>
      <c r="DB8" s="106"/>
      <c r="DC8" s="106"/>
      <c r="DD8" s="106"/>
      <c r="DE8" s="106"/>
      <c r="DF8" s="106"/>
      <c r="DG8" s="106"/>
      <c r="DH8" s="106"/>
      <c r="DI8" s="106"/>
      <c r="DJ8" s="106"/>
      <c r="DK8" s="106"/>
      <c r="DL8" s="106"/>
      <c r="DM8" s="106"/>
      <c r="DN8" s="106"/>
      <c r="DO8" s="106"/>
      <c r="DP8" s="106"/>
      <c r="DQ8" s="106"/>
      <c r="DR8" s="106"/>
      <c r="DS8" s="106"/>
      <c r="DT8" s="106"/>
      <c r="DU8" s="106"/>
      <c r="DV8" s="106"/>
      <c r="DW8" s="106"/>
      <c r="DX8" s="106"/>
      <c r="DY8" s="106"/>
      <c r="DZ8" s="106"/>
      <c r="EA8" s="106"/>
      <c r="EB8" s="106"/>
      <c r="EC8" s="106"/>
      <c r="ED8" s="106"/>
      <c r="EE8" s="106"/>
      <c r="EF8" s="106"/>
      <c r="EG8" s="106"/>
      <c r="EH8" s="106"/>
      <c r="EI8" s="106"/>
      <c r="EJ8" s="106"/>
      <c r="EK8" s="106"/>
      <c r="EL8" s="106"/>
      <c r="EM8" s="106"/>
      <c r="EN8" s="106"/>
      <c r="EO8" s="106"/>
      <c r="EP8" s="106"/>
      <c r="EQ8" s="106"/>
      <c r="ER8" s="106"/>
      <c r="ES8" s="106"/>
      <c r="ET8" s="106"/>
      <c r="EU8" s="106"/>
      <c r="EV8" s="106"/>
      <c r="EW8" s="106"/>
      <c r="EX8" s="106"/>
      <c r="EY8" s="106"/>
      <c r="EZ8" s="106"/>
      <c r="FA8" s="106"/>
      <c r="FB8" s="106"/>
      <c r="FC8" s="106"/>
      <c r="FD8" s="106"/>
      <c r="FE8" s="106"/>
      <c r="FF8" s="106"/>
      <c r="FG8" s="106"/>
      <c r="FH8" s="106"/>
      <c r="FI8" s="106"/>
      <c r="FJ8" s="106"/>
      <c r="FK8" s="106"/>
      <c r="FL8" s="106"/>
      <c r="FM8" s="106"/>
      <c r="FN8" s="106"/>
      <c r="FO8" s="106"/>
      <c r="FP8" s="106"/>
      <c r="FQ8" s="106"/>
      <c r="FR8" s="106"/>
      <c r="FS8" s="106"/>
      <c r="FT8" s="106"/>
      <c r="FU8" s="106"/>
      <c r="FV8" s="106"/>
      <c r="FW8" s="106"/>
      <c r="FX8" s="106"/>
      <c r="FY8" s="106"/>
      <c r="FZ8" s="106"/>
      <c r="GA8" s="106"/>
      <c r="GB8" s="106"/>
      <c r="GC8" s="106"/>
      <c r="GD8" s="106"/>
      <c r="GE8" s="106"/>
      <c r="GF8" s="106"/>
      <c r="GG8" s="106"/>
      <c r="GH8" s="106"/>
      <c r="GI8" s="106"/>
      <c r="GJ8" s="106"/>
      <c r="GK8" s="106"/>
    </row>
    <row r="9" spans="1:195" s="28" customFormat="1" x14ac:dyDescent="0.35">
      <c r="A9" s="26" t="s">
        <v>32</v>
      </c>
      <c r="B9" s="27">
        <f>SUMIF('Raw Data - Production'!$A:$A,B$4,'Raw Data - Production'!$D:$D)+SUMIF('Raw Data - Production'!$A:$A,B$4,'Raw Data - Production'!$E:$E)+SUMIF('Raw Data - Production'!$A:$A,B$4,'Raw Data - Production'!$F:$F)+SUMIF('Raw Data - Production'!$A:$A,B4,'Raw Data - Production'!$Q:$Q)</f>
        <v>10200</v>
      </c>
      <c r="C9" s="27">
        <f>SUMIF('Raw Data - Production'!$A:$A,C$4,'Raw Data - Production'!$D:$D)+SUMIF('Raw Data - Production'!$A:$A,C$4,'Raw Data - Production'!$E:$E)+SUMIF('Raw Data - Production'!$A:$A,C$4,'Raw Data - Production'!$F:$F)+SUMIF('Raw Data - Production'!$A:$A,C4,'Raw Data - Production'!$Q:$Q)</f>
        <v>23340</v>
      </c>
      <c r="D9" s="27">
        <f>SUMIF('Raw Data - Production'!$A:$A,D$4,'Raw Data - Production'!$D:$D)+SUMIF('Raw Data - Production'!$A:$A,D$4,'Raw Data - Production'!$E:$E)+SUMIF('Raw Data - Production'!$A:$A,D$4,'Raw Data - Production'!$F:$F)+SUMIF('Raw Data - Production'!$A:$A,D4,'Raw Data - Production'!$Q:$Q)</f>
        <v>9420</v>
      </c>
      <c r="E9" s="27">
        <f>SUMIF('Raw Data - Production'!$A:$A,E$4,'Raw Data - Production'!$D:$D)+SUMIF('Raw Data - Production'!$A:$A,E$4,'Raw Data - Production'!$E:$E)+SUMIF('Raw Data - Production'!$A:$A,E$4,'Raw Data - Production'!$F:$F)+SUMIF('Raw Data - Production'!$A:$A,E4,'Raw Data - Production'!$Q:$Q)</f>
        <v>33360</v>
      </c>
      <c r="F9" s="27">
        <f>SUMIF('Raw Data - Production'!$A:$A,F$4,'Raw Data - Production'!$D:$D)+SUMIF('Raw Data - Production'!$A:$A,F$4,'Raw Data - Production'!$E:$E)+SUMIF('Raw Data - Production'!$A:$A,F$4,'Raw Data - Production'!$F:$F)+SUMIF('Raw Data - Production'!$A:$A,F4,'Raw Data - Production'!$Q:$Q)</f>
        <v>34860</v>
      </c>
      <c r="G9" s="27">
        <f>SUMIF('Raw Data - Production'!$A:$A,G$4,'Raw Data - Production'!$D:$D)+SUMIF('Raw Data - Production'!$A:$A,G$4,'Raw Data - Production'!$E:$E)+SUMIF('Raw Data - Production'!$A:$A,G$4,'Raw Data - Production'!$F:$F)+SUMIF('Raw Data - Production'!$A:$A,G4,'Raw Data - Production'!$Q:$Q)</f>
        <v>33480</v>
      </c>
      <c r="H9" s="27">
        <f>SUMIF('Raw Data - Production'!$A:$A,H$4,'Raw Data - Production'!$D:$D)+SUMIF('Raw Data - Production'!$A:$A,H$4,'Raw Data - Production'!$E:$E)+SUMIF('Raw Data - Production'!$A:$A,H$4,'Raw Data - Production'!$F:$F)+SUMIF('Raw Data - Production'!$A:$A,H4,'Raw Data - Production'!$Q:$Q)</f>
        <v>52620</v>
      </c>
      <c r="I9" s="27">
        <f>SUMIF('Raw Data - Production'!$A:$A,I$4,'Raw Data - Production'!$D:$D)+SUMIF('Raw Data - Production'!$A:$A,I$4,'Raw Data - Production'!$E:$E)+SUMIF('Raw Data - Production'!$A:$A,I$4,'Raw Data - Production'!$F:$F)+SUMIF('Raw Data - Production'!$A:$A,I4,'Raw Data - Production'!$Q:$Q)</f>
        <v>34080</v>
      </c>
      <c r="J9" s="27">
        <f>SUMIF('Raw Data - Production'!$A:$A,J$4,'Raw Data - Production'!$D:$D)+SUMIF('Raw Data - Production'!$A:$A,J$4,'Raw Data - Production'!$E:$E)+SUMIF('Raw Data - Production'!$A:$A,J$4,'Raw Data - Production'!$F:$F)+SUMIF('Raw Data - Production'!$A:$A,J4,'Raw Data - Production'!$Q:$Q)</f>
        <v>0</v>
      </c>
      <c r="K9" s="27">
        <f>SUMIF('Raw Data - Production'!$A:$A,K$4,'Raw Data - Production'!$D:$D)+SUMIF('Raw Data - Production'!$A:$A,K$4,'Raw Data - Production'!$E:$E)+SUMIF('Raw Data - Production'!$A:$A,K$4,'Raw Data - Production'!$F:$F)+SUMIF('Raw Data - Production'!$A:$A,K4,'Raw Data - Production'!$Q:$Q)</f>
        <v>32220</v>
      </c>
      <c r="L9" s="27">
        <f>SUMIF('Raw Data - Production'!$A:$A,L$4,'Raw Data - Production'!$D:$D)+SUMIF('Raw Data - Production'!$A:$A,L$4,'Raw Data - Production'!$E:$E)+SUMIF('Raw Data - Production'!$A:$A,L$4,'Raw Data - Production'!$F:$F)+SUMIF('Raw Data - Production'!$A:$A,L4,'Raw Data - Production'!$Q:$Q)</f>
        <v>46380</v>
      </c>
      <c r="M9" s="27">
        <f>SUMIF('Raw Data - Production'!$A:$A,M$4,'Raw Data - Production'!$D:$D)+SUMIF('Raw Data - Production'!$A:$A,M$4,'Raw Data - Production'!$E:$E)+SUMIF('Raw Data - Production'!$A:$A,M$4,'Raw Data - Production'!$F:$F)+SUMIF('Raw Data - Production'!$A:$A,M4,'Raw Data - Production'!$Q:$Q)</f>
        <v>47220</v>
      </c>
      <c r="N9" s="27">
        <f>SUMIF('Raw Data - Production'!$A:$A,N$4,'Raw Data - Production'!$D:$D)+SUMIF('Raw Data - Production'!$A:$A,N$4,'Raw Data - Production'!$E:$E)+SUMIF('Raw Data - Production'!$A:$A,N$4,'Raw Data - Production'!$F:$F)+SUMIF('Raw Data - Production'!$A:$A,N4,'Raw Data - Production'!$Q:$Q)</f>
        <v>46020</v>
      </c>
      <c r="O9" s="27">
        <f>SUMIF('Raw Data - Production'!$A:$A,O$4,'Raw Data - Production'!$D:$D)+SUMIF('Raw Data - Production'!$A:$A,O$4,'Raw Data - Production'!$E:$E)+SUMIF('Raw Data - Production'!$A:$A,O$4,'Raw Data - Production'!$F:$F)+SUMIF('Raw Data - Production'!$A:$A,O4,'Raw Data - Production'!$Q:$Q)</f>
        <v>0</v>
      </c>
      <c r="P9" s="27">
        <f>SUMIF('Raw Data - Production'!$A:$A,P$4,'Raw Data - Production'!$D:$D)+SUMIF('Raw Data - Production'!$A:$A,P$4,'Raw Data - Production'!$E:$E)+SUMIF('Raw Data - Production'!$A:$A,P$4,'Raw Data - Production'!$F:$F)+SUMIF('Raw Data - Production'!$A:$A,P4,'Raw Data - Production'!$Q:$Q)</f>
        <v>42240</v>
      </c>
      <c r="Q9" s="27">
        <f>SUMIF('Raw Data - Production'!$A:$A,Q$4,'Raw Data - Production'!$D:$D)+SUMIF('Raw Data - Production'!$A:$A,Q$4,'Raw Data - Production'!$E:$E)+SUMIF('Raw Data - Production'!$A:$A,Q$4,'Raw Data - Production'!$F:$F)+SUMIF('Raw Data - Production'!$A:$A,Q4,'Raw Data - Production'!$Q:$Q)</f>
        <v>60962.469135802472</v>
      </c>
      <c r="R9" s="27">
        <f>SUMIF('Raw Data - Production'!$A:$A,R$4,'Raw Data - Production'!$D:$D)+SUMIF('Raw Data - Production'!$A:$A,R$4,'Raw Data - Production'!$E:$E)+SUMIF('Raw Data - Production'!$A:$A,R$4,'Raw Data - Production'!$F:$F)+SUMIF('Raw Data - Production'!$A:$A,R4,'Raw Data - Production'!$Q:$Q)</f>
        <v>78916.543209876545</v>
      </c>
      <c r="S9" s="27">
        <f>SUMIF('Raw Data - Production'!$A:$A,S$4,'Raw Data - Production'!$D:$D)+SUMIF('Raw Data - Production'!$A:$A,S$4,'Raw Data - Production'!$E:$E)+SUMIF('Raw Data - Production'!$A:$A,S$4,'Raw Data - Production'!$F:$F)+SUMIF('Raw Data - Production'!$A:$A,S4,'Raw Data - Production'!$Q:$Q)</f>
        <v>34800</v>
      </c>
      <c r="T9" s="27">
        <f>SUMIF('Raw Data - Production'!$A:$A,T$4,'Raw Data - Production'!$D:$D)+SUMIF('Raw Data - Production'!$A:$A,T$4,'Raw Data - Production'!$E:$E)+SUMIF('Raw Data - Production'!$A:$A,T$4,'Raw Data - Production'!$F:$F)+SUMIF('Raw Data - Production'!$A:$A,T4,'Raw Data - Production'!$Q:$Q)</f>
        <v>0</v>
      </c>
      <c r="U9" s="27">
        <f>SUMIF('Raw Data - Production'!$A:$A,U$4,'Raw Data - Production'!$D:$D)+SUMIF('Raw Data - Production'!$A:$A,U$4,'Raw Data - Production'!$E:$E)+SUMIF('Raw Data - Production'!$A:$A,U$4,'Raw Data - Production'!$F:$F)+SUMIF('Raw Data - Production'!$A:$A,U4,'Raw Data - Production'!$Q:$Q)</f>
        <v>61621.234567901236</v>
      </c>
      <c r="V9" s="27">
        <f>SUMIF('Raw Data - Production'!$A:$A,V$4,'Raw Data - Production'!$D:$D)+SUMIF('Raw Data - Production'!$A:$A,V$4,'Raw Data - Production'!$E:$E)+SUMIF('Raw Data - Production'!$A:$A,V$4,'Raw Data - Production'!$F:$F)+SUMIF('Raw Data - Production'!$A:$A,V4,'Raw Data - Production'!$Q:$Q)</f>
        <v>55508.641975308645</v>
      </c>
      <c r="W9" s="27">
        <f>SUMIF('Raw Data - Production'!$A:$A,W$4,'Raw Data - Production'!$D:$D)+SUMIF('Raw Data - Production'!$A:$A,W$4,'Raw Data - Production'!$E:$E)+SUMIF('Raw Data - Production'!$A:$A,W$4,'Raw Data - Production'!$F:$F)+SUMIF('Raw Data - Production'!$A:$A,W4,'Raw Data - Production'!$Q:$Q)</f>
        <v>72547.160493827163</v>
      </c>
      <c r="X9" s="27">
        <f>SUMIF('Raw Data - Production'!$A:$A,X$4,'Raw Data - Production'!$D:$D)+SUMIF('Raw Data - Production'!$A:$A,X$4,'Raw Data - Production'!$E:$E)+SUMIF('Raw Data - Production'!$A:$A,X$4,'Raw Data - Production'!$F:$F)+SUMIF('Raw Data - Production'!$A:$A,X4,'Raw Data - Production'!$Q:$Q)</f>
        <v>70200</v>
      </c>
      <c r="Y9" s="27">
        <f>SUMIF('Raw Data - Production'!$A:$A,Y$4,'Raw Data - Production'!$D:$D)+SUMIF('Raw Data - Production'!$A:$A,Y$4,'Raw Data - Production'!$E:$E)+SUMIF('Raw Data - Production'!$A:$A,Y$4,'Raw Data - Production'!$F:$F)+SUMIF('Raw Data - Production'!$A:$A,Y4,'Raw Data - Production'!$Q:$Q)</f>
        <v>0</v>
      </c>
      <c r="Z9" s="27">
        <f>SUMIF('Raw Data - Production'!$A:$A,Z$4,'Raw Data - Production'!$D:$D)+SUMIF('Raw Data - Production'!$A:$A,Z$4,'Raw Data - Production'!$E:$E)+SUMIF('Raw Data - Production'!$A:$A,Z$4,'Raw Data - Production'!$F:$F)+SUMIF('Raw Data - Production'!$A:$A,Z4,'Raw Data - Production'!$Q:$Q)</f>
        <v>71631.604938271601</v>
      </c>
      <c r="AA9" s="27">
        <f>SUMIF('Raw Data - Production'!$A:$A,AA$4,'Raw Data - Production'!$D:$D)+SUMIF('Raw Data - Production'!$A:$A,AA$4,'Raw Data - Production'!$E:$E)+SUMIF('Raw Data - Production'!$A:$A,AA$4,'Raw Data - Production'!$F:$F)+SUMIF('Raw Data - Production'!$A:$A,AA4,'Raw Data - Production'!$Q:$Q)</f>
        <v>67140</v>
      </c>
      <c r="AB9" s="27">
        <f>SUMIF('Raw Data - Production'!$A:$A,AB$4,'Raw Data - Production'!$D:$D)+SUMIF('Raw Data - Production'!$A:$A,AB$4,'Raw Data - Production'!$E:$E)+SUMIF('Raw Data - Production'!$A:$A,AB$4,'Raw Data - Production'!$F:$F)+SUMIF('Raw Data - Production'!$A:$A,AB4,'Raw Data - Production'!$Q:$Q)</f>
        <v>84469.629629629635</v>
      </c>
      <c r="AC9" s="27">
        <f>SUMIF('Raw Data - Production'!$A:$A,AC$4,'Raw Data - Production'!$D:$D)+SUMIF('Raw Data - Production'!$A:$A,AC$4,'Raw Data - Production'!$E:$E)+SUMIF('Raw Data - Production'!$A:$A,AC$4,'Raw Data - Production'!$F:$F)+SUMIF('Raw Data - Production'!$A:$A,AC4,'Raw Data - Production'!$Q:$Q)</f>
        <v>95958.888888888891</v>
      </c>
      <c r="AD9" s="27">
        <f>SUMIF('Raw Data - Production'!$A:$A,AD$4,'Raw Data - Production'!$D:$D)+SUMIF('Raw Data - Production'!$A:$A,AD$4,'Raw Data - Production'!$E:$E)+SUMIF('Raw Data - Production'!$A:$A,AD$4,'Raw Data - Production'!$F:$F)+SUMIF('Raw Data - Production'!$A:$A,AD4,'Raw Data - Production'!$Q:$Q)</f>
        <v>0</v>
      </c>
      <c r="AE9" s="27">
        <f>SUMIF('Raw Data - Production'!$A:$A,AE$4,'Raw Data - Production'!$D:$D)+SUMIF('Raw Data - Production'!$A:$A,AE$4,'Raw Data - Production'!$E:$E)+SUMIF('Raw Data - Production'!$A:$A,AE$4,'Raw Data - Production'!$F:$F)+SUMIF('Raw Data - Production'!$A:$A,AE4,'Raw Data - Production'!$Q:$Q)</f>
        <v>15518.024691358025</v>
      </c>
      <c r="AF9" s="27">
        <f>SUMIF('Raw Data - Production'!$A:$A,AF$4,'Raw Data - Production'!$D:$D)+SUMIF('Raw Data - Production'!$A:$A,AF$4,'Raw Data - Production'!$E:$E)+SUMIF('Raw Data - Production'!$A:$A,AF$4,'Raw Data - Production'!$F:$F)+SUMIF('Raw Data - Production'!$A:$A,AF4,'Raw Data - Production'!$Q:$Q)</f>
        <v>54824.691358024691</v>
      </c>
      <c r="AG9" s="27">
        <f>SUMIF('Raw Data - Production'!$A:$A,AG$4,'Raw Data - Production'!$D:$D)+SUMIF('Raw Data - Production'!$A:$A,AG$4,'Raw Data - Production'!$E:$E)+SUMIF('Raw Data - Production'!$A:$A,AG$4,'Raw Data - Production'!$F:$F)+SUMIF('Raw Data - Production'!$A:$A,AG4,'Raw Data - Production'!$Q:$Q)</f>
        <v>72410.864197530871</v>
      </c>
      <c r="AH9" s="27">
        <f>SUMIF('Raw Data - Production'!$A:$A,AH$4,'Raw Data - Production'!$D:$D)+SUMIF('Raw Data - Production'!$A:$A,AH$4,'Raw Data - Production'!$E:$E)+SUMIF('Raw Data - Production'!$A:$A,AH$4,'Raw Data - Production'!$F:$F)+SUMIF('Raw Data - Production'!$A:$A,AH4,'Raw Data - Production'!$Q:$Q)</f>
        <v>108656.7901234568</v>
      </c>
      <c r="AI9" s="27">
        <f>SUMIF('Raw Data - Production'!$A:$A,AI$4,'Raw Data - Production'!$D:$D)+SUMIF('Raw Data - Production'!$A:$A,AI$4,'Raw Data - Production'!$E:$E)+SUMIF('Raw Data - Production'!$A:$A,AI$4,'Raw Data - Production'!$F:$F)+SUMIF('Raw Data - Production'!$A:$A,AI4,'Raw Data - Production'!$Q:$Q)</f>
        <v>0</v>
      </c>
      <c r="AJ9" s="27">
        <f>SUMIF('Raw Data - Production'!$A:$A,AJ$4,'Raw Data - Production'!$D:$D)+SUMIF('Raw Data - Production'!$A:$A,AJ$4,'Raw Data - Production'!$E:$E)+SUMIF('Raw Data - Production'!$A:$A,AJ$4,'Raw Data - Production'!$F:$F)+SUMIF('Raw Data - Production'!$A:$A,AJ4,'Raw Data - Production'!$Q:$Q)</f>
        <v>50382.222222222219</v>
      </c>
      <c r="AK9" s="27">
        <f>SUMIF('Raw Data - Production'!$A:$A,AK$4,'Raw Data - Production'!$D:$D)+SUMIF('Raw Data - Production'!$A:$A,AK$4,'Raw Data - Production'!$E:$E)+SUMIF('Raw Data - Production'!$A:$A,AK$4,'Raw Data - Production'!$F:$F)+SUMIF('Raw Data - Production'!$A:$A,AK4,'Raw Data - Production'!$Q:$Q)</f>
        <v>66690.370370370365</v>
      </c>
      <c r="AL9" s="27">
        <f>SUMIF('Raw Data - Production'!$A:$A,AL$4,'Raw Data - Production'!$D:$D)+SUMIF('Raw Data - Production'!$A:$A,AL$4,'Raw Data - Production'!$E:$E)+SUMIF('Raw Data - Production'!$A:$A,AL$4,'Raw Data - Production'!$F:$F)+SUMIF('Raw Data - Production'!$A:$A,AL4,'Raw Data - Production'!$Q:$Q)</f>
        <v>72808.641975308637</v>
      </c>
      <c r="AM9" s="27">
        <f>SUMIF('Raw Data - Production'!$A:$A,AM$4,'Raw Data - Production'!$D:$D)+SUMIF('Raw Data - Production'!$A:$A,AM$4,'Raw Data - Production'!$E:$E)+SUMIF('Raw Data - Production'!$A:$A,AM$4,'Raw Data - Production'!$F:$F)+SUMIF('Raw Data - Production'!$A:$A,AM4,'Raw Data - Production'!$Q:$Q)</f>
        <v>76384.938271604944</v>
      </c>
      <c r="AN9" s="27">
        <f>SUMIF('Raw Data - Production'!$A:$A,AN$4,'Raw Data - Production'!$D:$D)+SUMIF('Raw Data - Production'!$A:$A,AN$4,'Raw Data - Production'!$E:$E)+SUMIF('Raw Data - Production'!$A:$A,AN$4,'Raw Data - Production'!$F:$F)+SUMIF('Raw Data - Production'!$A:$A,AN4,'Raw Data - Production'!$Q:$Q)</f>
        <v>0</v>
      </c>
      <c r="AO9" s="27">
        <f>SUMIF('Raw Data - Production'!$A:$A,AO$4,'Raw Data - Production'!$D:$D)+SUMIF('Raw Data - Production'!$A:$A,AO$4,'Raw Data - Production'!$E:$E)+SUMIF('Raw Data - Production'!$A:$A,AO$4,'Raw Data - Production'!$F:$F)+SUMIF('Raw Data - Production'!$A:$A,AO4,'Raw Data - Production'!$Q:$Q)</f>
        <v>64448.395061728399</v>
      </c>
      <c r="AP9" s="27">
        <f>SUMIF('Raw Data - Production'!$A:$A,AP$4,'Raw Data - Production'!$D:$D)+SUMIF('Raw Data - Production'!$A:$A,AP$4,'Raw Data - Production'!$E:$E)+SUMIF('Raw Data - Production'!$A:$A,AP$4,'Raw Data - Production'!$F:$F)+SUMIF('Raw Data - Production'!$A:$A,AP4,'Raw Data - Production'!$Q:$Q)</f>
        <v>69616.1975308642</v>
      </c>
      <c r="AQ9" s="27">
        <f>SUMIF('Raw Data - Production'!$A:$A,AQ$4,'Raw Data - Production'!$D:$D)+SUMIF('Raw Data - Production'!$A:$A,AQ$4,'Raw Data - Production'!$E:$E)+SUMIF('Raw Data - Production'!$A:$A,AQ$4,'Raw Data - Production'!$F:$F)+SUMIF('Raw Data - Production'!$A:$A,AQ4,'Raw Data - Production'!$Q:$Q)</f>
        <v>67792.1975308642</v>
      </c>
      <c r="AR9" s="27">
        <f>SUMIF('Raw Data - Production'!$A:$A,AR$4,'Raw Data - Production'!$D:$D)+SUMIF('Raw Data - Production'!$A:$A,AR$4,'Raw Data - Production'!$E:$E)+SUMIF('Raw Data - Production'!$A:$A,AR$4,'Raw Data - Production'!$F:$F)+SUMIF('Raw Data - Production'!$A:$A,AR4,'Raw Data - Production'!$Q:$Q)</f>
        <v>51264</v>
      </c>
      <c r="AS9" s="27">
        <f>SUMIF('Raw Data - Production'!$A:$A,AS$4,'Raw Data - Production'!$D:$D)+SUMIF('Raw Data - Production'!$A:$A,AS$4,'Raw Data - Production'!$E:$E)+SUMIF('Raw Data - Production'!$A:$A,AS$4,'Raw Data - Production'!$F:$F)+SUMIF('Raw Data - Production'!$A:$A,AS4,'Raw Data - Production'!$Q:$Q)</f>
        <v>0</v>
      </c>
      <c r="AT9" s="27">
        <f>SUMIF('Raw Data - Production'!$A:$A,AT$4,'Raw Data - Production'!$D:$D)+SUMIF('Raw Data - Production'!$A:$A,AT$4,'Raw Data - Production'!$E:$E)+SUMIF('Raw Data - Production'!$A:$A,AT$4,'Raw Data - Production'!$F:$F)+SUMIF('Raw Data - Production'!$A:$A,AT4,'Raw Data - Production'!$Q:$Q)</f>
        <v>71760.592592592599</v>
      </c>
      <c r="AU9" s="27">
        <f>SUMIF('Raw Data - Production'!$A:$A,AU$4,'Raw Data - Production'!$D:$D)+SUMIF('Raw Data - Production'!$A:$A,AU$4,'Raw Data - Production'!$E:$E)+SUMIF('Raw Data - Production'!$A:$A,AU$4,'Raw Data - Production'!$F:$F)+SUMIF('Raw Data - Production'!$A:$A,AU4,'Raw Data - Production'!$Q:$Q)</f>
        <v>0</v>
      </c>
      <c r="AV9" s="27">
        <f>SUMIF('Raw Data - Production'!$A:$A,AV$4,'Raw Data - Production'!$D:$D)+SUMIF('Raw Data - Production'!$A:$A,AV$4,'Raw Data - Production'!$E:$E)+SUMIF('Raw Data - Production'!$A:$A,AV$4,'Raw Data - Production'!$F:$F)+SUMIF('Raw Data - Production'!$A:$A,AV4,'Raw Data - Production'!$Q:$Q)</f>
        <v>0</v>
      </c>
      <c r="AW9" s="27">
        <f>SUMIF('Raw Data - Production'!$A:$A,AW$4,'Raw Data - Production'!$D:$D)+SUMIF('Raw Data - Production'!$A:$A,AW$4,'Raw Data - Production'!$E:$E)+SUMIF('Raw Data - Production'!$A:$A,AW$4,'Raw Data - Production'!$F:$F)+SUMIF('Raw Data - Production'!$A:$A,AW4,'Raw Data - Production'!$Q:$Q)</f>
        <v>65776.1975308642</v>
      </c>
      <c r="AX9" s="27">
        <f>SUMIF('Raw Data - Production'!$A:$A,AX$4,'Raw Data - Production'!$D:$D)+SUMIF('Raw Data - Production'!$A:$A,AX$4,'Raw Data - Production'!$E:$E)+SUMIF('Raw Data - Production'!$A:$A,AX$4,'Raw Data - Production'!$F:$F)+SUMIF('Raw Data - Production'!$A:$A,AX4,'Raw Data - Production'!$Q:$Q)</f>
        <v>81471.604938271601</v>
      </c>
      <c r="AY9" s="27">
        <f>SUMIF('Raw Data - Production'!$A:$A,AY$4,'Raw Data - Production'!$D:$D)+SUMIF('Raw Data - Production'!$A:$A,AY$4,'Raw Data - Production'!$E:$E)+SUMIF('Raw Data - Production'!$A:$A,AY$4,'Raw Data - Production'!$F:$F)+SUMIF('Raw Data - Production'!$A:$A,AY4,'Raw Data - Production'!$Q:$Q)</f>
        <v>91934.814814814818</v>
      </c>
      <c r="AZ9" s="27">
        <f>SUMIF('Raw Data - Production'!$A:$A,AZ$4,'Raw Data - Production'!$D:$D)+SUMIF('Raw Data - Production'!$A:$A,AZ$4,'Raw Data - Production'!$E:$E)+SUMIF('Raw Data - Production'!$A:$A,AZ$4,'Raw Data - Production'!$F:$F)+SUMIF('Raw Data - Production'!$A:$A,AZ4,'Raw Data - Production'!$Q:$Q)</f>
        <v>58279.209876543209</v>
      </c>
      <c r="BA9" s="27">
        <f>SUMIF('Raw Data - Production'!$A:$A,BA$4,'Raw Data - Production'!$D:$D)+SUMIF('Raw Data - Production'!$A:$A,BA$4,'Raw Data - Production'!$E:$E)+SUMIF('Raw Data - Production'!$A:$A,BA$4,'Raw Data - Production'!$F:$F)+SUMIF('Raw Data - Production'!$A:$A,BA4,'Raw Data - Production'!$Q:$Q)</f>
        <v>47473.580246913582</v>
      </c>
      <c r="BB9" s="27">
        <f>SUMIF('Raw Data - Production'!$A:$A,BB$4,'Raw Data - Production'!$D:$D)+SUMIF('Raw Data - Production'!$A:$A,BB$4,'Raw Data - Production'!$E:$E)+SUMIF('Raw Data - Production'!$A:$A,BB$4,'Raw Data - Production'!$F:$F)+SUMIF('Raw Data - Production'!$A:$A,BB4,'Raw Data - Production'!$Q:$Q)</f>
        <v>0</v>
      </c>
      <c r="BC9" s="27">
        <f>SUMIF('Raw Data - Production'!$A:$A,BC$4,'Raw Data - Production'!$D:$D)+SUMIF('Raw Data - Production'!$A:$A,BC$4,'Raw Data - Production'!$E:$E)+SUMIF('Raw Data - Production'!$A:$A,BC$4,'Raw Data - Production'!$F:$F)+SUMIF('Raw Data - Production'!$A:$A,BC4,'Raw Data - Production'!$Q:$Q)</f>
        <v>0</v>
      </c>
      <c r="BD9" s="27">
        <f>SUMIF('Raw Data - Production'!$A:$A,BD$4,'Raw Data - Production'!$D:$D)+SUMIF('Raw Data - Production'!$A:$A,BD$4,'Raw Data - Production'!$E:$E)+SUMIF('Raw Data - Production'!$A:$A,BD$4,'Raw Data - Production'!$F:$F)+SUMIF('Raw Data - Production'!$A:$A,BD4,'Raw Data - Production'!$Q:$Q)</f>
        <v>90346.666666666672</v>
      </c>
      <c r="BE9" s="27">
        <f>SUMIF('Raw Data - Production'!$A:$A,BE$4,'Raw Data - Production'!$D:$D)+SUMIF('Raw Data - Production'!$A:$A,BE$4,'Raw Data - Production'!$E:$E)+SUMIF('Raw Data - Production'!$A:$A,BE$4,'Raw Data - Production'!$F:$F)+SUMIF('Raw Data - Production'!$A:$A,BE4,'Raw Data - Production'!$Q:$Q)</f>
        <v>45468.641975308645</v>
      </c>
      <c r="BF9" s="27">
        <f>SUMIF('Raw Data - Production'!$A:$A,BF$4,'Raw Data - Production'!$D:$D)+SUMIF('Raw Data - Production'!$A:$A,BF$4,'Raw Data - Production'!$E:$E)+SUMIF('Raw Data - Production'!$A:$A,BF$4,'Raw Data - Production'!$F:$F)+SUMIF('Raw Data - Production'!$A:$A,BF4,'Raw Data - Production'!$Q:$Q)</f>
        <v>66338.925925925927</v>
      </c>
      <c r="BG9" s="27">
        <f>SUMIF('Raw Data - Production'!$A:$A,BG$4,'Raw Data - Production'!$D:$D)+SUMIF('Raw Data - Production'!$A:$A,BG$4,'Raw Data - Production'!$E:$E)+SUMIF('Raw Data - Production'!$A:$A,BG$4,'Raw Data - Production'!$F:$F)+SUMIF('Raw Data - Production'!$A:$A,BG4,'Raw Data - Production'!$Q:$Q)</f>
        <v>0</v>
      </c>
      <c r="BH9" s="27">
        <f>SUMIF('Raw Data - Production'!$A:$A,BH$4,'Raw Data - Production'!$D:$D)+SUMIF('Raw Data - Production'!$A:$A,BH$4,'Raw Data - Production'!$E:$E)+SUMIF('Raw Data - Production'!$A:$A,BH$4,'Raw Data - Production'!$F:$F)+SUMIF('Raw Data - Production'!$A:$A,BH4,'Raw Data - Production'!$Q:$Q)</f>
        <v>34194.567901234564</v>
      </c>
      <c r="BI9" s="27">
        <f>SUMIF('Raw Data - Production'!$A:$A,BI$4,'Raw Data - Production'!$D:$D)+SUMIF('Raw Data - Production'!$A:$A,BI$4,'Raw Data - Production'!$E:$E)+SUMIF('Raw Data - Production'!$A:$A,BI$4,'Raw Data - Production'!$F:$F)+SUMIF('Raw Data - Production'!$A:$A,BI4,'Raw Data - Production'!$Q:$Q)</f>
        <v>69402.469135802472</v>
      </c>
      <c r="BJ9" s="27">
        <f>SUMIF('Raw Data - Production'!$A:$A,BJ$4,'Raw Data - Production'!$D:$D)+SUMIF('Raw Data - Production'!$A:$A,BJ$4,'Raw Data - Production'!$E:$E)+SUMIF('Raw Data - Production'!$A:$A,BJ$4,'Raw Data - Production'!$F:$F)+SUMIF('Raw Data - Production'!$A:$A,BJ4,'Raw Data - Production'!$Q:$Q)</f>
        <v>58434.765432098764</v>
      </c>
      <c r="BK9" s="27">
        <f>SUMIF('Raw Data - Production'!$A:$A,BK$4,'Raw Data - Production'!$D:$D)+SUMIF('Raw Data - Production'!$A:$A,BK$4,'Raw Data - Production'!$E:$E)+SUMIF('Raw Data - Production'!$A:$A,BK$4,'Raw Data - Production'!$F:$F)+SUMIF('Raw Data - Production'!$A:$A,BK4,'Raw Data - Production'!$Q:$Q)</f>
        <v>64469.530864197528</v>
      </c>
      <c r="BL9" s="27">
        <f>SUMIF('Raw Data - Production'!$A:$A,BL$4,'Raw Data - Production'!$D:$D)+SUMIF('Raw Data - Production'!$A:$A,BL$4,'Raw Data - Production'!$E:$E)+SUMIF('Raw Data - Production'!$A:$A,BL$4,'Raw Data - Production'!$F:$F)+SUMIF('Raw Data - Production'!$A:$A,BL4,'Raw Data - Production'!$Q:$Q)</f>
        <v>0</v>
      </c>
      <c r="BM9" s="27">
        <f>SUMIF('Raw Data - Production'!$A:$A,BM$4,'Raw Data - Production'!$D:$D)+SUMIF('Raw Data - Production'!$A:$A,BM$4,'Raw Data - Production'!$E:$E)+SUMIF('Raw Data - Production'!$A:$A,BM$4,'Raw Data - Production'!$F:$F)+SUMIF('Raw Data - Production'!$A:$A,BM4,'Raw Data - Production'!$Q:$Q)</f>
        <v>74584.938271604944</v>
      </c>
      <c r="BN9" s="27">
        <f>SUMIF('Raw Data - Production'!$A:$A,BN$4,'Raw Data - Production'!$D:$D)+SUMIF('Raw Data - Production'!$A:$A,BN$4,'Raw Data - Production'!$E:$E)+SUMIF('Raw Data - Production'!$A:$A,BN$4,'Raw Data - Production'!$F:$F)+SUMIF('Raw Data - Production'!$A:$A,BN4,'Raw Data - Production'!$Q:$Q)</f>
        <v>61971.049382716046</v>
      </c>
      <c r="BO9" s="27">
        <f>SUMIF('Raw Data - Production'!$A:$A,BO$4,'Raw Data - Production'!$D:$D)+SUMIF('Raw Data - Production'!$A:$A,BO$4,'Raw Data - Production'!$E:$E)+SUMIF('Raw Data - Production'!$A:$A,BO$4,'Raw Data - Production'!$F:$F)+SUMIF('Raw Data - Production'!$A:$A,BO4,'Raw Data - Production'!$Q:$Q)</f>
        <v>80551.901234567908</v>
      </c>
      <c r="BP9" s="27">
        <f>SUMIF('Raw Data - Production'!$A:$A,BP$4,'Raw Data - Production'!$D:$D)+SUMIF('Raw Data - Production'!$A:$A,BP$4,'Raw Data - Production'!$E:$E)+SUMIF('Raw Data - Production'!$A:$A,BP$4,'Raw Data - Production'!$F:$F)+SUMIF('Raw Data - Production'!$A:$A,BP4,'Raw Data - Production'!$Q:$Q)</f>
        <v>100097.92592592593</v>
      </c>
      <c r="BQ9" s="27">
        <f>SUMIF('Raw Data - Production'!$A:$A,BQ$4,'Raw Data - Production'!$D:$D)+SUMIF('Raw Data - Production'!$A:$A,BQ$4,'Raw Data - Production'!$E:$E)+SUMIF('Raw Data - Production'!$A:$A,BQ$4,'Raw Data - Production'!$F:$F)+SUMIF('Raw Data - Production'!$A:$A,BQ4,'Raw Data - Production'!$Q:$Q)</f>
        <v>0</v>
      </c>
      <c r="BR9" s="27">
        <f>SUMIF('Raw Data - Production'!$A:$A,BR$4,'Raw Data - Production'!$D:$D)+SUMIF('Raw Data - Production'!$A:$A,BR$4,'Raw Data - Production'!$E:$E)+SUMIF('Raw Data - Production'!$A:$A,BR$4,'Raw Data - Production'!$F:$F)+SUMIF('Raw Data - Production'!$A:$A,BR4,'Raw Data - Production'!$Q:$Q)</f>
        <v>86747.259259259255</v>
      </c>
      <c r="BS9" s="27">
        <f>SUMIF('Raw Data - Production'!$A:$A,BS$4,'Raw Data - Production'!$D:$D)+SUMIF('Raw Data - Production'!$A:$A,BS$4,'Raw Data - Production'!$E:$E)+SUMIF('Raw Data - Production'!$A:$A,BS$4,'Raw Data - Production'!$F:$F)+SUMIF('Raw Data - Production'!$A:$A,BS4,'Raw Data - Production'!$Q:$Q)</f>
        <v>86119.08641975309</v>
      </c>
      <c r="BT9" s="27">
        <f>SUMIF('Raw Data - Production'!$A:$A,BT$4,'Raw Data - Production'!$D:$D)+SUMIF('Raw Data - Production'!$A:$A,BT$4,'Raw Data - Production'!$E:$E)+SUMIF('Raw Data - Production'!$A:$A,BT$4,'Raw Data - Production'!$F:$F)+SUMIF('Raw Data - Production'!$A:$A,BT4,'Raw Data - Production'!$Q:$Q)</f>
        <v>74923.456790123455</v>
      </c>
      <c r="BU9" s="27">
        <f>SUMIF('Raw Data - Production'!$A:$A,BU$4,'Raw Data - Production'!$D:$D)+SUMIF('Raw Data - Production'!$A:$A,BU$4,'Raw Data - Production'!$E:$E)+SUMIF('Raw Data - Production'!$A:$A,BU$4,'Raw Data - Production'!$F:$F)+SUMIF('Raw Data - Production'!$A:$A,BU4,'Raw Data - Production'!$Q:$Q)</f>
        <v>0</v>
      </c>
      <c r="BV9" s="27">
        <f>SUMIF('Raw Data - Production'!$A:$A,BV$4,'Raw Data - Production'!$D:$D)+SUMIF('Raw Data - Production'!$A:$A,BV$4,'Raw Data - Production'!$E:$E)+SUMIF('Raw Data - Production'!$A:$A,BV$4,'Raw Data - Production'!$F:$F)+SUMIF('Raw Data - Production'!$A:$A,BV4,'Raw Data - Production'!$Q:$Q)</f>
        <v>75179.930864197537</v>
      </c>
      <c r="BW9" s="27">
        <f>SUMIF('Raw Data - Production'!$A:$A,BW$4,'Raw Data - Production'!$D:$D)+SUMIF('Raw Data - Production'!$A:$A,BW$4,'Raw Data - Production'!$E:$E)+SUMIF('Raw Data - Production'!$A:$A,BW$4,'Raw Data - Production'!$F:$F)+SUMIF('Raw Data - Production'!$A:$A,BW4,'Raw Data - Production'!$Q:$Q)</f>
        <v>92555.851851851854</v>
      </c>
      <c r="BX9" s="27">
        <f>SUMIF('Raw Data - Production'!$A:$A,BX$4,'Raw Data - Production'!$D:$D)+SUMIF('Raw Data - Production'!$A:$A,BX$4,'Raw Data - Production'!$E:$E)+SUMIF('Raw Data - Production'!$A:$A,BX$4,'Raw Data - Production'!$F:$F)+SUMIF('Raw Data - Production'!$A:$A,BX4,'Raw Data - Production'!$Q:$Q)</f>
        <v>65985.382716049382</v>
      </c>
      <c r="BY9" s="27">
        <f>SUMIF('Raw Data - Production'!$A:$A,BY$4,'Raw Data - Production'!$D:$D)+SUMIF('Raw Data - Production'!$A:$A,BY$4,'Raw Data - Production'!$E:$E)+SUMIF('Raw Data - Production'!$A:$A,BY$4,'Raw Data - Production'!$F:$F)+SUMIF('Raw Data - Production'!$A:$A,BY4,'Raw Data - Production'!$Q:$Q)</f>
        <v>72220.444444444438</v>
      </c>
      <c r="BZ9" s="27">
        <f>SUMIF('Raw Data - Production'!$A:$A,BZ$4,'Raw Data - Production'!$D:$D)+SUMIF('Raw Data - Production'!$A:$A,BZ$4,'Raw Data - Production'!$E:$E)+SUMIF('Raw Data - Production'!$A:$A,BZ$4,'Raw Data - Production'!$F:$F)+SUMIF('Raw Data - Production'!$A:$A,BZ4,'Raw Data - Production'!$Q:$Q)</f>
        <v>0</v>
      </c>
      <c r="CA9" s="27">
        <f>SUMIF('Raw Data - Production'!$A:$A,CA$4,'Raw Data - Production'!$D:$D)+SUMIF('Raw Data - Production'!$A:$A,CA$4,'Raw Data - Production'!$E:$E)+SUMIF('Raw Data - Production'!$A:$A,CA$4,'Raw Data - Production'!$F:$F)+SUMIF('Raw Data - Production'!$A:$A,CA4,'Raw Data - Production'!$Q:$Q)</f>
        <v>0</v>
      </c>
      <c r="CB9" s="27">
        <f>SUMIF('Raw Data - Production'!$A:$A,CB$4,'Raw Data - Production'!$D:$D)+SUMIF('Raw Data - Production'!$A:$A,CB$4,'Raw Data - Production'!$E:$E)+SUMIF('Raw Data - Production'!$A:$A,CB$4,'Raw Data - Production'!$F:$F)+SUMIF('Raw Data - Production'!$A:$A,CB4,'Raw Data - Production'!$Q:$Q)</f>
        <v>0</v>
      </c>
      <c r="CC9" s="27">
        <f>SUMIF('Raw Data - Production'!$A:$A,CC$4,'Raw Data - Production'!$D:$D)+SUMIF('Raw Data - Production'!$A:$A,CC$4,'Raw Data - Production'!$E:$E)+SUMIF('Raw Data - Production'!$A:$A,CC$4,'Raw Data - Production'!$F:$F)+SUMIF('Raw Data - Production'!$A:$A,CC4,'Raw Data - Production'!$Q:$Q)</f>
        <v>0</v>
      </c>
      <c r="CD9" s="27">
        <f>SUMIF('Raw Data - Production'!$A:$A,CD$4,'Raw Data - Production'!$D:$D)+SUMIF('Raw Data - Production'!$A:$A,CD$4,'Raw Data - Production'!$E:$E)+SUMIF('Raw Data - Production'!$A:$A,CD$4,'Raw Data - Production'!$F:$F)+SUMIF('Raw Data - Production'!$A:$A,CD4,'Raw Data - Production'!$Q:$Q)</f>
        <v>0</v>
      </c>
      <c r="CE9" s="27">
        <f>SUMIF('Raw Data - Production'!$A:$A,CE$4,'Raw Data - Production'!$D:$D)+SUMIF('Raw Data - Production'!$A:$A,CE$4,'Raw Data - Production'!$E:$E)+SUMIF('Raw Data - Production'!$A:$A,CE$4,'Raw Data - Production'!$F:$F)+SUMIF('Raw Data - Production'!$A:$A,CE4,'Raw Data - Production'!$Q:$Q)</f>
        <v>0</v>
      </c>
      <c r="CF9" s="27">
        <f>SUMIF('Raw Data - Production'!$A:$A,CF$4,'Raw Data - Production'!$D:$D)+SUMIF('Raw Data - Production'!$A:$A,CF$4,'Raw Data - Production'!$E:$E)+SUMIF('Raw Data - Production'!$A:$A,CF$4,'Raw Data - Production'!$F:$F)+SUMIF('Raw Data - Production'!$A:$A,CF4,'Raw Data - Production'!$Q:$Q)</f>
        <v>55960.493827160491</v>
      </c>
      <c r="CG9" s="27">
        <f>SUMIF('Raw Data - Production'!$A:$A,CG$4,'Raw Data - Production'!$D:$D)+SUMIF('Raw Data - Production'!$A:$A,CG$4,'Raw Data - Production'!$E:$E)+SUMIF('Raw Data - Production'!$A:$A,CG$4,'Raw Data - Production'!$F:$F)+SUMIF('Raw Data - Production'!$A:$A,CG4,'Raw Data - Production'!$Q:$Q)</f>
        <v>87225.28395061729</v>
      </c>
      <c r="CH9" s="27">
        <f>SUMIF('Raw Data - Production'!$A:$A,CH$4,'Raw Data - Production'!$D:$D)+SUMIF('Raw Data - Production'!$A:$A,CH$4,'Raw Data - Production'!$E:$E)+SUMIF('Raw Data - Production'!$A:$A,CH$4,'Raw Data - Production'!$F:$F)+SUMIF('Raw Data - Production'!$A:$A,CH4,'Raw Data - Production'!$Q:$Q)</f>
        <v>81355.259259259255</v>
      </c>
      <c r="CI9" s="27">
        <f>SUMIF('Raw Data - Production'!$A:$A,CI$4,'Raw Data - Production'!$D:$D)+SUMIF('Raw Data - Production'!$A:$A,CI$4,'Raw Data - Production'!$E:$E)+SUMIF('Raw Data - Production'!$A:$A,CI$4,'Raw Data - Production'!$F:$F)+SUMIF('Raw Data - Production'!$A:$A,CI4,'Raw Data - Production'!$Q:$Q)</f>
        <v>81158.320987654326</v>
      </c>
      <c r="CJ9" s="27">
        <f>SUMIF('Raw Data - Production'!$A:$A,CJ$4,'Raw Data - Production'!$D:$D)+SUMIF('Raw Data - Production'!$A:$A,CJ$4,'Raw Data - Production'!$E:$E)+SUMIF('Raw Data - Production'!$A:$A,CJ$4,'Raw Data - Production'!$F:$F)+SUMIF('Raw Data - Production'!$A:$A,CJ4,'Raw Data - Production'!$Q:$Q)</f>
        <v>0</v>
      </c>
      <c r="CK9" s="27">
        <f>SUMIF('Raw Data - Production'!$A:$A,CK$4,'Raw Data - Production'!$D:$D)+SUMIF('Raw Data - Production'!$A:$A,CK$4,'Raw Data - Production'!$E:$E)+SUMIF('Raw Data - Production'!$A:$A,CK$4,'Raw Data - Production'!$F:$F)+SUMIF('Raw Data - Production'!$A:$A,CK4,'Raw Data - Production'!$Q:$Q)</f>
        <v>63148.246913580246</v>
      </c>
      <c r="CL9" s="27">
        <f>SUMIF('Raw Data - Production'!$A:$A,CL$4,'Raw Data - Production'!$D:$D)+SUMIF('Raw Data - Production'!$A:$A,CL$4,'Raw Data - Production'!$E:$E)+SUMIF('Raw Data - Production'!$A:$A,CL$4,'Raw Data - Production'!$F:$F)+SUMIF('Raw Data - Production'!$A:$A,CL4,'Raw Data - Production'!$Q:$Q)</f>
        <v>48888</v>
      </c>
      <c r="CM9" s="27">
        <f>SUMIF('Raw Data - Production'!$A:$A,CM$4,'Raw Data - Production'!$D:$D)+SUMIF('Raw Data - Production'!$A:$A,CM$4,'Raw Data - Production'!$E:$E)+SUMIF('Raw Data - Production'!$A:$A,CM$4,'Raw Data - Production'!$F:$F)+SUMIF('Raw Data - Production'!$A:$A,CM4,'Raw Data - Production'!$Q:$Q)</f>
        <v>74940.345679012345</v>
      </c>
      <c r="CN9" s="27">
        <f>SUMIF('Raw Data - Production'!$A:$A,CN$4,'Raw Data - Production'!$D:$D)+SUMIF('Raw Data - Production'!$A:$A,CN$4,'Raw Data - Production'!$E:$E)+SUMIF('Raw Data - Production'!$A:$A,CN$4,'Raw Data - Production'!$F:$F)+SUMIF('Raw Data - Production'!$A:$A,CN4,'Raw Data - Production'!$Q:$Q)</f>
        <v>46088.691358024691</v>
      </c>
      <c r="CO9" s="27">
        <f>SUMIF('Raw Data - Production'!$A:$A,CO$4,'Raw Data - Production'!$D:$D)+SUMIF('Raw Data - Production'!$A:$A,CO$4,'Raw Data - Production'!$E:$E)+SUMIF('Raw Data - Production'!$A:$A,CO$4,'Raw Data - Production'!$F:$F)+SUMIF('Raw Data - Production'!$A:$A,CO4,'Raw Data - Production'!$Q:$Q)</f>
        <v>0</v>
      </c>
      <c r="CP9" s="27">
        <f>SUMIF('Raw Data - Production'!$A:$A,CP$4,'Raw Data - Production'!$D:$D)+SUMIF('Raw Data - Production'!$A:$A,CP$4,'Raw Data - Production'!$E:$E)+SUMIF('Raw Data - Production'!$A:$A,CP$4,'Raw Data - Production'!$F:$F)+SUMIF('Raw Data - Production'!$A:$A,CP4,'Raw Data - Production'!$Q:$Q)</f>
        <v>75433.481481481489</v>
      </c>
      <c r="CQ9" s="27">
        <f>SUMIF('Raw Data - Production'!$A:$A,CQ$4,'Raw Data - Production'!$D:$D)+SUMIF('Raw Data - Production'!$A:$A,CQ$4,'Raw Data - Production'!$E:$E)+SUMIF('Raw Data - Production'!$A:$A,CQ$4,'Raw Data - Production'!$F:$F)+SUMIF('Raw Data - Production'!$A:$A,CQ4,'Raw Data - Production'!$Q:$Q)</f>
        <v>98551.703703703708</v>
      </c>
      <c r="CR9" s="27">
        <f>SUMIF('Raw Data - Production'!$A:$A,CR$4,'Raw Data - Production'!$D:$D)+SUMIF('Raw Data - Production'!$A:$A,CR$4,'Raw Data - Production'!$E:$E)+SUMIF('Raw Data - Production'!$A:$A,CR$4,'Raw Data - Production'!$F:$F)+SUMIF('Raw Data - Production'!$A:$A,CR4,'Raw Data - Production'!$Q:$Q)</f>
        <v>91701.135802469129</v>
      </c>
      <c r="CS9" s="27">
        <f>SUMIF('Raw Data - Production'!$A:$A,CS$4,'Raw Data - Production'!$D:$D)+SUMIF('Raw Data - Production'!$A:$A,CS$4,'Raw Data - Production'!$E:$E)+SUMIF('Raw Data - Production'!$A:$A,CS$4,'Raw Data - Production'!$F:$F)+SUMIF('Raw Data - Production'!$A:$A,CS4,'Raw Data - Production'!$Q:$Q)</f>
        <v>58443.456790123455</v>
      </c>
      <c r="CT9" s="27">
        <f>SUMIF('Raw Data - Production'!$A:$A,CT$4,'Raw Data - Production'!$D:$D)+SUMIF('Raw Data - Production'!$A:$A,CT$4,'Raw Data - Production'!$E:$E)+SUMIF('Raw Data - Production'!$A:$A,CT$4,'Raw Data - Production'!$F:$F)+SUMIF('Raw Data - Production'!$A:$A,CT4,'Raw Data - Production'!$Q:$Q)</f>
        <v>0</v>
      </c>
      <c r="CU9" s="27">
        <f>SUMIF('Raw Data - Production'!$A:$A,CU$4,'Raw Data - Production'!$D:$D)+SUMIF('Raw Data - Production'!$A:$A,CU$4,'Raw Data - Production'!$E:$E)+SUMIF('Raw Data - Production'!$A:$A,CU$4,'Raw Data - Production'!$F:$F)+SUMIF('Raw Data - Production'!$A:$A,CU4,'Raw Data - Production'!$Q:$Q)</f>
        <v>72022.91358024691</v>
      </c>
      <c r="CV9" s="27">
        <f>SUMIF('Raw Data - Production'!$A:$A,CV$4,'Raw Data - Production'!$D:$D)+SUMIF('Raw Data - Production'!$A:$A,CV$4,'Raw Data - Production'!$E:$E)+SUMIF('Raw Data - Production'!$A:$A,CV$4,'Raw Data - Production'!$F:$F)+SUMIF('Raw Data - Production'!$A:$A,CV4,'Raw Data - Production'!$Q:$Q)</f>
        <v>90269.629629629635</v>
      </c>
      <c r="CW9" s="27">
        <f>SUMIF('Raw Data - Production'!$A:$A,CW$4,'Raw Data - Production'!$D:$D)+SUMIF('Raw Data - Production'!$A:$A,CW$4,'Raw Data - Production'!$E:$E)+SUMIF('Raw Data - Production'!$A:$A,CW$4,'Raw Data - Production'!$F:$F)+SUMIF('Raw Data - Production'!$A:$A,CW4,'Raw Data - Production'!$Q:$Q)</f>
        <v>94670.617283950618</v>
      </c>
      <c r="CX9" s="27">
        <f>SUMIF('Raw Data - Production'!$A:$A,CX$4,'Raw Data - Production'!$D:$D)+SUMIF('Raw Data - Production'!$A:$A,CX$4,'Raw Data - Production'!$E:$E)+SUMIF('Raw Data - Production'!$A:$A,CX$4,'Raw Data - Production'!$F:$F)+SUMIF('Raw Data - Production'!$A:$A,CX4,'Raw Data - Production'!$Q:$Q)</f>
        <v>0</v>
      </c>
      <c r="CY9" s="27">
        <f>SUMIF('Raw Data - Production'!$A:$A,CY$4,'Raw Data - Production'!$D:$D)+SUMIF('Raw Data - Production'!$A:$A,CY$4,'Raw Data - Production'!$E:$E)+SUMIF('Raw Data - Production'!$A:$A,CY$4,'Raw Data - Production'!$F:$F)+SUMIF('Raw Data - Production'!$A:$A,CY4,'Raw Data - Production'!$Q:$Q)</f>
        <v>0</v>
      </c>
      <c r="CZ9" s="27">
        <f>SUMIF('Raw Data - Production'!$A:$A,CZ$4,'Raw Data - Production'!$D:$D)+SUMIF('Raw Data - Production'!$A:$A,CZ$4,'Raw Data - Production'!$E:$E)+SUMIF('Raw Data - Production'!$A:$A,CZ$4,'Raw Data - Production'!$F:$F)+SUMIF('Raw Data - Production'!$A:$A,CZ4,'Raw Data - Production'!$Q:$Q)</f>
        <v>0</v>
      </c>
      <c r="DA9" s="27">
        <f>SUMIF('Raw Data - Production'!$A:$A,DA$4,'Raw Data - Production'!$D:$D)+SUMIF('Raw Data - Production'!$A:$A,DA$4,'Raw Data - Production'!$E:$E)+SUMIF('Raw Data - Production'!$A:$A,DA$4,'Raw Data - Production'!$F:$F)+SUMIF('Raw Data - Production'!$A:$A,DA4,'Raw Data - Production'!$Q:$Q)</f>
        <v>116887.70370370371</v>
      </c>
      <c r="DB9" s="27">
        <f>SUMIF('Raw Data - Production'!$A:$A,DB$4,'Raw Data - Production'!$D:$D)+SUMIF('Raw Data - Production'!$A:$A,DB$4,'Raw Data - Production'!$E:$E)+SUMIF('Raw Data - Production'!$A:$A,DB$4,'Raw Data - Production'!$F:$F)+SUMIF('Raw Data - Production'!$A:$A,DB4,'Raw Data - Production'!$Q:$Q)</f>
        <v>0</v>
      </c>
      <c r="DC9" s="27">
        <f>SUMIF('Raw Data - Production'!$A:$A,DC$4,'Raw Data - Production'!$D:$D)+SUMIF('Raw Data - Production'!$A:$A,DC$4,'Raw Data - Production'!$E:$E)+SUMIF('Raw Data - Production'!$A:$A,DC$4,'Raw Data - Production'!$F:$F)+SUMIF('Raw Data - Production'!$A:$A,DC4,'Raw Data - Production'!$Q:$Q)</f>
        <v>0</v>
      </c>
      <c r="DD9" s="27">
        <f>SUMIF('Raw Data - Production'!$A:$A,DD$4,'Raw Data - Production'!$D:$D)+SUMIF('Raw Data - Production'!$A:$A,DD$4,'Raw Data - Production'!$E:$E)+SUMIF('Raw Data - Production'!$A:$A,DD$4,'Raw Data - Production'!$F:$F)+SUMIF('Raw Data - Production'!$A:$A,DD4,'Raw Data - Production'!$Q:$Q)</f>
        <v>0</v>
      </c>
      <c r="DE9" s="27">
        <f>SUMIF('Raw Data - Production'!$A:$A,DE$4,'Raw Data - Production'!$D:$D)+SUMIF('Raw Data - Production'!$A:$A,DE$4,'Raw Data - Production'!$E:$E)+SUMIF('Raw Data - Production'!$A:$A,DE$4,'Raw Data - Production'!$F:$F)+SUMIF('Raw Data - Production'!$A:$A,DE4,'Raw Data - Production'!$Q:$Q)</f>
        <v>0</v>
      </c>
      <c r="DF9" s="27">
        <f>SUMIF('Raw Data - Production'!$A:$A,DF$4,'Raw Data - Production'!$D:$D)+SUMIF('Raw Data - Production'!$A:$A,DF$4,'Raw Data - Production'!$E:$E)+SUMIF('Raw Data - Production'!$A:$A,DF$4,'Raw Data - Production'!$F:$F)+SUMIF('Raw Data - Production'!$A:$A,DF4,'Raw Data - Production'!$Q:$Q)</f>
        <v>110183.90123456791</v>
      </c>
      <c r="DG9" s="27">
        <f>SUMIF('Raw Data - Production'!$A:$A,DG$4,'Raw Data - Production'!$D:$D)+SUMIF('Raw Data - Production'!$A:$A,DG$4,'Raw Data - Production'!$E:$E)+SUMIF('Raw Data - Production'!$A:$A,DG$4,'Raw Data - Production'!$F:$F)+SUMIF('Raw Data - Production'!$A:$A,DG4,'Raw Data - Production'!$Q:$Q)</f>
        <v>150847.6049382716</v>
      </c>
      <c r="DH9" s="27">
        <f>SUMIF('Raw Data - Production'!$A:$A,DH$4,'Raw Data - Production'!$D:$D)+SUMIF('Raw Data - Production'!$A:$A,DH$4,'Raw Data - Production'!$E:$E)+SUMIF('Raw Data - Production'!$A:$A,DH$4,'Raw Data - Production'!$F:$F)+SUMIF('Raw Data - Production'!$A:$A,DH4,'Raw Data - Production'!$Q:$Q)</f>
        <v>114194.96296296296</v>
      </c>
      <c r="DI9" s="27">
        <f>SUMIF('Raw Data - Production'!$A:$A,DI$4,'Raw Data - Production'!$D:$D)+SUMIF('Raw Data - Production'!$A:$A,DI$4,'Raw Data - Production'!$E:$E)+SUMIF('Raw Data - Production'!$A:$A,DI$4,'Raw Data - Production'!$F:$F)+SUMIF('Raw Data - Production'!$A:$A,DI4,'Raw Data - Production'!$Q:$Q)</f>
        <v>0</v>
      </c>
      <c r="DJ9" s="27">
        <f>SUMIF('Raw Data - Production'!$A:$A,DJ$4,'Raw Data - Production'!$D:$D)+SUMIF('Raw Data - Production'!$A:$A,DJ$4,'Raw Data - Production'!$E:$E)+SUMIF('Raw Data - Production'!$A:$A,DJ$4,'Raw Data - Production'!$F:$F)+SUMIF('Raw Data - Production'!$A:$A,DJ4,'Raw Data - Production'!$Q:$Q)</f>
        <v>114297.08641975309</v>
      </c>
      <c r="DK9" s="27">
        <f>SUMIF('Raw Data - Production'!$A:$A,DK$4,'Raw Data - Production'!$D:$D)+SUMIF('Raw Data - Production'!$A:$A,DK$4,'Raw Data - Production'!$E:$E)+SUMIF('Raw Data - Production'!$A:$A,DK$4,'Raw Data - Production'!$F:$F)+SUMIF('Raw Data - Production'!$A:$A,DK4,'Raw Data - Production'!$Q:$Q)</f>
        <v>127446.71604938271</v>
      </c>
      <c r="DL9" s="27">
        <f>SUMIF('Raw Data - Production'!$A:$A,DL$4,'Raw Data - Production'!$D:$D)+SUMIF('Raw Data - Production'!$A:$A,DL$4,'Raw Data - Production'!$E:$E)+SUMIF('Raw Data - Production'!$A:$A,DL$4,'Raw Data - Production'!$F:$F)+SUMIF('Raw Data - Production'!$A:$A,DL4,'Raw Data - Production'!$Q:$Q)</f>
        <v>50850.370370370372</v>
      </c>
      <c r="DM9" s="27">
        <f>SUMIF('Raw Data - Production'!$A:$A,DM$4,'Raw Data - Production'!$D:$D)+SUMIF('Raw Data - Production'!$A:$A,DM$4,'Raw Data - Production'!$E:$E)+SUMIF('Raw Data - Production'!$A:$A,DM$4,'Raw Data - Production'!$F:$F)</f>
        <v>168387</v>
      </c>
      <c r="DN9" s="27">
        <f>SUMIF('Raw Data - Production'!$A:$A,DN$4,'Raw Data - Production'!$D:$D)+SUMIF('Raw Data - Production'!$A:$A,DN$4,'Raw Data - Production'!$E:$E)+SUMIF('Raw Data - Production'!$A:$A,DN$4,'Raw Data - Production'!$F:$F)</f>
        <v>0</v>
      </c>
      <c r="DO9" s="27">
        <f>SUMIF('Raw Data - Production'!$A:$A,DO$4,'Raw Data - Production'!$D:$D)+SUMIF('Raw Data - Production'!$A:$A,DO$4,'Raw Data - Production'!$E:$E)+SUMIF('Raw Data - Production'!$A:$A,DO$4,'Raw Data - Production'!$F:$F)</f>
        <v>0</v>
      </c>
      <c r="DP9" s="27">
        <f>SUMIF('Raw Data - Production'!$A:$A,DP$4,'Raw Data - Production'!$D:$D)+SUMIF('Raw Data - Production'!$A:$A,DP$4,'Raw Data - Production'!$E:$E)+SUMIF('Raw Data - Production'!$A:$A,DP$4,'Raw Data - Production'!$F:$F)</f>
        <v>0</v>
      </c>
      <c r="DQ9" s="27">
        <f>SUMIF('Raw Data - Production'!$A:$A,DQ$4,'Raw Data - Production'!$D:$D)+SUMIF('Raw Data - Production'!$A:$A,DQ$4,'Raw Data - Production'!$E:$E)+SUMIF('Raw Data - Production'!$A:$A,DQ$4,'Raw Data - Production'!$F:$F)</f>
        <v>0</v>
      </c>
      <c r="DR9" s="27">
        <f>SUMIF('Raw Data - Production'!$A:$A,DR$4,'Raw Data - Production'!$D:$D)+SUMIF('Raw Data - Production'!$A:$A,DR$4,'Raw Data - Production'!$E:$E)+SUMIF('Raw Data - Production'!$A:$A,DR$4,'Raw Data - Production'!$F:$F)</f>
        <v>0</v>
      </c>
      <c r="DS9" s="27">
        <f>SUMIF('Raw Data - Production'!$A:$A,DS$4,'Raw Data - Production'!$D:$D)+SUMIF('Raw Data - Production'!$A:$A,DS$4,'Raw Data - Production'!$E:$E)+SUMIF('Raw Data - Production'!$A:$A,DS$4,'Raw Data - Production'!$F:$F)</f>
        <v>0</v>
      </c>
      <c r="DT9" s="27">
        <f>SUMIF('Raw Data - Production'!$A:$A,DT$4,'Raw Data - Production'!$D:$D)+SUMIF('Raw Data - Production'!$A:$A,DT$4,'Raw Data - Production'!$E:$E)+SUMIF('Raw Data - Production'!$A:$A,DT$4,'Raw Data - Production'!$F:$F)</f>
        <v>0</v>
      </c>
      <c r="DU9" s="27">
        <f>SUMIF('Raw Data - Production'!$A:$A,DU$4,'Raw Data - Production'!$D:$D)+SUMIF('Raw Data - Production'!$A:$A,DU$4,'Raw Data - Production'!$E:$E)+SUMIF('Raw Data - Production'!$A:$A,DU$4,'Raw Data - Production'!$F:$F)</f>
        <v>0</v>
      </c>
      <c r="DV9" s="27">
        <f>SUMIF('Raw Data - Production'!$A:$A,DV$4,'Raw Data - Production'!$D:$D)+SUMIF('Raw Data - Production'!$A:$A,DV$4,'Raw Data - Production'!$E:$E)+SUMIF('Raw Data - Production'!$A:$A,DV$4,'Raw Data - Production'!$F:$F)</f>
        <v>0</v>
      </c>
      <c r="DW9" s="27">
        <f>SUMIF('Raw Data - Production'!$A:$A,DW$4,'Raw Data - Production'!$D:$D)+SUMIF('Raw Data - Production'!$A:$A,DW$4,'Raw Data - Production'!$E:$E)+SUMIF('Raw Data - Production'!$A:$A,DW$4,'Raw Data - Production'!$F:$F)</f>
        <v>0</v>
      </c>
      <c r="DX9" s="27">
        <f>SUMIF('Raw Data - Production'!$A:$A,DX$4,'Raw Data - Production'!$D:$D)+SUMIF('Raw Data - Production'!$A:$A,DX$4,'Raw Data - Production'!$E:$E)+SUMIF('Raw Data - Production'!$A:$A,DX$4,'Raw Data - Production'!$F:$F)</f>
        <v>0</v>
      </c>
      <c r="DY9" s="27">
        <f>SUMIF('Raw Data - Production'!$A:$A,DY$4,'Raw Data - Production'!$D:$D)+SUMIF('Raw Data - Production'!$A:$A,DY$4,'Raw Data - Production'!$E:$E)+SUMIF('Raw Data - Production'!$A:$A,DY$4,'Raw Data - Production'!$F:$F)</f>
        <v>0</v>
      </c>
      <c r="DZ9" s="27">
        <f>SUMIF('Raw Data - Production'!$A:$A,DZ$4,'Raw Data - Production'!$D:$D)+SUMIF('Raw Data - Production'!$A:$A,DZ$4,'Raw Data - Production'!$E:$E)+SUMIF('Raw Data - Production'!$A:$A,DZ$4,'Raw Data - Production'!$F:$F)</f>
        <v>0</v>
      </c>
      <c r="EA9" s="27">
        <f>SUMIF('Raw Data - Production'!$A:$A,EA$4,'Raw Data - Production'!$D:$D)+SUMIF('Raw Data - Production'!$A:$A,EA$4,'Raw Data - Production'!$E:$E)+SUMIF('Raw Data - Production'!$A:$A,EA$4,'Raw Data - Production'!$F:$F)</f>
        <v>0</v>
      </c>
      <c r="EB9" s="27">
        <f>SUMIF('Raw Data - Production'!$A:$A,EB$4,'Raw Data - Production'!$D:$D)+SUMIF('Raw Data - Production'!$A:$A,EB$4,'Raw Data - Production'!$E:$E)+SUMIF('Raw Data - Production'!$A:$A,EB$4,'Raw Data - Production'!$F:$F)</f>
        <v>0</v>
      </c>
      <c r="EC9" s="27">
        <f>SUMIF('Raw Data - Production'!$A:$A,EC$4,'Raw Data - Production'!$D:$D)+SUMIF('Raw Data - Production'!$A:$A,EC$4,'Raw Data - Production'!$E:$E)+SUMIF('Raw Data - Production'!$A:$A,EC$4,'Raw Data - Production'!$F:$F)</f>
        <v>0</v>
      </c>
      <c r="ED9" s="27">
        <f>SUMIF('Raw Data - Production'!$A:$A,ED$4,'Raw Data - Production'!$D:$D)+SUMIF('Raw Data - Production'!$A:$A,ED$4,'Raw Data - Production'!$E:$E)+SUMIF('Raw Data - Production'!$A:$A,ED$4,'Raw Data - Production'!$F:$F)</f>
        <v>0</v>
      </c>
      <c r="EE9" s="27">
        <f>SUMIF('Raw Data - Production'!$A:$A,EE$4,'Raw Data - Production'!$D:$D)+SUMIF('Raw Data - Production'!$A:$A,EE$4,'Raw Data - Production'!$E:$E)+SUMIF('Raw Data - Production'!$A:$A,EE$4,'Raw Data - Production'!$F:$F)</f>
        <v>0</v>
      </c>
      <c r="EF9" s="27">
        <f>SUMIF('Raw Data - Production'!$A:$A,EF$4,'Raw Data - Production'!$D:$D)+SUMIF('Raw Data - Production'!$A:$A,EF$4,'Raw Data - Production'!$E:$E)+SUMIF('Raw Data - Production'!$A:$A,EF$4,'Raw Data - Production'!$F:$F)</f>
        <v>0</v>
      </c>
      <c r="EG9" s="27">
        <f>SUMIF('Raw Data - Production'!$A:$A,EG$4,'Raw Data - Production'!$D:$D)+SUMIF('Raw Data - Production'!$A:$A,EG$4,'Raw Data - Production'!$E:$E)+SUMIF('Raw Data - Production'!$A:$A,EG$4,'Raw Data - Production'!$F:$F)</f>
        <v>0</v>
      </c>
      <c r="EH9" s="27">
        <f>SUMIF('Raw Data - Production'!$A:$A,EH$4,'Raw Data - Production'!$D:$D)+SUMIF('Raw Data - Production'!$A:$A,EH$4,'Raw Data - Production'!$E:$E)+SUMIF('Raw Data - Production'!$A:$A,EH$4,'Raw Data - Production'!$F:$F)</f>
        <v>0</v>
      </c>
      <c r="EI9" s="27">
        <f>SUMIF('Raw Data - Production'!$A:$A,EI$4,'Raw Data - Production'!$D:$D)+SUMIF('Raw Data - Production'!$A:$A,EI$4,'Raw Data - Production'!$E:$E)+SUMIF('Raw Data - Production'!$A:$A,EI$4,'Raw Data - Production'!$F:$F)</f>
        <v>0</v>
      </c>
      <c r="EJ9" s="27">
        <f>SUMIF('Raw Data - Production'!$A:$A,EJ$4,'Raw Data - Production'!$D:$D)+SUMIF('Raw Data - Production'!$A:$A,EJ$4,'Raw Data - Production'!$E:$E)+SUMIF('Raw Data - Production'!$A:$A,EJ$4,'Raw Data - Production'!$F:$F)</f>
        <v>0</v>
      </c>
      <c r="EK9" s="27">
        <f>SUMIF('Raw Data - Production'!$A:$A,EK$4,'Raw Data - Production'!$D:$D)+SUMIF('Raw Data - Production'!$A:$A,EK$4,'Raw Data - Production'!$E:$E)+SUMIF('Raw Data - Production'!$A:$A,EK$4,'Raw Data - Production'!$F:$F)</f>
        <v>0</v>
      </c>
      <c r="EL9" s="27">
        <f>SUMIF('Raw Data - Production'!$A:$A,EL$4,'Raw Data - Production'!$D:$D)+SUMIF('Raw Data - Production'!$A:$A,EL$4,'Raw Data - Production'!$E:$E)+SUMIF('Raw Data - Production'!$A:$A,EL$4,'Raw Data - Production'!$F:$F)</f>
        <v>0</v>
      </c>
      <c r="EM9" s="27">
        <f>SUMIF('Raw Data - Production'!$A:$A,EM$4,'Raw Data - Production'!$D:$D)+SUMIF('Raw Data - Production'!$A:$A,EM$4,'Raw Data - Production'!$E:$E)+SUMIF('Raw Data - Production'!$A:$A,EM$4,'Raw Data - Production'!$F:$F)</f>
        <v>0</v>
      </c>
      <c r="EN9" s="27">
        <f>SUMIF('Raw Data - Production'!$A:$A,EN$4,'Raw Data - Production'!$D:$D)+SUMIF('Raw Data - Production'!$A:$A,EN$4,'Raw Data - Production'!$E:$E)+SUMIF('Raw Data - Production'!$A:$A,EN$4,'Raw Data - Production'!$F:$F)</f>
        <v>0</v>
      </c>
      <c r="EO9" s="27">
        <f>SUMIF('Raw Data - Production'!$A:$A,EO$4,'Raw Data - Production'!$D:$D)+SUMIF('Raw Data - Production'!$A:$A,EO$4,'Raw Data - Production'!$E:$E)+SUMIF('Raw Data - Production'!$A:$A,EO$4,'Raw Data - Production'!$F:$F)</f>
        <v>0</v>
      </c>
      <c r="EP9" s="27">
        <f>SUMIF('Raw Data - Production'!$A:$A,EP$4,'Raw Data - Production'!$D:$D)+SUMIF('Raw Data - Production'!$A:$A,EP$4,'Raw Data - Production'!$E:$E)+SUMIF('Raw Data - Production'!$A:$A,EP$4,'Raw Data - Production'!$F:$F)</f>
        <v>0</v>
      </c>
      <c r="EQ9" s="27">
        <f>SUMIF('Raw Data - Production'!$A:$A,EQ$4,'Raw Data - Production'!$D:$D)+SUMIF('Raw Data - Production'!$A:$A,EQ$4,'Raw Data - Production'!$E:$E)+SUMIF('Raw Data - Production'!$A:$A,EQ$4,'Raw Data - Production'!$F:$F)</f>
        <v>0</v>
      </c>
      <c r="ER9" s="27">
        <f>SUMIF('Raw Data - Production'!$A:$A,ER$4,'Raw Data - Production'!$D:$D)+SUMIF('Raw Data - Production'!$A:$A,ER$4,'Raw Data - Production'!$E:$E)+SUMIF('Raw Data - Production'!$A:$A,ER$4,'Raw Data - Production'!$F:$F)</f>
        <v>0</v>
      </c>
      <c r="ES9" s="27">
        <f>SUMIF('Raw Data - Production'!$A:$A,ES$4,'Raw Data - Production'!$D:$D)+SUMIF('Raw Data - Production'!$A:$A,ES$4,'Raw Data - Production'!$E:$E)+SUMIF('Raw Data - Production'!$A:$A,ES$4,'Raw Data - Production'!$F:$F)</f>
        <v>0</v>
      </c>
      <c r="ET9" s="27">
        <f>SUMIF('Raw Data - Production'!$A:$A,ET$4,'Raw Data - Production'!$D:$D)+SUMIF('Raw Data - Production'!$A:$A,ET$4,'Raw Data - Production'!$E:$E)+SUMIF('Raw Data - Production'!$A:$A,ET$4,'Raw Data - Production'!$F:$F)</f>
        <v>0</v>
      </c>
      <c r="EU9" s="27">
        <f>SUMIF('Raw Data - Production'!$A:$A,EU$4,'Raw Data - Production'!$D:$D)+SUMIF('Raw Data - Production'!$A:$A,EU$4,'Raw Data - Production'!$E:$E)+SUMIF('Raw Data - Production'!$A:$A,EU$4,'Raw Data - Production'!$F:$F)</f>
        <v>0</v>
      </c>
      <c r="EV9" s="27">
        <f>SUMIF('Raw Data - Production'!$A:$A,EV$4,'Raw Data - Production'!$D:$D)+SUMIF('Raw Data - Production'!$A:$A,EV$4,'Raw Data - Production'!$E:$E)+SUMIF('Raw Data - Production'!$A:$A,EV$4,'Raw Data - Production'!$F:$F)</f>
        <v>0</v>
      </c>
      <c r="EW9" s="27">
        <f>SUMIF('Raw Data - Production'!$A:$A,EW$4,'Raw Data - Production'!$D:$D)+SUMIF('Raw Data - Production'!$A:$A,EW$4,'Raw Data - Production'!$E:$E)+SUMIF('Raw Data - Production'!$A:$A,EW$4,'Raw Data - Production'!$F:$F)</f>
        <v>0</v>
      </c>
      <c r="EX9" s="27">
        <f>SUMIF('Raw Data - Production'!$A:$A,EX$4,'Raw Data - Production'!$D:$D)+SUMIF('Raw Data - Production'!$A:$A,EX$4,'Raw Data - Production'!$E:$E)+SUMIF('Raw Data - Production'!$A:$A,EX$4,'Raw Data - Production'!$F:$F)</f>
        <v>0</v>
      </c>
      <c r="EY9" s="27">
        <f>SUMIF('Raw Data - Production'!$A:$A,EY$4,'Raw Data - Production'!$D:$D)+SUMIF('Raw Data - Production'!$A:$A,EY$4,'Raw Data - Production'!$E:$E)+SUMIF('Raw Data - Production'!$A:$A,EY$4,'Raw Data - Production'!$F:$F)</f>
        <v>0</v>
      </c>
      <c r="EZ9" s="27">
        <f>SUMIF('Raw Data - Production'!$A:$A,EZ$4,'Raw Data - Production'!$D:$D)+SUMIF('Raw Data - Production'!$A:$A,EZ$4,'Raw Data - Production'!$E:$E)+SUMIF('Raw Data - Production'!$A:$A,EZ$4,'Raw Data - Production'!$F:$F)</f>
        <v>0</v>
      </c>
      <c r="FA9" s="27">
        <f>SUMIF('Raw Data - Production'!$A:$A,FA$4,'Raw Data - Production'!$D:$D)+SUMIF('Raw Data - Production'!$A:$A,FA$4,'Raw Data - Production'!$E:$E)+SUMIF('Raw Data - Production'!$A:$A,FA$4,'Raw Data - Production'!$F:$F)</f>
        <v>0</v>
      </c>
      <c r="FB9" s="27">
        <f>SUMIF('Raw Data - Production'!$A:$A,FB$4,'Raw Data - Production'!$D:$D)+SUMIF('Raw Data - Production'!$A:$A,FB$4,'Raw Data - Production'!$E:$E)+SUMIF('Raw Data - Production'!$A:$A,FB$4,'Raw Data - Production'!$F:$F)</f>
        <v>0</v>
      </c>
      <c r="FC9" s="27">
        <f>SUMIF('Raw Data - Production'!$A:$A,FC$4,'Raw Data - Production'!$D:$D)+SUMIF('Raw Data - Production'!$A:$A,FC$4,'Raw Data - Production'!$E:$E)+SUMIF('Raw Data - Production'!$A:$A,FC$4,'Raw Data - Production'!$F:$F)</f>
        <v>0</v>
      </c>
      <c r="FD9" s="27">
        <f>SUMIF('Raw Data - Production'!$A:$A,FD$4,'Raw Data - Production'!$D:$D)+SUMIF('Raw Data - Production'!$A:$A,FD$4,'Raw Data - Production'!$E:$E)+SUMIF('Raw Data - Production'!$A:$A,FD$4,'Raw Data - Production'!$F:$F)</f>
        <v>0</v>
      </c>
      <c r="FE9" s="27">
        <f>SUMIF('Raw Data - Production'!$A:$A,FE$4,'Raw Data - Production'!$D:$D)+SUMIF('Raw Data - Production'!$A:$A,FE$4,'Raw Data - Production'!$E:$E)+SUMIF('Raw Data - Production'!$A:$A,FE$4,'Raw Data - Production'!$F:$F)</f>
        <v>0</v>
      </c>
      <c r="FF9" s="27">
        <f>SUMIF('Raw Data - Production'!$A:$A,FF$4,'Raw Data - Production'!$D:$D)+SUMIF('Raw Data - Production'!$A:$A,FF$4,'Raw Data - Production'!$E:$E)+SUMIF('Raw Data - Production'!$A:$A,FF$4,'Raw Data - Production'!$F:$F)</f>
        <v>0</v>
      </c>
      <c r="FG9" s="27">
        <f>SUMIF('Raw Data - Production'!$A:$A,FG$4,'Raw Data - Production'!$D:$D)+SUMIF('Raw Data - Production'!$A:$A,FG$4,'Raw Data - Production'!$E:$E)+SUMIF('Raw Data - Production'!$A:$A,FG$4,'Raw Data - Production'!$F:$F)</f>
        <v>0</v>
      </c>
      <c r="FH9" s="27">
        <f>SUMIF('Raw Data - Production'!$A:$A,FH$4,'Raw Data - Production'!$D:$D)+SUMIF('Raw Data - Production'!$A:$A,FH$4,'Raw Data - Production'!$E:$E)+SUMIF('Raw Data - Production'!$A:$A,FH$4,'Raw Data - Production'!$F:$F)</f>
        <v>0</v>
      </c>
      <c r="FI9" s="27">
        <f>SUMIF('Raw Data - Production'!$A:$A,FI$4,'Raw Data - Production'!$D:$D)+SUMIF('Raw Data - Production'!$A:$A,FI$4,'Raw Data - Production'!$E:$E)+SUMIF('Raw Data - Production'!$A:$A,FI$4,'Raw Data - Production'!$F:$F)</f>
        <v>0</v>
      </c>
      <c r="FJ9" s="27">
        <f>SUMIF('Raw Data - Production'!$A:$A,FJ$4,'Raw Data - Production'!$D:$D)+SUMIF('Raw Data - Production'!$A:$A,FJ$4,'Raw Data - Production'!$E:$E)+SUMIF('Raw Data - Production'!$A:$A,FJ$4,'Raw Data - Production'!$F:$F)</f>
        <v>0</v>
      </c>
      <c r="FK9" s="27">
        <f>SUMIF('Raw Data - Production'!$A:$A,FK$4,'Raw Data - Production'!$D:$D)+SUMIF('Raw Data - Production'!$A:$A,FK$4,'Raw Data - Production'!$E:$E)+SUMIF('Raw Data - Production'!$A:$A,FK$4,'Raw Data - Production'!$F:$F)</f>
        <v>0</v>
      </c>
      <c r="FL9" s="27">
        <f>SUMIF('Raw Data - Production'!$A:$A,FL$4,'Raw Data - Production'!$D:$D)+SUMIF('Raw Data - Production'!$A:$A,FL$4,'Raw Data - Production'!$E:$E)+SUMIF('Raw Data - Production'!$A:$A,FL$4,'Raw Data - Production'!$F:$F)</f>
        <v>0</v>
      </c>
      <c r="FM9" s="27">
        <f>SUMIF('Raw Data - Production'!$A:$A,FM$4,'Raw Data - Production'!$D:$D)+SUMIF('Raw Data - Production'!$A:$A,FM$4,'Raw Data - Production'!$E:$E)+SUMIF('Raw Data - Production'!$A:$A,FM$4,'Raw Data - Production'!$F:$F)</f>
        <v>0</v>
      </c>
      <c r="FN9" s="27">
        <f>SUMIF('Raw Data - Production'!$A:$A,FN$4,'Raw Data - Production'!$D:$D)+SUMIF('Raw Data - Production'!$A:$A,FN$4,'Raw Data - Production'!$E:$E)+SUMIF('Raw Data - Production'!$A:$A,FN$4,'Raw Data - Production'!$F:$F)</f>
        <v>0</v>
      </c>
      <c r="FO9" s="27">
        <f>SUMIF('Raw Data - Production'!$A:$A,FO$4,'Raw Data - Production'!$D:$D)+SUMIF('Raw Data - Production'!$A:$A,FO$4,'Raw Data - Production'!$E:$E)+SUMIF('Raw Data - Production'!$A:$A,FO$4,'Raw Data - Production'!$F:$F)</f>
        <v>0</v>
      </c>
      <c r="FP9" s="27">
        <f>SUMIF('Raw Data - Production'!$A:$A,FP$4,'Raw Data - Production'!$D:$D)+SUMIF('Raw Data - Production'!$A:$A,FP$4,'Raw Data - Production'!$E:$E)+SUMIF('Raw Data - Production'!$A:$A,FP$4,'Raw Data - Production'!$F:$F)</f>
        <v>0</v>
      </c>
      <c r="FQ9" s="27">
        <f>SUMIF('Raw Data - Production'!$A:$A,FQ$4,'Raw Data - Production'!$D:$D)+SUMIF('Raw Data - Production'!$A:$A,FQ$4,'Raw Data - Production'!$E:$E)+SUMIF('Raw Data - Production'!$A:$A,FQ$4,'Raw Data - Production'!$F:$F)</f>
        <v>0</v>
      </c>
      <c r="FR9" s="27">
        <f>SUMIF('Raw Data - Production'!$A:$A,FR$4,'Raw Data - Production'!$D:$D)+SUMIF('Raw Data - Production'!$A:$A,FR$4,'Raw Data - Production'!$E:$E)+SUMIF('Raw Data - Production'!$A:$A,FR$4,'Raw Data - Production'!$F:$F)</f>
        <v>0</v>
      </c>
      <c r="FS9" s="27">
        <f>SUMIF('Raw Data - Production'!$A:$A,FS$4,'Raw Data - Production'!$D:$D)+SUMIF('Raw Data - Production'!$A:$A,FS$4,'Raw Data - Production'!$E:$E)+SUMIF('Raw Data - Production'!$A:$A,FS$4,'Raw Data - Production'!$F:$F)</f>
        <v>0</v>
      </c>
      <c r="FT9" s="27">
        <f>SUMIF('Raw Data - Production'!$A:$A,FT$4,'Raw Data - Production'!$D:$D)+SUMIF('Raw Data - Production'!$A:$A,FT$4,'Raw Data - Production'!$E:$E)+SUMIF('Raw Data - Production'!$A:$A,FT$4,'Raw Data - Production'!$F:$F)</f>
        <v>0</v>
      </c>
      <c r="FU9" s="27">
        <f>SUMIF('Raw Data - Production'!$A:$A,FU$4,'Raw Data - Production'!$D:$D)+SUMIF('Raw Data - Production'!$A:$A,FU$4,'Raw Data - Production'!$E:$E)+SUMIF('Raw Data - Production'!$A:$A,FU$4,'Raw Data - Production'!$F:$F)</f>
        <v>0</v>
      </c>
      <c r="FV9" s="27">
        <f>SUMIF('Raw Data - Production'!$A:$A,FV$4,'Raw Data - Production'!$D:$D)+SUMIF('Raw Data - Production'!$A:$A,FV$4,'Raw Data - Production'!$E:$E)+SUMIF('Raw Data - Production'!$A:$A,FV$4,'Raw Data - Production'!$F:$F)</f>
        <v>0</v>
      </c>
      <c r="FW9" s="27">
        <f>SUMIF('Raw Data - Production'!$A:$A,FW$4,'Raw Data - Production'!$D:$D)+SUMIF('Raw Data - Production'!$A:$A,FW$4,'Raw Data - Production'!$E:$E)+SUMIF('Raw Data - Production'!$A:$A,FW$4,'Raw Data - Production'!$F:$F)</f>
        <v>0</v>
      </c>
      <c r="FX9" s="27">
        <f>SUMIF('Raw Data - Production'!$A:$A,FX$4,'Raw Data - Production'!$D:$D)+SUMIF('Raw Data - Production'!$A:$A,FX$4,'Raw Data - Production'!$E:$E)+SUMIF('Raw Data - Production'!$A:$A,FX$4,'Raw Data - Production'!$F:$F)</f>
        <v>0</v>
      </c>
      <c r="FY9" s="27">
        <f>SUMIF('Raw Data - Production'!$A:$A,FY$4,'Raw Data - Production'!$D:$D)+SUMIF('Raw Data - Production'!$A:$A,FY$4,'Raw Data - Production'!$E:$E)+SUMIF('Raw Data - Production'!$A:$A,FY$4,'Raw Data - Production'!$F:$F)</f>
        <v>0</v>
      </c>
      <c r="FZ9" s="27">
        <f>SUMIF('Raw Data - Production'!$A:$A,FZ$4,'Raw Data - Production'!$D:$D)+SUMIF('Raw Data - Production'!$A:$A,FZ$4,'Raw Data - Production'!$E:$E)+SUMIF('Raw Data - Production'!$A:$A,FZ$4,'Raw Data - Production'!$F:$F)</f>
        <v>0</v>
      </c>
      <c r="GA9" s="27">
        <f>SUMIF('Raw Data - Production'!$A:$A,GA$4,'Raw Data - Production'!$D:$D)+SUMIF('Raw Data - Production'!$A:$A,GA$4,'Raw Data - Production'!$E:$E)+SUMIF('Raw Data - Production'!$A:$A,GA$4,'Raw Data - Production'!$F:$F)</f>
        <v>0</v>
      </c>
      <c r="GB9" s="27">
        <f>SUMIF('Raw Data - Production'!$A:$A,GB$4,'Raw Data - Production'!$D:$D)+SUMIF('Raw Data - Production'!$A:$A,GB$4,'Raw Data - Production'!$E:$E)+SUMIF('Raw Data - Production'!$A:$A,GB$4,'Raw Data - Production'!$F:$F)</f>
        <v>0</v>
      </c>
      <c r="GC9" s="27">
        <f>SUMIF('Raw Data - Production'!$A:$A,GC$4,'Raw Data - Production'!$D:$D)+SUMIF('Raw Data - Production'!$A:$A,GC$4,'Raw Data - Production'!$E:$E)+SUMIF('Raw Data - Production'!$A:$A,GC$4,'Raw Data - Production'!$F:$F)</f>
        <v>0</v>
      </c>
      <c r="GD9" s="27">
        <f>SUMIF('Raw Data - Production'!$A:$A,GD$4,'Raw Data - Production'!$D:$D)+SUMIF('Raw Data - Production'!$A:$A,GD$4,'Raw Data - Production'!$E:$E)+SUMIF('Raw Data - Production'!$A:$A,GD$4,'Raw Data - Production'!$F:$F)</f>
        <v>0</v>
      </c>
      <c r="GE9" s="27">
        <f>SUMIF('Raw Data - Production'!$A:$A,GE$4,'Raw Data - Production'!$D:$D)+SUMIF('Raw Data - Production'!$A:$A,GE$4,'Raw Data - Production'!$E:$E)+SUMIF('Raw Data - Production'!$A:$A,GE$4,'Raw Data - Production'!$F:$F)</f>
        <v>0</v>
      </c>
      <c r="GF9" s="27">
        <f>SUMIF('Raw Data - Production'!$A:$A,GF$4,'Raw Data - Production'!$D:$D)+SUMIF('Raw Data - Production'!$A:$A,GF$4,'Raw Data - Production'!$E:$E)+SUMIF('Raw Data - Production'!$A:$A,GF$4,'Raw Data - Production'!$F:$F)</f>
        <v>0</v>
      </c>
      <c r="GG9" s="27">
        <f>SUMIF('Raw Data - Production'!$A:$A,GG$4,'Raw Data - Production'!$D:$D)+SUMIF('Raw Data - Production'!$A:$A,GG$4,'Raw Data - Production'!$E:$E)+SUMIF('Raw Data - Production'!$A:$A,GG$4,'Raw Data - Production'!$F:$F)</f>
        <v>0</v>
      </c>
      <c r="GH9" s="27">
        <f>SUMIF('Raw Data - Production'!$A:$A,GH$4,'Raw Data - Production'!$D:$D)+SUMIF('Raw Data - Production'!$A:$A,GH$4,'Raw Data - Production'!$E:$E)+SUMIF('Raw Data - Production'!$A:$A,GH$4,'Raw Data - Production'!$F:$F)</f>
        <v>0</v>
      </c>
      <c r="GI9" s="27">
        <f>SUMIF('Raw Data - Production'!$A:$A,GI$4,'Raw Data - Production'!$D:$D)+SUMIF('Raw Data - Production'!$A:$A,GI$4,'Raw Data - Production'!$E:$E)+SUMIF('Raw Data - Production'!$A:$A,GI$4,'Raw Data - Production'!$F:$F)</f>
        <v>0</v>
      </c>
      <c r="GJ9" s="27">
        <f>SUMIF('Raw Data - Production'!$A:$A,GJ$4,'Raw Data - Production'!$D:$D)+SUMIF('Raw Data - Production'!$A:$A,GJ$4,'Raw Data - Production'!$E:$E)+SUMIF('Raw Data - Production'!$A:$A,GJ$4,'Raw Data - Production'!$F:$F)</f>
        <v>0</v>
      </c>
      <c r="GK9" s="27">
        <f>SUMIF('Raw Data - Production'!$A:$A,GK$4,'Raw Data - Production'!$D:$D)+SUMIF('Raw Data - Production'!$A:$A,GK$4,'Raw Data - Production'!$E:$E)+SUMIF('Raw Data - Production'!$A:$A,GK$4,'Raw Data - Production'!$F:$F)</f>
        <v>0</v>
      </c>
      <c r="GL9" s="27">
        <f>SUM(F9:GK9)</f>
        <v>5682915.2271604929</v>
      </c>
    </row>
    <row r="10" spans="1:195" s="28" customFormat="1" x14ac:dyDescent="0.35">
      <c r="A10" s="26" t="s">
        <v>40</v>
      </c>
      <c r="B10" s="27">
        <f>SUMIF('Raw Data - Packing'!$A:$A,B$4,'Raw Data - Packing'!$D:$D)</f>
        <v>10200</v>
      </c>
      <c r="C10" s="27">
        <f>SUMIF('Raw Data - Packing'!$A:$A,C$4,'Raw Data - Packing'!$D:$D)</f>
        <v>23340</v>
      </c>
      <c r="D10" s="27">
        <f>SUMIF('Raw Data - Packing'!$A:$A,D$4,'Raw Data - Packing'!$D:$D)</f>
        <v>9420</v>
      </c>
      <c r="E10" s="27">
        <f>SUMIF('Raw Data - Packing'!$A:$A,E$4,'Raw Data - Packing'!$D:$D)</f>
        <v>33360</v>
      </c>
      <c r="F10" s="27">
        <f>SUMIF('Raw Data - Packing'!$A:$A,F$4,'Raw Data - Packing'!$D:$D)</f>
        <v>34860</v>
      </c>
      <c r="G10" s="27">
        <f>SUMIF('Raw Data - Packing'!$A:$A,G$4,'Raw Data - Packing'!$D:$D)</f>
        <v>33480</v>
      </c>
      <c r="H10" s="27">
        <f>SUMIF('Raw Data - Packing'!$A:$A,H$4,'Raw Data - Packing'!$D:$D)</f>
        <v>52620</v>
      </c>
      <c r="I10" s="27">
        <f>SUMIF('Raw Data - Packing'!$A:$A,I$4,'Raw Data - Packing'!$D:$D)</f>
        <v>34080</v>
      </c>
      <c r="J10" s="27">
        <f>SUMIF('Raw Data - Packing'!$A:$A,J$4,'Raw Data - Packing'!$D:$D)</f>
        <v>0</v>
      </c>
      <c r="K10" s="27">
        <f>SUMIF('Raw Data - Packing'!$A:$A,K$4,'Raw Data - Packing'!$D:$D)</f>
        <v>32220</v>
      </c>
      <c r="L10" s="27">
        <f>SUMIF('Raw Data - Packing'!$A:$A,L$4,'Raw Data - Packing'!$D:$D)</f>
        <v>46380</v>
      </c>
      <c r="M10" s="27">
        <f>SUMIF('Raw Data - Packing'!$A:$A,M$4,'Raw Data - Packing'!$D:$D)</f>
        <v>47220</v>
      </c>
      <c r="N10" s="27">
        <f>SUMIF('Raw Data - Packing'!$A:$A,N$4,'Raw Data - Packing'!$D:$D)</f>
        <v>46020</v>
      </c>
      <c r="O10" s="27">
        <f>SUMIF('Raw Data - Packing'!$A:$A,O$4,'Raw Data - Packing'!$D:$D)</f>
        <v>0</v>
      </c>
      <c r="P10" s="27">
        <f>SUMIF('Raw Data - Packing'!$A:$A,P$4,'Raw Data - Packing'!$D:$D)</f>
        <v>42240</v>
      </c>
      <c r="Q10" s="27">
        <f>SUMIF('Raw Data - Packing'!$A:$A,Q$4,'Raw Data - Packing'!$D:$D)</f>
        <v>57960</v>
      </c>
      <c r="R10" s="27">
        <f>SUMIF('Raw Data - Packing'!$A:$A,R$4,'Raw Data - Packing'!$D:$D)</f>
        <v>54960</v>
      </c>
      <c r="S10" s="27">
        <f>SUMIF('Raw Data - Packing'!$A:$A,S$4,'Raw Data - Packing'!$D:$D)</f>
        <v>34800</v>
      </c>
      <c r="T10" s="27">
        <f>SUMIF('Raw Data - Packing'!$A:$A,T$4,'Raw Data - Packing'!$D:$D)</f>
        <v>0</v>
      </c>
      <c r="U10" s="27">
        <f>SUMIF('Raw Data - Packing'!$A:$A,U$4,'Raw Data - Packing'!$D:$D)</f>
        <v>56280</v>
      </c>
      <c r="V10" s="27">
        <f>SUMIF('Raw Data - Packing'!$A:$A,V$4,'Raw Data - Packing'!$D:$D)</f>
        <v>52680</v>
      </c>
      <c r="W10" s="27">
        <f>SUMIF('Raw Data - Packing'!$A:$A,W$4,'Raw Data - Packing'!$D:$D)</f>
        <v>67680</v>
      </c>
      <c r="X10" s="27">
        <f>SUMIF('Raw Data - Packing'!$A:$A,X$4,'Raw Data - Packing'!$D:$D)</f>
        <v>70200</v>
      </c>
      <c r="Y10" s="27">
        <f>SUMIF('Raw Data - Packing'!$A:$A,Y$4,'Raw Data - Packing'!$D:$D)</f>
        <v>0</v>
      </c>
      <c r="Z10" s="27">
        <f>SUMIF('Raw Data - Packing'!$A:$A,Z$4,'Raw Data - Packing'!$D:$D)</f>
        <v>66480</v>
      </c>
      <c r="AA10" s="27">
        <f>SUMIF('Raw Data - Packing'!$A:$A,AA$4,'Raw Data - Packing'!$D:$D)</f>
        <v>0</v>
      </c>
      <c r="AB10" s="27">
        <f>SUMIF('Raw Data - Packing'!$A:$A,AB$4,'Raw Data - Packing'!$D:$D)</f>
        <v>75960</v>
      </c>
      <c r="AC10" s="27">
        <f>SUMIF('Raw Data - Packing'!$A:$A,AC$4,'Raw Data - Packing'!$D:$D)</f>
        <v>90270</v>
      </c>
      <c r="AD10" s="27">
        <f>SUMIF('Raw Data - Packing'!$A:$A,AD$4,'Raw Data - Packing'!$D:$D)</f>
        <v>0</v>
      </c>
      <c r="AE10" s="27">
        <f>SUMIF('Raw Data - Packing'!$A:$A,AE$4,'Raw Data - Packing'!$D:$D)</f>
        <v>52920</v>
      </c>
      <c r="AF10" s="27">
        <f>SUMIF('Raw Data - Packing'!$A:$A,AF$4,'Raw Data - Packing'!$D:$D)</f>
        <v>108840</v>
      </c>
      <c r="AG10" s="27">
        <f>SUMIF('Raw Data - Packing'!$A:$A,AG$4,'Raw Data - Packing'!$D:$D)</f>
        <v>73740</v>
      </c>
      <c r="AH10" s="27">
        <f>SUMIF('Raw Data - Packing'!$A:$A,AH$4,'Raw Data - Packing'!$D:$D)</f>
        <v>0</v>
      </c>
      <c r="AI10" s="27">
        <f>SUMIF('Raw Data - Packing'!$A:$A,AI$4,'Raw Data - Packing'!$D:$D)</f>
        <v>0</v>
      </c>
      <c r="AJ10" s="27">
        <f>SUMIF('Raw Data - Packing'!$A:$A,AJ$4,'Raw Data - Packing'!$D:$D)</f>
        <v>33060</v>
      </c>
      <c r="AK10" s="27">
        <f>SUMIF('Raw Data - Packing'!$A:$A,AK$4,'Raw Data - Packing'!$D:$D)</f>
        <v>64320</v>
      </c>
      <c r="AL10" s="27">
        <f>SUMIF('Raw Data - Packing'!$A:$A,AL$4,'Raw Data - Packing'!$D:$D)</f>
        <v>68700</v>
      </c>
      <c r="AM10" s="27">
        <f>SUMIF('Raw Data - Packing'!$A:$A,AM$4,'Raw Data - Packing'!$D:$D)</f>
        <v>63240</v>
      </c>
      <c r="AN10" s="27">
        <f>SUMIF('Raw Data - Packing'!$A:$A,AN$4,'Raw Data - Packing'!$D:$D)</f>
        <v>0</v>
      </c>
      <c r="AO10" s="27">
        <f>SUMIF('Raw Data - Packing'!$A:$A,AO$4,'Raw Data - Packing'!$D:$D)</f>
        <v>66480</v>
      </c>
      <c r="AP10" s="27">
        <f>SUMIF('Raw Data - Packing'!$A:$A,AP$4,'Raw Data - Packing'!$D:$D)</f>
        <v>30780</v>
      </c>
      <c r="AQ10" s="27">
        <f>SUMIF('Raw Data - Packing'!$A:$A,AQ$4,'Raw Data - Packing'!$D:$D)</f>
        <v>49200</v>
      </c>
      <c r="AR10" s="27">
        <f>SUMIF('Raw Data - Packing'!$A:$A,AR$4,'Raw Data - Packing'!$D:$D)</f>
        <v>10380</v>
      </c>
      <c r="AS10" s="27">
        <f>SUMIF('Raw Data - Packing'!$A:$A,AS$4,'Raw Data - Packing'!$D:$D)</f>
        <v>0</v>
      </c>
      <c r="AT10" s="27">
        <f>SUMIF('Raw Data - Packing'!$A:$A,AT$4,'Raw Data - Packing'!$D:$D)</f>
        <v>43980</v>
      </c>
      <c r="AU10" s="27">
        <f>SUMIF('Raw Data - Packing'!$A:$A,AU$4,'Raw Data - Packing'!$D:$D)</f>
        <v>37800</v>
      </c>
      <c r="AV10" s="27">
        <f>SUMIF('Raw Data - Packing'!$A:$A,AV$4,'Raw Data - Packing'!$D:$D)</f>
        <v>63480</v>
      </c>
      <c r="AW10" s="27">
        <f>SUMIF('Raw Data - Packing'!$A:$A,AW$4,'Raw Data - Packing'!$D:$D)</f>
        <v>34080</v>
      </c>
      <c r="AX10" s="27">
        <f>SUMIF('Raw Data - Packing'!$A:$A,AX$4,'Raw Data - Packing'!$D:$D)</f>
        <v>96000</v>
      </c>
      <c r="AY10" s="27">
        <f>SUMIF('Raw Data - Packing'!$A:$A,AY$4,'Raw Data - Packing'!$D:$D)</f>
        <v>54540</v>
      </c>
      <c r="AZ10" s="27">
        <f>SUMIF('Raw Data - Packing'!$A:$A,AZ$4,'Raw Data - Packing'!$D:$D)</f>
        <v>47520</v>
      </c>
      <c r="BA10" s="27">
        <f>SUMIF('Raw Data - Packing'!$A:$A,BA$4,'Raw Data - Packing'!$D:$D)</f>
        <v>37800</v>
      </c>
      <c r="BB10" s="27">
        <f>SUMIF('Raw Data - Packing'!$A:$A,BB$4,'Raw Data - Packing'!$D:$D)</f>
        <v>61920</v>
      </c>
      <c r="BC10" s="27">
        <f>SUMIF('Raw Data - Packing'!$A:$A,BC$4,'Raw Data - Packing'!$D:$D)</f>
        <v>83340</v>
      </c>
      <c r="BD10" s="27">
        <f>SUMIF('Raw Data - Packing'!$A:$A,BD$4,'Raw Data - Packing'!$D:$D)</f>
        <v>52680</v>
      </c>
      <c r="BE10" s="27">
        <f>SUMIF('Raw Data - Packing'!$A:$A,BE$4,'Raw Data - Packing'!$D:$D)</f>
        <v>50280</v>
      </c>
      <c r="BF10" s="27">
        <f>SUMIF('Raw Data - Packing'!$A:$A,BF$4,'Raw Data - Packing'!$D:$D)</f>
        <v>11760</v>
      </c>
      <c r="BG10" s="27">
        <f>SUMIF('Raw Data - Packing'!$A:$A,BG$4,'Raw Data - Packing'!$D:$D)</f>
        <v>0</v>
      </c>
      <c r="BH10" s="27">
        <f>SUMIF('Raw Data - Packing'!$A:$A,BH$4,'Raw Data - Packing'!$D:$D)</f>
        <v>29100</v>
      </c>
      <c r="BI10" s="27">
        <f>SUMIF('Raw Data - Packing'!$A:$A,BI$4,'Raw Data - Packing'!$D:$D)</f>
        <v>105900</v>
      </c>
      <c r="BJ10" s="27">
        <f>SUMIF('Raw Data - Packing'!$A:$A,BJ$4,'Raw Data - Packing'!$D:$D)</f>
        <v>93720</v>
      </c>
      <c r="BK10" s="27">
        <f>SUMIF('Raw Data - Packing'!$A:$A,BK$4,'Raw Data - Packing'!$D:$D)</f>
        <v>62352</v>
      </c>
      <c r="BL10" s="27">
        <f>SUMIF('Raw Data - Packing'!$A:$A,BL$4,'Raw Data - Packing'!$D:$D)</f>
        <v>0</v>
      </c>
      <c r="BM10" s="27">
        <f>SUMIF('Raw Data - Packing'!$A:$A,BM$4,'Raw Data - Packing'!$D:$D)</f>
        <v>72420</v>
      </c>
      <c r="BN10" s="27">
        <f>SUMIF('Raw Data - Packing'!$A:$A,BN$4,'Raw Data - Packing'!$D:$D)</f>
        <v>56760</v>
      </c>
      <c r="BO10" s="27">
        <f>SUMIF('Raw Data - Packing'!$A:$A,BO$4,'Raw Data - Packing'!$D:$D)</f>
        <v>77340</v>
      </c>
      <c r="BP10" s="27">
        <f>SUMIF('Raw Data - Packing'!$A:$A,BP$4,'Raw Data - Packing'!$D:$D)</f>
        <v>96960</v>
      </c>
      <c r="BQ10" s="27">
        <f>SUMIF('Raw Data - Packing'!$A:$A,BQ$4,'Raw Data - Packing'!$D:$D)</f>
        <v>0</v>
      </c>
      <c r="BR10" s="27">
        <f>SUMIF('Raw Data - Packing'!$A:$A,BR$4,'Raw Data - Packing'!$D:$D)</f>
        <v>60480</v>
      </c>
      <c r="BS10" s="27">
        <f>SUMIF('Raw Data - Packing'!$A:$A,BS$4,'Raw Data - Packing'!$D:$D)</f>
        <v>90780</v>
      </c>
      <c r="BT10" s="27">
        <f>SUMIF('Raw Data - Packing'!$A:$A,BT$4,'Raw Data - Packing'!$D:$D)</f>
        <v>68040</v>
      </c>
      <c r="BU10" s="27">
        <f>SUMIF('Raw Data - Packing'!$A:$A,BU$4,'Raw Data - Packing'!$D:$D)</f>
        <v>0</v>
      </c>
      <c r="BV10" s="27">
        <f>SUMIF('Raw Data - Packing'!$A:$A,BV$4,'Raw Data - Packing'!$D:$D)</f>
        <v>44580</v>
      </c>
      <c r="BW10" s="27">
        <f>SUMIF('Raw Data - Packing'!$A:$A,BW$4,'Raw Data - Packing'!$D:$D)</f>
        <v>75600</v>
      </c>
      <c r="BX10" s="27">
        <f>SUMIF('Raw Data - Packing'!$A:$A,BX$4,'Raw Data - Packing'!$D:$D)</f>
        <v>30480</v>
      </c>
      <c r="BY10" s="27">
        <f>SUMIF('Raw Data - Packing'!$A:$A,BY$4,'Raw Data - Packing'!$D:$D)</f>
        <v>0</v>
      </c>
      <c r="BZ10" s="27">
        <f>SUMIF('Raw Data - Packing'!$A:$A,BZ$4,'Raw Data - Packing'!$D:$D)</f>
        <v>0</v>
      </c>
      <c r="CA10" s="27">
        <f>SUMIF('Raw Data - Packing'!$A:$A,CA$4,'Raw Data - Packing'!$D:$D)</f>
        <v>83250</v>
      </c>
      <c r="CB10" s="27">
        <f>SUMIF('Raw Data - Packing'!$A:$A,CB$4,'Raw Data - Packing'!$D:$D)</f>
        <v>0</v>
      </c>
      <c r="CC10" s="27">
        <f>SUMIF('Raw Data - Packing'!$A:$A,CC$4,'Raw Data - Packing'!$D:$D)</f>
        <v>0</v>
      </c>
      <c r="CD10" s="27">
        <f>SUMIF('Raw Data - Packing'!$A:$A,CD$4,'Raw Data - Packing'!$D:$D)</f>
        <v>0</v>
      </c>
      <c r="CE10" s="27">
        <f>SUMIF('Raw Data - Packing'!$A:$A,CE$4,'Raw Data - Packing'!$D:$D)</f>
        <v>0</v>
      </c>
      <c r="CF10" s="27">
        <f>SUMIF('Raw Data - Packing'!$A:$A,CF$4,'Raw Data - Packing'!$D:$D)</f>
        <v>0</v>
      </c>
      <c r="CG10" s="27">
        <f>SUMIF('Raw Data - Packing'!$A:$A,CG$4,'Raw Data - Packing'!$D:$D)</f>
        <v>0</v>
      </c>
      <c r="CH10" s="27">
        <f>SUMIF('Raw Data - Packing'!$A:$A,CH$4,'Raw Data - Packing'!$D:$D)</f>
        <v>37800</v>
      </c>
      <c r="CI10" s="27">
        <f>SUMIF('Raw Data - Packing'!$A:$A,CI$4,'Raw Data - Packing'!$D:$D)</f>
        <v>60480</v>
      </c>
      <c r="CJ10" s="27">
        <f>SUMIF('Raw Data - Packing'!$A:$A,CJ$4,'Raw Data - Packing'!$D:$D)</f>
        <v>87135</v>
      </c>
      <c r="CK10" s="27">
        <f>SUMIF('Raw Data - Packing'!$A:$A,CK$4,'Raw Data - Packing'!$D:$D)</f>
        <v>62490</v>
      </c>
      <c r="CL10" s="27">
        <f>SUMIF('Raw Data - Packing'!$A:$A,CL$4,'Raw Data - Packing'!$D:$D)</f>
        <v>104775</v>
      </c>
      <c r="CM10" s="27">
        <f>SUMIF('Raw Data - Packing'!$A:$A,CM$4,'Raw Data - Packing'!$D:$D)</f>
        <v>58320</v>
      </c>
      <c r="CN10" s="27">
        <f>SUMIF('Raw Data - Packing'!$A:$A,CN$4,'Raw Data - Packing'!$D:$D)</f>
        <v>45360</v>
      </c>
      <c r="CO10" s="27">
        <f>SUMIF('Raw Data - Packing'!$A:$A,CO$4,'Raw Data - Packing'!$D:$D)</f>
        <v>0</v>
      </c>
      <c r="CP10" s="27">
        <f>SUMIF('Raw Data - Packing'!$A:$A,CP$4,'Raw Data - Packing'!$D:$D)</f>
        <v>59940</v>
      </c>
      <c r="CQ10" s="27">
        <f>SUMIF('Raw Data - Packing'!$A:$A,CQ$4,'Raw Data - Packing'!$D:$D)</f>
        <v>78780</v>
      </c>
      <c r="CR10" s="27">
        <f>SUMIF('Raw Data - Packing'!$A:$A,CR$4,'Raw Data - Packing'!$D:$D)</f>
        <v>52920</v>
      </c>
      <c r="CS10" s="27">
        <f>SUMIF('Raw Data - Packing'!$A:$A,CS$4,'Raw Data - Packing'!$D:$D)</f>
        <v>43560</v>
      </c>
      <c r="CT10" s="27">
        <f>SUMIF('Raw Data - Packing'!$A:$A,CT$4,'Raw Data - Packing'!$D:$D)</f>
        <v>0</v>
      </c>
      <c r="CU10" s="27">
        <f>SUMIF('Raw Data - Packing'!$A:$A,CU$4,'Raw Data - Packing'!$D:$D)</f>
        <v>63780</v>
      </c>
      <c r="CV10" s="27">
        <f>SUMIF('Raw Data - Packing'!$A:$A,CV$4,'Raw Data - Packing'!$D:$D)</f>
        <v>48060</v>
      </c>
      <c r="CW10" s="27">
        <f>SUMIF('Raw Data - Packing'!$A:$A,CW$4,'Raw Data - Packing'!$D:$D)</f>
        <v>60480</v>
      </c>
      <c r="CX10" s="27">
        <f>SUMIF('Raw Data - Packing'!$A:$A,CX$4,'Raw Data - Packing'!$D:$D)</f>
        <v>25320</v>
      </c>
      <c r="CY10" s="27">
        <f>SUMIF('Raw Data - Packing'!$A:$A,CY$4,'Raw Data - Packing'!$D:$D)</f>
        <v>0</v>
      </c>
      <c r="CZ10" s="27">
        <f>SUMIF('Raw Data - Packing'!$A:$A,CZ$4,'Raw Data - Packing'!$D:$D)</f>
        <v>30240</v>
      </c>
      <c r="DA10" s="27">
        <f>SUMIF('Raw Data - Packing'!$A:$A,DA$4,'Raw Data - Packing'!$D:$D)</f>
        <v>15120</v>
      </c>
      <c r="DB10" s="27">
        <f>SUMIF('Raw Data - Packing'!$A:$A,DB$4,'Raw Data - Packing'!$D:$D)</f>
        <v>99300</v>
      </c>
      <c r="DC10" s="27">
        <f>SUMIF('Raw Data - Packing'!$A:$A,DC$4,'Raw Data - Packing'!$D:$D)</f>
        <v>0</v>
      </c>
      <c r="DD10" s="27">
        <f>SUMIF('Raw Data - Packing'!$A:$A,DD$4,'Raw Data - Packing'!$D:$D)</f>
        <v>0</v>
      </c>
      <c r="DE10" s="27">
        <f>SUMIF('Raw Data - Packing'!$A:$A,DE$4,'Raw Data - Packing'!$D:$D)</f>
        <v>0</v>
      </c>
      <c r="DF10" s="27">
        <f>SUMIF('Raw Data - Packing'!$A:$A,DF$4,'Raw Data - Packing'!$D:$D)</f>
        <v>93240</v>
      </c>
      <c r="DG10" s="27">
        <f>SUMIF('Raw Data - Packing'!$A:$A,DG$4,'Raw Data - Packing'!$D:$D)</f>
        <v>86520</v>
      </c>
      <c r="DH10" s="27">
        <f>SUMIF('Raw Data - Packing'!$A:$A,DH$4,'Raw Data - Packing'!$D:$D)</f>
        <v>60480</v>
      </c>
      <c r="DI10" s="27">
        <f>SUMIF('Raw Data - Packing'!$A:$A,DI$4,'Raw Data - Packing'!$D:$D)</f>
        <v>49380</v>
      </c>
      <c r="DJ10" s="27">
        <f>SUMIF('Raw Data - Packing'!$A:$A,DJ$4,'Raw Data - Packing'!$D:$D)</f>
        <v>23750</v>
      </c>
      <c r="DK10" s="27">
        <f>SUMIF('Raw Data - Packing'!$A:$A,DK$4,'Raw Data - Packing'!$D:$D)</f>
        <v>78960</v>
      </c>
      <c r="DL10" s="27">
        <f>SUMIF('Raw Data - Packing'!$A:$A,DL$4,'Raw Data - Packing'!$D:$D)</f>
        <v>33810</v>
      </c>
      <c r="DM10" s="27">
        <f>SUMIF('Raw Data - Packing'!$A:$A,DM$4,'Raw Data - Packing'!$D:$D)</f>
        <v>227580</v>
      </c>
      <c r="DN10" s="27">
        <f>SUMIF('Raw Data - Packing'!$A:$A,DN$4,'Raw Data - Packing'!$D:$D)</f>
        <v>0</v>
      </c>
      <c r="DO10" s="27">
        <f>SUMIF('Raw Data - Packing'!$A:$A,DO$4,'Raw Data - Packing'!$D:$D)</f>
        <v>93360</v>
      </c>
      <c r="DP10" s="27">
        <f>SUMIF('Raw Data - Packing'!$A:$A,DP$4,'Raw Data - Packing'!$D:$D)</f>
        <v>0</v>
      </c>
      <c r="DQ10" s="27">
        <f>SUMIF('Raw Data - Packing'!$A:$A,DQ$4,'Raw Data - Packing'!$D:$D)</f>
        <v>0</v>
      </c>
      <c r="DR10" s="27">
        <f>SUMIF('Raw Data - Packing'!$A:$A,DR$4,'Raw Data - Packing'!$D:$D)</f>
        <v>0</v>
      </c>
      <c r="DS10" s="27">
        <f>SUMIF('Raw Data - Packing'!$A:$A,DS$4,'Raw Data - Packing'!$D:$D)</f>
        <v>0</v>
      </c>
      <c r="DT10" s="27">
        <f>SUMIF('Raw Data - Packing'!$A:$A,DT$4,'Raw Data - Packing'!$D:$D)</f>
        <v>0</v>
      </c>
      <c r="DU10" s="27">
        <f>SUMIF('Raw Data - Packing'!$A:$A,DU$4,'Raw Data - Packing'!$D:$D)</f>
        <v>0</v>
      </c>
      <c r="DV10" s="27">
        <f>SUMIF('Raw Data - Packing'!$A:$A,DV$4,'Raw Data - Packing'!$D:$D)</f>
        <v>0</v>
      </c>
      <c r="DW10" s="27">
        <f>SUMIF('Raw Data - Packing'!$A:$A,DW$4,'Raw Data - Packing'!$D:$D)</f>
        <v>0</v>
      </c>
      <c r="DX10" s="27">
        <f>SUMIF('Raw Data - Packing'!$A:$A,DX$4,'Raw Data - Packing'!$D:$D)</f>
        <v>0</v>
      </c>
      <c r="DY10" s="27">
        <f>SUMIF('Raw Data - Packing'!$A:$A,DY$4,'Raw Data - Packing'!$D:$D)</f>
        <v>0</v>
      </c>
      <c r="DZ10" s="27">
        <f>SUMIF('Raw Data - Packing'!$A:$A,DZ$4,'Raw Data - Packing'!$D:$D)</f>
        <v>0</v>
      </c>
      <c r="EA10" s="27">
        <f>SUMIF('Raw Data - Packing'!$A:$A,EA$4,'Raw Data - Packing'!$D:$D)</f>
        <v>0</v>
      </c>
      <c r="EB10" s="27">
        <f>SUMIF('Raw Data - Packing'!$A:$A,EB$4,'Raw Data - Packing'!$D:$D)</f>
        <v>0</v>
      </c>
      <c r="EC10" s="27">
        <f>SUMIF('Raw Data - Packing'!$A:$A,EC$4,'Raw Data - Packing'!$D:$D)</f>
        <v>0</v>
      </c>
      <c r="ED10" s="27">
        <f>SUMIF('Raw Data - Packing'!$A:$A,ED$4,'Raw Data - Packing'!$D:$D)</f>
        <v>0</v>
      </c>
      <c r="EE10" s="27">
        <f>SUMIF('Raw Data - Packing'!$A:$A,EE$4,'Raw Data - Packing'!$D:$D)</f>
        <v>0</v>
      </c>
      <c r="EF10" s="27">
        <f>SUMIF('Raw Data - Packing'!$A:$A,EF$4,'Raw Data - Packing'!$D:$D)</f>
        <v>0</v>
      </c>
      <c r="EG10" s="27">
        <f>SUMIF('Raw Data - Packing'!$A:$A,EG$4,'Raw Data - Packing'!$D:$D)</f>
        <v>0</v>
      </c>
      <c r="EH10" s="27">
        <f>SUMIF('Raw Data - Packing'!$A:$A,EH$4,'Raw Data - Packing'!$D:$D)</f>
        <v>0</v>
      </c>
      <c r="EI10" s="27">
        <f>SUMIF('Raw Data - Packing'!$A:$A,EI$4,'Raw Data - Packing'!$D:$D)</f>
        <v>0</v>
      </c>
      <c r="EJ10" s="27">
        <f>SUMIF('Raw Data - Packing'!$A:$A,EJ$4,'Raw Data - Packing'!$D:$D)</f>
        <v>0</v>
      </c>
      <c r="EK10" s="27">
        <f>SUMIF('Raw Data - Packing'!$A:$A,EK$4,'Raw Data - Packing'!$D:$D)</f>
        <v>0</v>
      </c>
      <c r="EL10" s="27">
        <f>SUMIF('Raw Data - Packing'!$A:$A,EL$4,'Raw Data - Packing'!$D:$D)</f>
        <v>0</v>
      </c>
      <c r="EM10" s="27">
        <f>SUMIF('Raw Data - Packing'!$A:$A,EM$4,'Raw Data - Packing'!$D:$D)</f>
        <v>0</v>
      </c>
      <c r="EN10" s="27">
        <f>SUMIF('Raw Data - Packing'!$A:$A,EN$4,'Raw Data - Packing'!$D:$D)</f>
        <v>0</v>
      </c>
      <c r="EO10" s="27">
        <f>SUMIF('Raw Data - Packing'!$A:$A,EO$4,'Raw Data - Packing'!$D:$D)</f>
        <v>0</v>
      </c>
      <c r="EP10" s="27">
        <f>SUMIF('Raw Data - Packing'!$A:$A,EP$4,'Raw Data - Packing'!$D:$D)</f>
        <v>0</v>
      </c>
      <c r="EQ10" s="27">
        <f>SUMIF('Raw Data - Packing'!$A:$A,EQ$4,'Raw Data - Packing'!$D:$D)</f>
        <v>0</v>
      </c>
      <c r="ER10" s="27">
        <f>SUMIF('Raw Data - Packing'!$A:$A,ER$4,'Raw Data - Packing'!$D:$D)</f>
        <v>0</v>
      </c>
      <c r="ES10" s="27">
        <f>SUMIF('Raw Data - Packing'!$A:$A,ES$4,'Raw Data - Packing'!$D:$D)</f>
        <v>0</v>
      </c>
      <c r="ET10" s="27">
        <f>SUMIF('Raw Data - Packing'!$A:$A,ET$4,'Raw Data - Packing'!$D:$D)</f>
        <v>0</v>
      </c>
      <c r="EU10" s="27">
        <f>SUMIF('Raw Data - Packing'!$A:$A,EU$4,'Raw Data - Packing'!$D:$D)</f>
        <v>0</v>
      </c>
      <c r="EV10" s="27">
        <f>SUMIF('Raw Data - Packing'!$A:$A,EV$4,'Raw Data - Packing'!$D:$D)</f>
        <v>0</v>
      </c>
      <c r="EW10" s="27">
        <f>SUMIF('Raw Data - Packing'!$A:$A,EW$4,'Raw Data - Packing'!$D:$D)</f>
        <v>0</v>
      </c>
      <c r="EX10" s="27">
        <f>SUMIF('Raw Data - Packing'!$A:$A,EX$4,'Raw Data - Packing'!$D:$D)</f>
        <v>0</v>
      </c>
      <c r="EY10" s="27">
        <f>SUMIF('Raw Data - Packing'!$A:$A,EY$4,'Raw Data - Packing'!$D:$D)</f>
        <v>0</v>
      </c>
      <c r="EZ10" s="27">
        <f>SUMIF('Raw Data - Packing'!$A:$A,EZ$4,'Raw Data - Packing'!$D:$D)</f>
        <v>0</v>
      </c>
      <c r="FA10" s="27">
        <f>SUMIF('Raw Data - Packing'!$A:$A,FA$4,'Raw Data - Packing'!$D:$D)</f>
        <v>0</v>
      </c>
      <c r="FB10" s="27">
        <f>SUMIF('Raw Data - Packing'!$A:$A,FB$4,'Raw Data - Packing'!$D:$D)</f>
        <v>0</v>
      </c>
      <c r="FC10" s="27">
        <f>SUMIF('Raw Data - Packing'!$A:$A,FC$4,'Raw Data - Packing'!$D:$D)</f>
        <v>0</v>
      </c>
      <c r="FD10" s="27">
        <f>SUMIF('Raw Data - Packing'!$A:$A,FD$4,'Raw Data - Packing'!$D:$D)</f>
        <v>0</v>
      </c>
      <c r="FE10" s="27">
        <f>SUMIF('Raw Data - Packing'!$A:$A,FE$4,'Raw Data - Packing'!$D:$D)</f>
        <v>0</v>
      </c>
      <c r="FF10" s="27">
        <f>SUMIF('Raw Data - Packing'!$A:$A,FF$4,'Raw Data - Packing'!$D:$D)</f>
        <v>0</v>
      </c>
      <c r="FG10" s="27">
        <f>SUMIF('Raw Data - Packing'!$A:$A,FG$4,'Raw Data - Packing'!$D:$D)</f>
        <v>0</v>
      </c>
      <c r="FH10" s="27">
        <f>SUMIF('Raw Data - Packing'!$A:$A,FH$4,'Raw Data - Packing'!$D:$D)</f>
        <v>0</v>
      </c>
      <c r="FI10" s="27">
        <f>SUMIF('Raw Data - Packing'!$A:$A,FI$4,'Raw Data - Packing'!$D:$D)</f>
        <v>0</v>
      </c>
      <c r="FJ10" s="27">
        <f>SUMIF('Raw Data - Packing'!$A:$A,FJ$4,'Raw Data - Packing'!$D:$D)</f>
        <v>0</v>
      </c>
      <c r="FK10" s="27">
        <f>SUMIF('Raw Data - Packing'!$A:$A,FK$4,'Raw Data - Packing'!$D:$D)</f>
        <v>0</v>
      </c>
      <c r="FL10" s="27">
        <f>SUMIF('Raw Data - Packing'!$A:$A,FL$4,'Raw Data - Packing'!$D:$D)</f>
        <v>0</v>
      </c>
      <c r="FM10" s="27">
        <f>SUMIF('Raw Data - Packing'!$A:$A,FM$4,'Raw Data - Packing'!$D:$D)</f>
        <v>0</v>
      </c>
      <c r="FN10" s="27">
        <f>SUMIF('Raw Data - Packing'!$A:$A,FN$4,'Raw Data - Packing'!$D:$D)</f>
        <v>0</v>
      </c>
      <c r="FO10" s="27">
        <f>SUMIF('Raw Data - Packing'!$A:$A,FO$4,'Raw Data - Packing'!$D:$D)</f>
        <v>0</v>
      </c>
      <c r="FP10" s="27">
        <f>SUMIF('Raw Data - Packing'!$A:$A,FP$4,'Raw Data - Packing'!$D:$D)</f>
        <v>0</v>
      </c>
      <c r="FQ10" s="27">
        <f>SUMIF('Raw Data - Packing'!$A:$A,FQ$4,'Raw Data - Packing'!$D:$D)</f>
        <v>0</v>
      </c>
      <c r="FR10" s="27">
        <f>SUMIF('Raw Data - Packing'!$A:$A,FR$4,'Raw Data - Packing'!$D:$D)</f>
        <v>0</v>
      </c>
      <c r="FS10" s="27">
        <f>SUMIF('Raw Data - Packing'!$A:$A,FS$4,'Raw Data - Packing'!$D:$D)</f>
        <v>0</v>
      </c>
      <c r="FT10" s="27">
        <f>SUMIF('Raw Data - Packing'!$A:$A,FT$4,'Raw Data - Packing'!$D:$D)</f>
        <v>0</v>
      </c>
      <c r="FU10" s="27">
        <f>SUMIF('Raw Data - Packing'!$A:$A,FU$4,'Raw Data - Packing'!$D:$D)</f>
        <v>0</v>
      </c>
      <c r="FV10" s="27">
        <f>SUMIF('Raw Data - Packing'!$A:$A,FV$4,'Raw Data - Packing'!$D:$D)</f>
        <v>0</v>
      </c>
      <c r="FW10" s="27">
        <f>SUMIF('Raw Data - Packing'!$A:$A,FW$4,'Raw Data - Packing'!$D:$D)</f>
        <v>0</v>
      </c>
      <c r="FX10" s="27">
        <f>SUMIF('Raw Data - Packing'!$A:$A,FX$4,'Raw Data - Packing'!$D:$D)</f>
        <v>0</v>
      </c>
      <c r="FY10" s="27">
        <f>SUMIF('Raw Data - Packing'!$A:$A,FY$4,'Raw Data - Packing'!$D:$D)</f>
        <v>0</v>
      </c>
      <c r="FZ10" s="27">
        <f>SUMIF('Raw Data - Packing'!$A:$A,FZ$4,'Raw Data - Packing'!$D:$D)</f>
        <v>0</v>
      </c>
      <c r="GA10" s="27">
        <f>SUMIF('Raw Data - Packing'!$A:$A,GA$4,'Raw Data - Packing'!$D:$D)</f>
        <v>0</v>
      </c>
      <c r="GB10" s="27">
        <f>SUMIF('Raw Data - Packing'!$A:$A,GB$4,'Raw Data - Packing'!$D:$D)</f>
        <v>0</v>
      </c>
      <c r="GC10" s="27">
        <f>SUMIF('Raw Data - Packing'!$A:$A,GC$4,'Raw Data - Packing'!$D:$D)</f>
        <v>0</v>
      </c>
      <c r="GD10" s="27">
        <f>SUMIF('Raw Data - Packing'!$A:$A,GD$4,'Raw Data - Packing'!$D:$D)</f>
        <v>0</v>
      </c>
      <c r="GE10" s="27">
        <f>SUMIF('Raw Data - Packing'!$A:$A,GE$4,'Raw Data - Packing'!$D:$D)</f>
        <v>0</v>
      </c>
      <c r="GF10" s="27">
        <f>SUMIF('Raw Data - Packing'!$A:$A,GF$4,'Raw Data - Packing'!$D:$D)</f>
        <v>0</v>
      </c>
      <c r="GG10" s="27">
        <f>SUMIF('Raw Data - Packing'!$A:$A,GG$4,'Raw Data - Packing'!$D:$D)</f>
        <v>0</v>
      </c>
      <c r="GH10" s="27">
        <f>SUMIF('Raw Data - Packing'!$A:$A,GH$4,'Raw Data - Packing'!$D:$D)</f>
        <v>0</v>
      </c>
      <c r="GI10" s="27">
        <f>SUMIF('Raw Data - Packing'!$A:$A,GI$4,'Raw Data - Packing'!$D:$D)</f>
        <v>0</v>
      </c>
      <c r="GJ10" s="27">
        <f>SUMIF('Raw Data - Packing'!$A:$A,GJ$4,'Raw Data - Packing'!$D:$D)</f>
        <v>0</v>
      </c>
      <c r="GK10" s="27">
        <f>SUMIF('Raw Data - Packing'!$A:$A,GK$4,'Raw Data - Packing'!$D:$D)</f>
        <v>0</v>
      </c>
      <c r="GL10" s="27">
        <f>SUM(F10:GK10)</f>
        <v>5121932</v>
      </c>
      <c r="GM10" s="27"/>
    </row>
    <row r="11" spans="1:195" x14ac:dyDescent="0.35">
      <c r="A11" s="31"/>
      <c r="B11" s="3"/>
      <c r="C11" s="3"/>
      <c r="D11" s="3"/>
      <c r="E11" s="3"/>
    </row>
    <row r="12" spans="1:195" ht="15" thickBot="1" x14ac:dyDescent="0.4">
      <c r="A12" s="3"/>
      <c r="B12" s="3"/>
      <c r="C12" s="3"/>
      <c r="D12" s="3"/>
      <c r="E12" s="3"/>
    </row>
    <row r="13" spans="1:195" s="114" customFormat="1" x14ac:dyDescent="0.35">
      <c r="A13" s="112" t="s">
        <v>231</v>
      </c>
      <c r="B13" s="113">
        <f>+B9-B6</f>
        <v>10200</v>
      </c>
      <c r="C13" s="113">
        <f t="shared" ref="C13:BN13" si="9">+C9-C6</f>
        <v>23340</v>
      </c>
      <c r="D13" s="113">
        <f t="shared" si="9"/>
        <v>9420</v>
      </c>
      <c r="E13" s="113">
        <f t="shared" si="9"/>
        <v>33360</v>
      </c>
      <c r="F13" s="113">
        <f t="shared" si="9"/>
        <v>23340</v>
      </c>
      <c r="G13" s="113">
        <f t="shared" si="9"/>
        <v>21960</v>
      </c>
      <c r="H13" s="113">
        <f t="shared" si="9"/>
        <v>41100</v>
      </c>
      <c r="I13" s="113">
        <f t="shared" si="9"/>
        <v>22560</v>
      </c>
      <c r="J13" s="113">
        <f t="shared" si="9"/>
        <v>0</v>
      </c>
      <c r="K13" s="113">
        <f t="shared" si="9"/>
        <v>20700</v>
      </c>
      <c r="L13" s="113">
        <f t="shared" si="9"/>
        <v>34860</v>
      </c>
      <c r="M13" s="113">
        <f t="shared" si="9"/>
        <v>35700</v>
      </c>
      <c r="N13" s="113">
        <f t="shared" si="9"/>
        <v>34500</v>
      </c>
      <c r="O13" s="113">
        <f t="shared" si="9"/>
        <v>0</v>
      </c>
      <c r="P13" s="113">
        <f t="shared" si="9"/>
        <v>30720</v>
      </c>
      <c r="Q13" s="113">
        <f t="shared" si="9"/>
        <v>49442.469135802472</v>
      </c>
      <c r="R13" s="113">
        <f t="shared" si="9"/>
        <v>67396.543209876545</v>
      </c>
      <c r="S13" s="113">
        <f t="shared" si="9"/>
        <v>23280</v>
      </c>
      <c r="T13" s="113">
        <f t="shared" si="9"/>
        <v>0</v>
      </c>
      <c r="U13" s="113">
        <f t="shared" si="9"/>
        <v>50101.234567901236</v>
      </c>
      <c r="V13" s="113">
        <f t="shared" si="9"/>
        <v>43988.641975308645</v>
      </c>
      <c r="W13" s="113">
        <f t="shared" si="9"/>
        <v>61027.160493827163</v>
      </c>
      <c r="X13" s="113">
        <f t="shared" si="9"/>
        <v>58680</v>
      </c>
      <c r="Y13" s="113">
        <f t="shared" si="9"/>
        <v>0</v>
      </c>
      <c r="Z13" s="113">
        <f t="shared" si="9"/>
        <v>60111.604938271601</v>
      </c>
      <c r="AA13" s="113">
        <f t="shared" si="9"/>
        <v>55620</v>
      </c>
      <c r="AB13" s="113">
        <f t="shared" si="9"/>
        <v>72949.629629629635</v>
      </c>
      <c r="AC13" s="113">
        <f t="shared" si="9"/>
        <v>84438.888888888891</v>
      </c>
      <c r="AD13" s="113">
        <f t="shared" si="9"/>
        <v>0</v>
      </c>
      <c r="AE13" s="113">
        <f t="shared" si="9"/>
        <v>-20481.975308641973</v>
      </c>
      <c r="AF13" s="113">
        <f t="shared" si="9"/>
        <v>18824.691358024691</v>
      </c>
      <c r="AG13" s="113">
        <f t="shared" si="9"/>
        <v>36410.864197530871</v>
      </c>
      <c r="AH13" s="113">
        <f t="shared" si="9"/>
        <v>72656.790123456798</v>
      </c>
      <c r="AI13" s="113">
        <f t="shared" si="9"/>
        <v>0</v>
      </c>
      <c r="AJ13" s="113">
        <f t="shared" si="9"/>
        <v>14382.222222222219</v>
      </c>
      <c r="AK13" s="113">
        <f t="shared" si="9"/>
        <v>30690.370370370365</v>
      </c>
      <c r="AL13" s="113">
        <f t="shared" si="9"/>
        <v>36808.641975308637</v>
      </c>
      <c r="AM13" s="113">
        <f t="shared" si="9"/>
        <v>40384.938271604944</v>
      </c>
      <c r="AN13" s="113">
        <f t="shared" si="9"/>
        <v>0</v>
      </c>
      <c r="AO13" s="113">
        <f t="shared" si="9"/>
        <v>28448.395061728399</v>
      </c>
      <c r="AP13" s="113">
        <f t="shared" si="9"/>
        <v>33616.1975308642</v>
      </c>
      <c r="AQ13" s="113">
        <f t="shared" si="9"/>
        <v>31792.1975308642</v>
      </c>
      <c r="AR13" s="113">
        <f t="shared" si="9"/>
        <v>15264</v>
      </c>
      <c r="AS13" s="113">
        <f t="shared" si="9"/>
        <v>0</v>
      </c>
      <c r="AT13" s="113">
        <f t="shared" si="9"/>
        <v>35760.592592592599</v>
      </c>
      <c r="AU13" s="113">
        <f t="shared" si="9"/>
        <v>-36000</v>
      </c>
      <c r="AV13" s="113">
        <f t="shared" si="9"/>
        <v>-36000</v>
      </c>
      <c r="AW13" s="113">
        <f t="shared" si="9"/>
        <v>65776.1975308642</v>
      </c>
      <c r="AX13" s="113">
        <f t="shared" si="9"/>
        <v>23871.604938271601</v>
      </c>
      <c r="AY13" s="113">
        <f t="shared" si="9"/>
        <v>34334.814814814818</v>
      </c>
      <c r="AZ13" s="113">
        <f t="shared" si="9"/>
        <v>679.20987654320925</v>
      </c>
      <c r="BA13" s="113">
        <f t="shared" si="9"/>
        <v>-10126.419753086418</v>
      </c>
      <c r="BB13" s="113">
        <f t="shared" si="9"/>
        <v>-57600</v>
      </c>
      <c r="BC13" s="113">
        <f t="shared" si="9"/>
        <v>-57600</v>
      </c>
      <c r="BD13" s="113">
        <f t="shared" si="9"/>
        <v>32746.666666666672</v>
      </c>
      <c r="BE13" s="113">
        <f t="shared" si="9"/>
        <v>-12131.358024691355</v>
      </c>
      <c r="BF13" s="113">
        <f t="shared" si="9"/>
        <v>8738.925925925927</v>
      </c>
      <c r="BG13" s="113">
        <f t="shared" si="9"/>
        <v>-57600</v>
      </c>
      <c r="BH13" s="113">
        <f t="shared" si="9"/>
        <v>-23405.432098765436</v>
      </c>
      <c r="BI13" s="113">
        <f t="shared" si="9"/>
        <v>11802.469135802472</v>
      </c>
      <c r="BJ13" s="113">
        <f t="shared" si="9"/>
        <v>834.76543209876399</v>
      </c>
      <c r="BK13" s="113">
        <f t="shared" si="9"/>
        <v>6869.530864197528</v>
      </c>
      <c r="BL13" s="113">
        <f t="shared" si="9"/>
        <v>-57600</v>
      </c>
      <c r="BM13" s="113">
        <f t="shared" si="9"/>
        <v>16984.938271604944</v>
      </c>
      <c r="BN13" s="113">
        <f t="shared" si="9"/>
        <v>4371.0493827160462</v>
      </c>
      <c r="BO13" s="113">
        <f t="shared" ref="BO13:DJ13" si="10">+BO9-BO6</f>
        <v>22951.901234567908</v>
      </c>
      <c r="BP13" s="113">
        <f t="shared" si="10"/>
        <v>42497.925925925927</v>
      </c>
      <c r="BQ13" s="113">
        <f t="shared" si="10"/>
        <v>-57600</v>
      </c>
      <c r="BR13" s="113">
        <f t="shared" si="10"/>
        <v>20392.059259259258</v>
      </c>
      <c r="BS13" s="113">
        <f t="shared" si="10"/>
        <v>19763.886419753093</v>
      </c>
      <c r="BT13" s="113">
        <f t="shared" si="10"/>
        <v>8568.2567901234579</v>
      </c>
      <c r="BU13" s="113">
        <f t="shared" si="10"/>
        <v>-66355.199999999997</v>
      </c>
      <c r="BV13" s="113">
        <f t="shared" si="10"/>
        <v>8824.7308641975396</v>
      </c>
      <c r="BW13" s="113">
        <f t="shared" si="10"/>
        <v>26200.651851851857</v>
      </c>
      <c r="BX13" s="113">
        <f t="shared" si="10"/>
        <v>-369.81728395061509</v>
      </c>
      <c r="BY13" s="113">
        <f t="shared" si="10"/>
        <v>5865.2444444444409</v>
      </c>
      <c r="BZ13" s="113">
        <f t="shared" si="10"/>
        <v>-66355.199999999997</v>
      </c>
      <c r="CA13" s="113">
        <f t="shared" si="10"/>
        <v>-66355.199999999997</v>
      </c>
      <c r="CB13" s="113">
        <f t="shared" si="10"/>
        <v>-66355.199999999997</v>
      </c>
      <c r="CC13" s="113">
        <f t="shared" si="10"/>
        <v>-66355.199999999997</v>
      </c>
      <c r="CD13" s="113">
        <f t="shared" si="10"/>
        <v>-66355.199999999997</v>
      </c>
      <c r="CE13" s="113">
        <f t="shared" si="10"/>
        <v>-66355.199999999997</v>
      </c>
      <c r="CF13" s="113">
        <f t="shared" si="10"/>
        <v>-10394.706172839506</v>
      </c>
      <c r="CG13" s="113">
        <f t="shared" si="10"/>
        <v>20870.083950617292</v>
      </c>
      <c r="CH13" s="113">
        <f t="shared" si="10"/>
        <v>15000.059259259258</v>
      </c>
      <c r="CI13" s="113">
        <f t="shared" si="10"/>
        <v>14803.120987654329</v>
      </c>
      <c r="CJ13" s="113">
        <f t="shared" si="10"/>
        <v>-66355.199999999997</v>
      </c>
      <c r="CK13" s="113">
        <f t="shared" si="10"/>
        <v>-3206.9530864197513</v>
      </c>
      <c r="CL13" s="113">
        <f t="shared" si="10"/>
        <v>-17467.199999999997</v>
      </c>
      <c r="CM13" s="113">
        <f t="shared" si="10"/>
        <v>8585.1456790123484</v>
      </c>
      <c r="CN13" s="113">
        <f t="shared" si="10"/>
        <v>-20266.508641975306</v>
      </c>
      <c r="CO13" s="113">
        <f t="shared" si="10"/>
        <v>-66355.199999999997</v>
      </c>
      <c r="CP13" s="113">
        <f t="shared" si="10"/>
        <v>-10966.518518518511</v>
      </c>
      <c r="CQ13" s="113">
        <f t="shared" si="10"/>
        <v>12151.703703703708</v>
      </c>
      <c r="CR13" s="113">
        <f t="shared" si="10"/>
        <v>5301.135802469129</v>
      </c>
      <c r="CS13" s="113">
        <f t="shared" si="10"/>
        <v>-27956.543209876545</v>
      </c>
      <c r="CT13" s="113">
        <f t="shared" si="10"/>
        <v>-86400</v>
      </c>
      <c r="CU13" s="113">
        <f t="shared" si="10"/>
        <v>-14377.08641975309</v>
      </c>
      <c r="CV13" s="113">
        <f t="shared" si="10"/>
        <v>3869.629629629635</v>
      </c>
      <c r="CW13" s="113">
        <f t="shared" si="10"/>
        <v>8270.617283950618</v>
      </c>
      <c r="CX13" s="113">
        <f t="shared" si="10"/>
        <v>-86400</v>
      </c>
      <c r="CY13" s="113">
        <f t="shared" si="10"/>
        <v>-86400</v>
      </c>
      <c r="CZ13" s="113">
        <f t="shared" si="10"/>
        <v>-86400</v>
      </c>
      <c r="DA13" s="113">
        <f t="shared" si="10"/>
        <v>30487.703703703708</v>
      </c>
      <c r="DB13" s="113">
        <f t="shared" si="10"/>
        <v>-86400</v>
      </c>
      <c r="DC13" s="113">
        <f t="shared" si="10"/>
        <v>-86400</v>
      </c>
      <c r="DD13" s="113">
        <f t="shared" si="10"/>
        <v>-86400</v>
      </c>
      <c r="DE13" s="113">
        <f t="shared" si="10"/>
        <v>-86400</v>
      </c>
      <c r="DF13" s="113">
        <f t="shared" si="10"/>
        <v>23783.901234567908</v>
      </c>
      <c r="DG13" s="113">
        <f t="shared" si="10"/>
        <v>64447.604938271601</v>
      </c>
      <c r="DH13" s="113">
        <f t="shared" si="10"/>
        <v>27794.962962962964</v>
      </c>
      <c r="DI13" s="113">
        <f t="shared" si="10"/>
        <v>-86400</v>
      </c>
      <c r="DJ13" s="113">
        <f t="shared" si="10"/>
        <v>15801.08641975309</v>
      </c>
      <c r="DK13" s="113"/>
      <c r="DL13" s="113"/>
      <c r="DM13" s="113"/>
      <c r="DN13" s="113"/>
      <c r="DO13" s="113"/>
      <c r="DP13" s="113"/>
      <c r="DQ13" s="113"/>
      <c r="DR13" s="113"/>
      <c r="DS13" s="113"/>
      <c r="DT13" s="113"/>
      <c r="DU13" s="113"/>
      <c r="DV13" s="113"/>
      <c r="DW13" s="113"/>
      <c r="DX13" s="113"/>
      <c r="DY13" s="113"/>
      <c r="DZ13" s="113"/>
      <c r="EA13" s="113"/>
      <c r="EB13" s="113"/>
      <c r="EC13" s="113"/>
      <c r="ED13" s="113"/>
      <c r="EE13" s="113"/>
      <c r="EF13" s="113"/>
      <c r="EG13" s="113"/>
      <c r="EH13" s="113"/>
      <c r="EI13" s="113"/>
      <c r="EJ13" s="113"/>
      <c r="EK13" s="113"/>
      <c r="EL13" s="113"/>
      <c r="EM13" s="113"/>
      <c r="EN13" s="113"/>
      <c r="EO13" s="113"/>
      <c r="EP13" s="113"/>
      <c r="EQ13" s="113"/>
      <c r="ER13" s="113"/>
      <c r="ES13" s="113"/>
      <c r="ET13" s="113"/>
      <c r="EU13" s="113"/>
      <c r="EV13" s="113"/>
      <c r="EW13" s="113"/>
      <c r="EX13" s="113"/>
      <c r="EY13" s="113"/>
      <c r="EZ13" s="113"/>
      <c r="FA13" s="113"/>
      <c r="FB13" s="113"/>
      <c r="FC13" s="113"/>
      <c r="FD13" s="113"/>
      <c r="FE13" s="113"/>
      <c r="FF13" s="113"/>
      <c r="FG13" s="113"/>
      <c r="FH13" s="113"/>
      <c r="FI13" s="113"/>
      <c r="FJ13" s="113"/>
      <c r="FK13" s="113"/>
      <c r="FL13" s="113"/>
      <c r="FM13" s="113"/>
      <c r="FN13" s="113"/>
      <c r="FO13" s="113"/>
      <c r="FP13" s="113"/>
      <c r="FQ13" s="113"/>
      <c r="FR13" s="113"/>
      <c r="FS13" s="113"/>
      <c r="FT13" s="113"/>
      <c r="FU13" s="113"/>
      <c r="FV13" s="113"/>
      <c r="FW13" s="113"/>
      <c r="FX13" s="113"/>
      <c r="FY13" s="113"/>
      <c r="FZ13" s="113"/>
      <c r="GA13" s="113"/>
      <c r="GB13" s="113"/>
      <c r="GC13" s="113"/>
      <c r="GD13" s="113"/>
      <c r="GE13" s="113"/>
      <c r="GF13" s="113"/>
      <c r="GG13" s="113"/>
      <c r="GH13" s="113"/>
      <c r="GI13" s="113"/>
      <c r="GJ13" s="113"/>
      <c r="GK13" s="113"/>
      <c r="GL13" s="119">
        <f>SUM(B13:GK13)</f>
        <v>71130.34074074094</v>
      </c>
    </row>
    <row r="14" spans="1:195" s="116" customFormat="1" x14ac:dyDescent="0.35">
      <c r="A14" s="115" t="s">
        <v>232</v>
      </c>
      <c r="B14" s="70">
        <f>+B10-B6</f>
        <v>10200</v>
      </c>
      <c r="C14" s="70">
        <f t="shared" ref="C14:BN14" si="11">+C10-C6</f>
        <v>23340</v>
      </c>
      <c r="D14" s="70">
        <f t="shared" si="11"/>
        <v>9420</v>
      </c>
      <c r="E14" s="70">
        <f t="shared" si="11"/>
        <v>33360</v>
      </c>
      <c r="F14" s="70">
        <f t="shared" si="11"/>
        <v>23340</v>
      </c>
      <c r="G14" s="70">
        <f t="shared" si="11"/>
        <v>21960</v>
      </c>
      <c r="H14" s="70">
        <f t="shared" si="11"/>
        <v>41100</v>
      </c>
      <c r="I14" s="70">
        <f t="shared" si="11"/>
        <v>22560</v>
      </c>
      <c r="J14" s="70">
        <f t="shared" si="11"/>
        <v>0</v>
      </c>
      <c r="K14" s="70">
        <f t="shared" si="11"/>
        <v>20700</v>
      </c>
      <c r="L14" s="70">
        <f t="shared" si="11"/>
        <v>34860</v>
      </c>
      <c r="M14" s="70">
        <f t="shared" si="11"/>
        <v>35700</v>
      </c>
      <c r="N14" s="70">
        <f t="shared" si="11"/>
        <v>34500</v>
      </c>
      <c r="O14" s="70">
        <f t="shared" si="11"/>
        <v>0</v>
      </c>
      <c r="P14" s="70">
        <f t="shared" si="11"/>
        <v>30720</v>
      </c>
      <c r="Q14" s="70">
        <f t="shared" si="11"/>
        <v>46440</v>
      </c>
      <c r="R14" s="70">
        <f t="shared" si="11"/>
        <v>43440</v>
      </c>
      <c r="S14" s="70">
        <f t="shared" si="11"/>
        <v>23280</v>
      </c>
      <c r="T14" s="70">
        <f t="shared" si="11"/>
        <v>0</v>
      </c>
      <c r="U14" s="70">
        <f t="shared" si="11"/>
        <v>44760</v>
      </c>
      <c r="V14" s="70">
        <f t="shared" si="11"/>
        <v>41160</v>
      </c>
      <c r="W14" s="70">
        <f t="shared" si="11"/>
        <v>56160</v>
      </c>
      <c r="X14" s="70">
        <f t="shared" si="11"/>
        <v>58680</v>
      </c>
      <c r="Y14" s="70">
        <f t="shared" si="11"/>
        <v>0</v>
      </c>
      <c r="Z14" s="70">
        <f t="shared" si="11"/>
        <v>54960</v>
      </c>
      <c r="AA14" s="70">
        <f t="shared" si="11"/>
        <v>-11520</v>
      </c>
      <c r="AB14" s="70">
        <f t="shared" si="11"/>
        <v>64440</v>
      </c>
      <c r="AC14" s="70">
        <f t="shared" si="11"/>
        <v>78750</v>
      </c>
      <c r="AD14" s="70">
        <f t="shared" si="11"/>
        <v>0</v>
      </c>
      <c r="AE14" s="70">
        <f t="shared" si="11"/>
        <v>16920</v>
      </c>
      <c r="AF14" s="70">
        <f t="shared" si="11"/>
        <v>72840</v>
      </c>
      <c r="AG14" s="70">
        <f t="shared" si="11"/>
        <v>37740</v>
      </c>
      <c r="AH14" s="70">
        <f t="shared" si="11"/>
        <v>-36000</v>
      </c>
      <c r="AI14" s="70">
        <f t="shared" si="11"/>
        <v>0</v>
      </c>
      <c r="AJ14" s="70">
        <f t="shared" si="11"/>
        <v>-2940</v>
      </c>
      <c r="AK14" s="70">
        <f t="shared" si="11"/>
        <v>28320</v>
      </c>
      <c r="AL14" s="70">
        <f t="shared" si="11"/>
        <v>32700</v>
      </c>
      <c r="AM14" s="70">
        <f t="shared" si="11"/>
        <v>27240</v>
      </c>
      <c r="AN14" s="70">
        <f t="shared" si="11"/>
        <v>0</v>
      </c>
      <c r="AO14" s="70">
        <f t="shared" si="11"/>
        <v>30480</v>
      </c>
      <c r="AP14" s="70">
        <f t="shared" si="11"/>
        <v>-5220</v>
      </c>
      <c r="AQ14" s="70">
        <f t="shared" si="11"/>
        <v>13200</v>
      </c>
      <c r="AR14" s="70">
        <f t="shared" si="11"/>
        <v>-25620</v>
      </c>
      <c r="AS14" s="70">
        <f t="shared" si="11"/>
        <v>0</v>
      </c>
      <c r="AT14" s="70">
        <f t="shared" si="11"/>
        <v>7980</v>
      </c>
      <c r="AU14" s="70">
        <f t="shared" si="11"/>
        <v>1800</v>
      </c>
      <c r="AV14" s="70">
        <f t="shared" si="11"/>
        <v>27480</v>
      </c>
      <c r="AW14" s="70">
        <f t="shared" si="11"/>
        <v>34080</v>
      </c>
      <c r="AX14" s="70">
        <f t="shared" si="11"/>
        <v>38400</v>
      </c>
      <c r="AY14" s="70">
        <f t="shared" si="11"/>
        <v>-3060</v>
      </c>
      <c r="AZ14" s="70">
        <f t="shared" si="11"/>
        <v>-10080</v>
      </c>
      <c r="BA14" s="70">
        <f t="shared" si="11"/>
        <v>-19800</v>
      </c>
      <c r="BB14" s="70">
        <f t="shared" si="11"/>
        <v>4320</v>
      </c>
      <c r="BC14" s="70">
        <f t="shared" si="11"/>
        <v>25740</v>
      </c>
      <c r="BD14" s="70">
        <f t="shared" si="11"/>
        <v>-4920</v>
      </c>
      <c r="BE14" s="70">
        <f t="shared" si="11"/>
        <v>-7320</v>
      </c>
      <c r="BF14" s="70">
        <f t="shared" si="11"/>
        <v>-45840</v>
      </c>
      <c r="BG14" s="70">
        <f t="shared" si="11"/>
        <v>-57600</v>
      </c>
      <c r="BH14" s="70">
        <f t="shared" si="11"/>
        <v>-28500</v>
      </c>
      <c r="BI14" s="70">
        <f t="shared" si="11"/>
        <v>48300</v>
      </c>
      <c r="BJ14" s="70">
        <f t="shared" si="11"/>
        <v>36120</v>
      </c>
      <c r="BK14" s="70">
        <f t="shared" si="11"/>
        <v>4752</v>
      </c>
      <c r="BL14" s="70">
        <f t="shared" si="11"/>
        <v>-57600</v>
      </c>
      <c r="BM14" s="70">
        <f t="shared" si="11"/>
        <v>14820</v>
      </c>
      <c r="BN14" s="70">
        <f t="shared" si="11"/>
        <v>-840</v>
      </c>
      <c r="BO14" s="70">
        <f t="shared" ref="BO14:DJ14" si="12">+BO10-BO6</f>
        <v>19740</v>
      </c>
      <c r="BP14" s="70">
        <f t="shared" si="12"/>
        <v>39360</v>
      </c>
      <c r="BQ14" s="70">
        <f t="shared" si="12"/>
        <v>-57600</v>
      </c>
      <c r="BR14" s="70">
        <f t="shared" si="12"/>
        <v>-5875.1999999999971</v>
      </c>
      <c r="BS14" s="70">
        <f t="shared" si="12"/>
        <v>24424.800000000003</v>
      </c>
      <c r="BT14" s="70">
        <f t="shared" si="12"/>
        <v>1684.8000000000029</v>
      </c>
      <c r="BU14" s="70">
        <f t="shared" si="12"/>
        <v>-66355.199999999997</v>
      </c>
      <c r="BV14" s="70">
        <f t="shared" si="12"/>
        <v>-21775.199999999997</v>
      </c>
      <c r="BW14" s="70">
        <f t="shared" si="12"/>
        <v>9244.8000000000029</v>
      </c>
      <c r="BX14" s="70">
        <f t="shared" si="12"/>
        <v>-35875.199999999997</v>
      </c>
      <c r="BY14" s="70">
        <f t="shared" si="12"/>
        <v>-66355.199999999997</v>
      </c>
      <c r="BZ14" s="70">
        <f t="shared" si="12"/>
        <v>-66355.199999999997</v>
      </c>
      <c r="CA14" s="70">
        <f t="shared" si="12"/>
        <v>16894.800000000003</v>
      </c>
      <c r="CB14" s="70">
        <f t="shared" si="12"/>
        <v>-66355.199999999997</v>
      </c>
      <c r="CC14" s="70">
        <f t="shared" si="12"/>
        <v>-66355.199999999997</v>
      </c>
      <c r="CD14" s="70">
        <f t="shared" si="12"/>
        <v>-66355.199999999997</v>
      </c>
      <c r="CE14" s="70">
        <f t="shared" si="12"/>
        <v>-66355.199999999997</v>
      </c>
      <c r="CF14" s="70">
        <f t="shared" si="12"/>
        <v>-66355.199999999997</v>
      </c>
      <c r="CG14" s="70">
        <f t="shared" si="12"/>
        <v>-66355.199999999997</v>
      </c>
      <c r="CH14" s="70">
        <f t="shared" si="12"/>
        <v>-28555.199999999997</v>
      </c>
      <c r="CI14" s="70">
        <f t="shared" si="12"/>
        <v>-5875.1999999999971</v>
      </c>
      <c r="CJ14" s="70">
        <f t="shared" si="12"/>
        <v>20779.800000000003</v>
      </c>
      <c r="CK14" s="70">
        <f t="shared" si="12"/>
        <v>-3865.1999999999971</v>
      </c>
      <c r="CL14" s="70">
        <f t="shared" si="12"/>
        <v>38419.800000000003</v>
      </c>
      <c r="CM14" s="70">
        <f t="shared" si="12"/>
        <v>-8035.1999999999971</v>
      </c>
      <c r="CN14" s="70">
        <f t="shared" si="12"/>
        <v>-20995.199999999997</v>
      </c>
      <c r="CO14" s="70">
        <f t="shared" si="12"/>
        <v>-66355.199999999997</v>
      </c>
      <c r="CP14" s="70">
        <f t="shared" si="12"/>
        <v>-26460</v>
      </c>
      <c r="CQ14" s="70">
        <f t="shared" si="12"/>
        <v>-7620</v>
      </c>
      <c r="CR14" s="70">
        <f t="shared" si="12"/>
        <v>-33480</v>
      </c>
      <c r="CS14" s="70">
        <f t="shared" si="12"/>
        <v>-42840</v>
      </c>
      <c r="CT14" s="70">
        <f t="shared" si="12"/>
        <v>-86400</v>
      </c>
      <c r="CU14" s="70">
        <f t="shared" si="12"/>
        <v>-22620</v>
      </c>
      <c r="CV14" s="70">
        <f t="shared" si="12"/>
        <v>-38340</v>
      </c>
      <c r="CW14" s="70">
        <f t="shared" si="12"/>
        <v>-25920</v>
      </c>
      <c r="CX14" s="70">
        <f t="shared" si="12"/>
        <v>-61080</v>
      </c>
      <c r="CY14" s="70">
        <f t="shared" si="12"/>
        <v>-86400</v>
      </c>
      <c r="CZ14" s="70">
        <f t="shared" si="12"/>
        <v>-56160</v>
      </c>
      <c r="DA14" s="70">
        <f t="shared" si="12"/>
        <v>-71280</v>
      </c>
      <c r="DB14" s="70">
        <f t="shared" si="12"/>
        <v>12900</v>
      </c>
      <c r="DC14" s="70">
        <f t="shared" si="12"/>
        <v>-86400</v>
      </c>
      <c r="DD14" s="70">
        <f t="shared" si="12"/>
        <v>-86400</v>
      </c>
      <c r="DE14" s="70">
        <f t="shared" si="12"/>
        <v>-86400</v>
      </c>
      <c r="DF14" s="70">
        <f t="shared" si="12"/>
        <v>6840</v>
      </c>
      <c r="DG14" s="70">
        <f t="shared" si="12"/>
        <v>120</v>
      </c>
      <c r="DH14" s="70">
        <f t="shared" si="12"/>
        <v>-25920</v>
      </c>
      <c r="DI14" s="70">
        <f t="shared" si="12"/>
        <v>-37020</v>
      </c>
      <c r="DJ14" s="70">
        <f t="shared" si="12"/>
        <v>-74746</v>
      </c>
      <c r="DK14" s="70"/>
      <c r="DL14" s="70"/>
      <c r="DM14" s="70"/>
      <c r="DN14" s="70"/>
      <c r="DO14" s="70"/>
      <c r="DP14" s="70"/>
      <c r="DQ14" s="70"/>
      <c r="DR14" s="70"/>
      <c r="DS14" s="70"/>
      <c r="DT14" s="70"/>
      <c r="DU14" s="70"/>
      <c r="DV14" s="70"/>
      <c r="DW14" s="70"/>
      <c r="DX14" s="70"/>
      <c r="DY14" s="70"/>
      <c r="DZ14" s="70"/>
      <c r="EA14" s="70"/>
      <c r="EB14" s="70"/>
      <c r="EC14" s="70"/>
      <c r="ED14" s="70"/>
      <c r="EE14" s="70"/>
      <c r="EF14" s="70"/>
      <c r="EG14" s="70"/>
      <c r="EH14" s="70"/>
      <c r="EI14" s="70"/>
      <c r="EJ14" s="70"/>
      <c r="EK14" s="70"/>
      <c r="EL14" s="70"/>
      <c r="EM14" s="70"/>
      <c r="EN14" s="70"/>
      <c r="EO14" s="70"/>
      <c r="EP14" s="70"/>
      <c r="EQ14" s="70"/>
      <c r="ER14" s="70"/>
      <c r="ES14" s="70"/>
      <c r="ET14" s="70"/>
      <c r="EU14" s="70"/>
      <c r="EV14" s="70"/>
      <c r="EW14" s="70"/>
      <c r="EX14" s="70"/>
      <c r="EY14" s="70"/>
      <c r="EZ14" s="70"/>
      <c r="FA14" s="70"/>
      <c r="FB14" s="70"/>
      <c r="FC14" s="70"/>
      <c r="FD14" s="70"/>
      <c r="FE14" s="70"/>
      <c r="FF14" s="70"/>
      <c r="FG14" s="70"/>
      <c r="FH14" s="70"/>
      <c r="FI14" s="70"/>
      <c r="FJ14" s="70"/>
      <c r="FK14" s="70"/>
      <c r="FL14" s="70"/>
      <c r="FM14" s="70"/>
      <c r="FN14" s="70"/>
      <c r="FO14" s="70"/>
      <c r="FP14" s="70"/>
      <c r="FQ14" s="70"/>
      <c r="FR14" s="70"/>
      <c r="FS14" s="70"/>
      <c r="FT14" s="70"/>
      <c r="FU14" s="70"/>
      <c r="FV14" s="70"/>
      <c r="FW14" s="70"/>
      <c r="FX14" s="70"/>
      <c r="FY14" s="70"/>
      <c r="FZ14" s="70"/>
      <c r="GA14" s="70"/>
      <c r="GB14" s="70"/>
      <c r="GC14" s="70"/>
      <c r="GD14" s="70"/>
      <c r="GE14" s="70"/>
      <c r="GF14" s="70"/>
      <c r="GG14" s="70"/>
      <c r="GH14" s="70"/>
      <c r="GI14" s="70"/>
      <c r="GJ14" s="70"/>
      <c r="GK14" s="70"/>
      <c r="GL14" s="70">
        <f>SUM(B14:GK14)</f>
        <v>-576878.79999999946</v>
      </c>
    </row>
    <row r="15" spans="1:195" s="30" customFormat="1" x14ac:dyDescent="0.35">
      <c r="A15" s="29" t="s">
        <v>233</v>
      </c>
      <c r="B15" s="107"/>
      <c r="C15" s="107"/>
      <c r="D15" s="107"/>
      <c r="E15" s="107"/>
      <c r="F15" s="107"/>
      <c r="G15" s="107"/>
      <c r="H15" s="107"/>
      <c r="I15" s="107"/>
      <c r="J15" s="107"/>
      <c r="K15" s="107"/>
      <c r="L15" s="107"/>
      <c r="M15" s="107"/>
      <c r="N15" s="107"/>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7"/>
      <c r="BK15" s="107"/>
      <c r="BL15" s="107"/>
      <c r="BM15" s="107"/>
      <c r="BN15" s="107"/>
      <c r="BO15" s="107"/>
      <c r="BP15" s="107"/>
      <c r="BQ15" s="107"/>
      <c r="BR15" s="107"/>
      <c r="BS15" s="107"/>
      <c r="BT15" s="107"/>
      <c r="BU15" s="107"/>
      <c r="BV15" s="107"/>
      <c r="BW15" s="107"/>
      <c r="BX15" s="107"/>
      <c r="BY15" s="107"/>
      <c r="BZ15" s="107"/>
      <c r="CA15" s="107"/>
      <c r="CB15" s="107"/>
      <c r="CC15" s="107"/>
      <c r="CD15" s="107"/>
      <c r="CE15" s="107"/>
      <c r="CF15" s="107"/>
      <c r="CG15" s="107"/>
      <c r="CH15" s="107"/>
      <c r="CI15" s="107"/>
      <c r="CJ15" s="107"/>
      <c r="CK15" s="107"/>
      <c r="CL15" s="107"/>
      <c r="CM15" s="107"/>
      <c r="CN15" s="107"/>
      <c r="CO15" s="107"/>
      <c r="CP15" s="107">
        <f t="shared" ref="CP15:DJ15" si="13">+CP9-CP7</f>
        <v>-4566.518518518511</v>
      </c>
      <c r="CQ15" s="107">
        <f t="shared" si="13"/>
        <v>18551.703703703708</v>
      </c>
      <c r="CR15" s="107">
        <f t="shared" si="13"/>
        <v>11701.135802469129</v>
      </c>
      <c r="CS15" s="107">
        <f t="shared" si="13"/>
        <v>-21556.543209876545</v>
      </c>
      <c r="CT15" s="107">
        <f t="shared" si="13"/>
        <v>0</v>
      </c>
      <c r="CU15" s="107">
        <f t="shared" si="13"/>
        <v>-7977.08641975309</v>
      </c>
      <c r="CV15" s="107">
        <f t="shared" si="13"/>
        <v>10269.629629629635</v>
      </c>
      <c r="CW15" s="107">
        <f t="shared" si="13"/>
        <v>14670.617283950618</v>
      </c>
      <c r="CX15" s="107">
        <f t="shared" si="13"/>
        <v>-80000</v>
      </c>
      <c r="CY15" s="107">
        <f t="shared" si="13"/>
        <v>0</v>
      </c>
      <c r="CZ15" s="107">
        <f t="shared" si="13"/>
        <v>-80000</v>
      </c>
      <c r="DA15" s="107">
        <f t="shared" si="13"/>
        <v>36887.703703703708</v>
      </c>
      <c r="DB15" s="107">
        <f t="shared" si="13"/>
        <v>0</v>
      </c>
      <c r="DC15" s="107">
        <f t="shared" si="13"/>
        <v>0</v>
      </c>
      <c r="DD15" s="107">
        <f t="shared" si="13"/>
        <v>0</v>
      </c>
      <c r="DE15" s="107">
        <f t="shared" si="13"/>
        <v>-80000</v>
      </c>
      <c r="DF15" s="107">
        <f t="shared" si="13"/>
        <v>30183.901234567908</v>
      </c>
      <c r="DG15" s="107">
        <f t="shared" si="13"/>
        <v>70847.604938271601</v>
      </c>
      <c r="DH15" s="107">
        <f t="shared" si="13"/>
        <v>34194.962962962964</v>
      </c>
      <c r="DI15" s="107">
        <f t="shared" si="13"/>
        <v>0</v>
      </c>
      <c r="DJ15" s="107">
        <f t="shared" si="13"/>
        <v>114297.08641975309</v>
      </c>
      <c r="DK15" s="107"/>
      <c r="DL15" s="107"/>
      <c r="DM15" s="107"/>
      <c r="DN15" s="107"/>
      <c r="DO15" s="107"/>
      <c r="DP15" s="107"/>
      <c r="DQ15" s="107"/>
      <c r="DR15" s="107"/>
      <c r="DS15" s="107"/>
      <c r="DT15" s="107"/>
      <c r="DU15" s="107"/>
      <c r="DV15" s="107"/>
      <c r="DW15" s="107"/>
      <c r="DX15" s="107"/>
      <c r="DY15" s="107"/>
      <c r="DZ15" s="107"/>
      <c r="EA15" s="107"/>
      <c r="EB15" s="107"/>
      <c r="EC15" s="107"/>
      <c r="ED15" s="107"/>
      <c r="EE15" s="107"/>
      <c r="EF15" s="107"/>
      <c r="EG15" s="107"/>
      <c r="EH15" s="107"/>
      <c r="EI15" s="107"/>
      <c r="EJ15" s="107"/>
      <c r="EK15" s="107"/>
      <c r="EL15" s="107"/>
      <c r="EM15" s="107"/>
      <c r="EN15" s="107"/>
      <c r="EO15" s="107"/>
      <c r="EP15" s="107"/>
      <c r="EQ15" s="107"/>
      <c r="ER15" s="107"/>
      <c r="ES15" s="107"/>
      <c r="ET15" s="107"/>
      <c r="EU15" s="107"/>
      <c r="EV15" s="107"/>
      <c r="EW15" s="107"/>
      <c r="EX15" s="107"/>
      <c r="EY15" s="107"/>
      <c r="EZ15" s="107"/>
      <c r="FA15" s="107"/>
      <c r="FB15" s="107"/>
      <c r="FC15" s="107"/>
      <c r="FD15" s="107"/>
      <c r="FE15" s="107"/>
      <c r="FF15" s="107"/>
      <c r="FG15" s="107"/>
      <c r="FH15" s="107"/>
      <c r="FI15" s="107"/>
      <c r="FJ15" s="107"/>
      <c r="FK15" s="107"/>
      <c r="FL15" s="107"/>
      <c r="FM15" s="107"/>
      <c r="FN15" s="107"/>
      <c r="FO15" s="107"/>
      <c r="FP15" s="107"/>
      <c r="FQ15" s="107"/>
      <c r="FR15" s="107"/>
      <c r="FS15" s="107"/>
      <c r="FT15" s="107"/>
      <c r="FU15" s="107"/>
      <c r="FV15" s="107"/>
      <c r="FW15" s="107"/>
      <c r="FX15" s="107"/>
      <c r="FY15" s="107"/>
      <c r="FZ15" s="107"/>
      <c r="GA15" s="107"/>
      <c r="GB15" s="107"/>
      <c r="GC15" s="107"/>
      <c r="GD15" s="107"/>
      <c r="GE15" s="107"/>
      <c r="GF15" s="107"/>
      <c r="GG15" s="107"/>
      <c r="GH15" s="107"/>
      <c r="GI15" s="107"/>
      <c r="GJ15" s="107"/>
      <c r="GK15" s="107"/>
      <c r="GL15" s="120">
        <f>SUM(B15:GK15)</f>
        <v>67504.197530864229</v>
      </c>
    </row>
    <row r="16" spans="1:195" s="110" customFormat="1" ht="15" thickBot="1" x14ac:dyDescent="0.4">
      <c r="A16" s="108" t="s">
        <v>234</v>
      </c>
      <c r="B16" s="109"/>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c r="AH16" s="109"/>
      <c r="AI16" s="109"/>
      <c r="AJ16" s="109"/>
      <c r="AK16" s="109"/>
      <c r="AL16" s="109"/>
      <c r="AM16" s="109"/>
      <c r="AN16" s="109"/>
      <c r="AO16" s="109"/>
      <c r="AP16" s="109"/>
      <c r="AQ16" s="109"/>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c r="BQ16" s="109"/>
      <c r="BR16" s="109"/>
      <c r="BS16" s="109"/>
      <c r="BT16" s="109"/>
      <c r="BU16" s="109"/>
      <c r="BV16" s="109"/>
      <c r="BW16" s="109"/>
      <c r="BX16" s="109"/>
      <c r="BY16" s="109"/>
      <c r="BZ16" s="109"/>
      <c r="CA16" s="109"/>
      <c r="CB16" s="109"/>
      <c r="CC16" s="109"/>
      <c r="CD16" s="109"/>
      <c r="CE16" s="109"/>
      <c r="CF16" s="109"/>
      <c r="CG16" s="109"/>
      <c r="CH16" s="109"/>
      <c r="CI16" s="109"/>
      <c r="CJ16" s="109"/>
      <c r="CK16" s="109"/>
      <c r="CL16" s="109"/>
      <c r="CM16" s="109"/>
      <c r="CN16" s="109"/>
      <c r="CO16" s="109"/>
      <c r="CP16" s="109">
        <f t="shared" ref="CP16:DJ16" si="14">+CP10-CP7</f>
        <v>-20060</v>
      </c>
      <c r="CQ16" s="109">
        <f t="shared" si="14"/>
        <v>-1220</v>
      </c>
      <c r="CR16" s="109">
        <f t="shared" si="14"/>
        <v>-27080</v>
      </c>
      <c r="CS16" s="109">
        <f t="shared" si="14"/>
        <v>-36440</v>
      </c>
      <c r="CT16" s="109">
        <f t="shared" si="14"/>
        <v>0</v>
      </c>
      <c r="CU16" s="109">
        <f t="shared" si="14"/>
        <v>-16220</v>
      </c>
      <c r="CV16" s="109">
        <f t="shared" si="14"/>
        <v>-31940</v>
      </c>
      <c r="CW16" s="109">
        <f t="shared" si="14"/>
        <v>-19520</v>
      </c>
      <c r="CX16" s="109">
        <f t="shared" si="14"/>
        <v>-54680</v>
      </c>
      <c r="CY16" s="109">
        <f t="shared" si="14"/>
        <v>0</v>
      </c>
      <c r="CZ16" s="109">
        <f t="shared" si="14"/>
        <v>-49760</v>
      </c>
      <c r="DA16" s="109">
        <f t="shared" si="14"/>
        <v>-64880</v>
      </c>
      <c r="DB16" s="109">
        <f t="shared" si="14"/>
        <v>99300</v>
      </c>
      <c r="DC16" s="109">
        <f t="shared" si="14"/>
        <v>0</v>
      </c>
      <c r="DD16" s="109">
        <f t="shared" si="14"/>
        <v>0</v>
      </c>
      <c r="DE16" s="109">
        <f t="shared" si="14"/>
        <v>-80000</v>
      </c>
      <c r="DF16" s="109">
        <f t="shared" si="14"/>
        <v>13240</v>
      </c>
      <c r="DG16" s="109">
        <f t="shared" si="14"/>
        <v>6520</v>
      </c>
      <c r="DH16" s="109">
        <f t="shared" si="14"/>
        <v>-19520</v>
      </c>
      <c r="DI16" s="109">
        <f t="shared" si="14"/>
        <v>49380</v>
      </c>
      <c r="DJ16" s="109">
        <f t="shared" si="14"/>
        <v>23750</v>
      </c>
      <c r="DK16" s="109"/>
      <c r="DL16" s="109"/>
      <c r="DM16" s="109"/>
      <c r="DN16" s="109"/>
      <c r="DO16" s="109"/>
      <c r="DP16" s="109"/>
      <c r="DQ16" s="109"/>
      <c r="DR16" s="109"/>
      <c r="DS16" s="109"/>
      <c r="DT16" s="109"/>
      <c r="DU16" s="109"/>
      <c r="DV16" s="109"/>
      <c r="DW16" s="109"/>
      <c r="DX16" s="109"/>
      <c r="DY16" s="109"/>
      <c r="DZ16" s="109"/>
      <c r="EA16" s="109"/>
      <c r="EB16" s="109"/>
      <c r="EC16" s="109"/>
      <c r="ED16" s="109"/>
      <c r="EE16" s="109"/>
      <c r="EF16" s="109"/>
      <c r="EG16" s="109"/>
      <c r="EH16" s="109"/>
      <c r="EI16" s="109"/>
      <c r="EJ16" s="109"/>
      <c r="EK16" s="109"/>
      <c r="EL16" s="109"/>
      <c r="EM16" s="109"/>
      <c r="EN16" s="109"/>
      <c r="EO16" s="109"/>
      <c r="EP16" s="109"/>
      <c r="EQ16" s="109"/>
      <c r="ER16" s="109"/>
      <c r="ES16" s="109"/>
      <c r="ET16" s="109"/>
      <c r="EU16" s="109"/>
      <c r="EV16" s="109"/>
      <c r="EW16" s="109"/>
      <c r="EX16" s="109"/>
      <c r="EY16" s="109"/>
      <c r="EZ16" s="109"/>
      <c r="FA16" s="109"/>
      <c r="FB16" s="109"/>
      <c r="FC16" s="109"/>
      <c r="FD16" s="109"/>
      <c r="FE16" s="109"/>
      <c r="FF16" s="109"/>
      <c r="FG16" s="109"/>
      <c r="FH16" s="109"/>
      <c r="FI16" s="109"/>
      <c r="FJ16" s="109"/>
      <c r="FK16" s="109"/>
      <c r="FL16" s="109"/>
      <c r="FM16" s="109"/>
      <c r="FN16" s="109"/>
      <c r="FO16" s="109"/>
      <c r="FP16" s="109"/>
      <c r="FQ16" s="109"/>
      <c r="FR16" s="109"/>
      <c r="FS16" s="109"/>
      <c r="FT16" s="109"/>
      <c r="FU16" s="109"/>
      <c r="FV16" s="109"/>
      <c r="FW16" s="109"/>
      <c r="FX16" s="109"/>
      <c r="FY16" s="109"/>
      <c r="FZ16" s="109"/>
      <c r="GA16" s="109"/>
      <c r="GB16" s="109"/>
      <c r="GC16" s="109"/>
      <c r="GD16" s="109"/>
      <c r="GE16" s="109"/>
      <c r="GF16" s="109"/>
      <c r="GG16" s="109"/>
      <c r="GH16" s="109"/>
      <c r="GI16" s="109"/>
      <c r="GJ16" s="109"/>
      <c r="GK16" s="109"/>
      <c r="GL16" s="109">
        <f>SUM(B16:GK16)</f>
        <v>-229130</v>
      </c>
    </row>
    <row r="17" spans="1:195" x14ac:dyDescent="0.35">
      <c r="A17" s="31"/>
      <c r="B17" s="3"/>
      <c r="C17" s="3"/>
      <c r="D17" s="3"/>
      <c r="E17" s="3"/>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06"/>
      <c r="AO17" s="106"/>
      <c r="AP17" s="106"/>
      <c r="AQ17" s="106"/>
      <c r="AR17" s="106"/>
      <c r="AS17" s="106"/>
      <c r="AT17" s="106"/>
      <c r="AU17" s="106"/>
      <c r="AV17" s="106"/>
      <c r="AW17" s="106"/>
      <c r="AX17" s="106"/>
      <c r="AY17" s="106"/>
      <c r="AZ17" s="106"/>
      <c r="BA17" s="106"/>
      <c r="BB17" s="106"/>
      <c r="BC17" s="106"/>
      <c r="BD17" s="106"/>
      <c r="BE17" s="106"/>
      <c r="BF17" s="106"/>
      <c r="BG17" s="106"/>
      <c r="BH17" s="106"/>
      <c r="BI17" s="106"/>
      <c r="BJ17" s="106"/>
      <c r="BK17" s="106"/>
      <c r="BL17" s="106"/>
      <c r="BM17" s="106"/>
      <c r="BN17" s="106"/>
      <c r="BO17" s="106"/>
      <c r="BP17" s="106"/>
      <c r="BQ17" s="106"/>
      <c r="BR17" s="106"/>
      <c r="BS17" s="106"/>
      <c r="BT17" s="106"/>
      <c r="BU17" s="106"/>
      <c r="BV17" s="106"/>
      <c r="BW17" s="106"/>
      <c r="BX17" s="106"/>
      <c r="BY17" s="106"/>
      <c r="BZ17" s="106"/>
      <c r="CA17" s="106"/>
      <c r="CB17" s="106"/>
      <c r="CC17" s="106"/>
      <c r="CD17" s="106"/>
      <c r="CE17" s="106"/>
      <c r="CF17" s="106"/>
      <c r="CG17" s="106"/>
      <c r="CH17" s="106"/>
      <c r="CI17" s="106"/>
      <c r="CJ17" s="106"/>
      <c r="CK17" s="106"/>
      <c r="CL17" s="106"/>
      <c r="CM17" s="106"/>
      <c r="CN17" s="106"/>
      <c r="CO17" s="106"/>
      <c r="CP17" s="106"/>
      <c r="CQ17" s="106"/>
      <c r="CR17" s="106"/>
      <c r="CS17" s="106"/>
      <c r="CT17" s="106"/>
      <c r="CU17" s="106"/>
      <c r="CV17" s="106"/>
      <c r="CW17" s="106"/>
      <c r="CX17" s="106"/>
      <c r="CY17" s="106"/>
      <c r="CZ17" s="106"/>
      <c r="DA17" s="106"/>
      <c r="DB17" s="106"/>
      <c r="DC17" s="106"/>
      <c r="DD17" s="106"/>
      <c r="DE17" s="106"/>
      <c r="DF17" s="106"/>
      <c r="DG17" s="106"/>
      <c r="DH17" s="106"/>
      <c r="DI17" s="106"/>
      <c r="DJ17" s="106"/>
      <c r="DK17" s="106"/>
      <c r="DL17" s="106"/>
      <c r="DM17" s="106"/>
      <c r="DN17" s="106"/>
      <c r="DO17" s="106"/>
      <c r="DP17" s="106"/>
      <c r="DQ17" s="106"/>
      <c r="DR17" s="106"/>
      <c r="DS17" s="106"/>
      <c r="DT17" s="106"/>
      <c r="DU17" s="106"/>
      <c r="DV17" s="106"/>
      <c r="DW17" s="106"/>
      <c r="DX17" s="106"/>
      <c r="DY17" s="106"/>
      <c r="DZ17" s="106"/>
      <c r="EA17" s="106"/>
      <c r="EB17" s="106"/>
      <c r="EC17" s="106"/>
      <c r="ED17" s="106"/>
      <c r="EE17" s="106"/>
      <c r="EF17" s="106"/>
      <c r="EG17" s="106"/>
      <c r="EH17" s="106"/>
      <c r="EI17" s="106"/>
      <c r="EJ17" s="106"/>
      <c r="EK17" s="106"/>
      <c r="EL17" s="106"/>
      <c r="EM17" s="106"/>
      <c r="EN17" s="106"/>
      <c r="EO17" s="106"/>
      <c r="EP17" s="106"/>
      <c r="EQ17" s="106"/>
      <c r="ER17" s="106"/>
      <c r="ES17" s="106"/>
      <c r="ET17" s="106"/>
      <c r="EU17" s="106"/>
      <c r="EV17" s="106"/>
      <c r="EW17" s="106"/>
      <c r="EX17" s="106"/>
      <c r="EY17" s="106"/>
      <c r="EZ17" s="106"/>
      <c r="FA17" s="106"/>
      <c r="FB17" s="106"/>
      <c r="FC17" s="106"/>
      <c r="FD17" s="106"/>
      <c r="FE17" s="106"/>
      <c r="FF17" s="106"/>
      <c r="FG17" s="106"/>
      <c r="FH17" s="106"/>
      <c r="FI17" s="106"/>
      <c r="FJ17" s="106"/>
      <c r="FK17" s="106"/>
      <c r="FL17" s="106"/>
      <c r="FM17" s="106"/>
      <c r="FN17" s="106"/>
      <c r="FO17" s="106"/>
      <c r="FP17" s="106"/>
      <c r="FQ17" s="106"/>
      <c r="FR17" s="106"/>
      <c r="FS17" s="106"/>
      <c r="FT17" s="106"/>
      <c r="FU17" s="106"/>
      <c r="FV17" s="106"/>
      <c r="FW17" s="106"/>
      <c r="FX17" s="106"/>
      <c r="FY17" s="106"/>
      <c r="FZ17" s="106"/>
      <c r="GA17" s="106"/>
      <c r="GB17" s="106"/>
      <c r="GC17" s="106"/>
      <c r="GD17" s="106"/>
      <c r="GE17" s="106"/>
      <c r="GF17" s="106"/>
      <c r="GG17" s="106"/>
      <c r="GH17" s="106"/>
      <c r="GI17" s="106"/>
      <c r="GJ17" s="106"/>
      <c r="GK17" s="106"/>
    </row>
    <row r="18" spans="1:195" x14ac:dyDescent="0.35">
      <c r="A18" s="31" t="s">
        <v>229</v>
      </c>
      <c r="B18" s="106">
        <f>SUMIF('Raw Data - Production'!$A:$A,B$4,'Raw Data - Production'!$Q:$Q)</f>
        <v>0</v>
      </c>
      <c r="C18" s="106">
        <f>SUMIF('Raw Data - Production'!$A:$A,C$4,'Raw Data - Production'!$Q:$Q)</f>
        <v>0</v>
      </c>
      <c r="D18" s="106">
        <f>SUMIF('Raw Data - Production'!$A:$A,D$4,'Raw Data - Production'!$Q:$Q)</f>
        <v>0</v>
      </c>
      <c r="E18" s="106">
        <f>SUMIF('Raw Data - Production'!$A:$A,E$4,'Raw Data - Production'!$Q:$Q)</f>
        <v>0</v>
      </c>
      <c r="F18" s="106">
        <f>SUMIF('Raw Data - Production'!$A:$A,F$4,'Raw Data - Production'!$Q:$Q)</f>
        <v>0</v>
      </c>
      <c r="G18" s="106">
        <f>SUMIF('Raw Data - Production'!$A:$A,G$4,'Raw Data - Production'!$Q:$Q)</f>
        <v>0</v>
      </c>
      <c r="H18" s="106">
        <f>SUMIF('Raw Data - Production'!$A:$A,H$4,'Raw Data - Production'!$Q:$Q)</f>
        <v>0</v>
      </c>
      <c r="I18" s="106">
        <f>SUMIF('Raw Data - Production'!$A:$A,I$4,'Raw Data - Production'!$Q:$Q)</f>
        <v>0</v>
      </c>
      <c r="J18" s="106">
        <f>SUMIF('Raw Data - Production'!$A:$A,J$4,'Raw Data - Production'!$Q:$Q)</f>
        <v>0</v>
      </c>
      <c r="K18" s="106">
        <f>SUMIF('Raw Data - Production'!$A:$A,K$4,'Raw Data - Production'!$Q:$Q)</f>
        <v>0</v>
      </c>
      <c r="L18" s="106">
        <f>SUMIF('Raw Data - Production'!$A:$A,L$4,'Raw Data - Production'!$Q:$Q)</f>
        <v>0</v>
      </c>
      <c r="M18" s="106">
        <f>SUMIF('Raw Data - Production'!$A:$A,M$4,'Raw Data - Production'!$Q:$Q)</f>
        <v>0</v>
      </c>
      <c r="N18" s="106">
        <f>SUMIF('Raw Data - Production'!$A:$A,N$4,'Raw Data - Production'!$Q:$Q)</f>
        <v>0</v>
      </c>
      <c r="O18" s="106">
        <f>SUMIF('Raw Data - Production'!$A:$A,O$4,'Raw Data - Production'!$Q:$Q)</f>
        <v>0</v>
      </c>
      <c r="P18" s="106">
        <f>SUMIF('Raw Data - Production'!$A:$A,P$4,'Raw Data - Production'!$Q:$Q)</f>
        <v>0</v>
      </c>
      <c r="Q18" s="106">
        <f>SUMIF('Raw Data - Production'!$A:$A,Q$4,'Raw Data - Production'!$Q:$Q)</f>
        <v>3002.4691358024693</v>
      </c>
      <c r="R18" s="106">
        <f>SUMIF('Raw Data - Production'!$A:$A,R$4,'Raw Data - Production'!$Q:$Q)</f>
        <v>23956.543209876545</v>
      </c>
      <c r="S18" s="106">
        <f>SUMIF('Raw Data - Production'!$A:$A,S$4,'Raw Data - Production'!$Q:$Q)</f>
        <v>0</v>
      </c>
      <c r="T18" s="106">
        <f>SUMIF('Raw Data - Production'!$A:$A,T$4,'Raw Data - Production'!$Q:$Q)</f>
        <v>0</v>
      </c>
      <c r="U18" s="106">
        <f>SUMIF('Raw Data - Production'!$A:$A,U$4,'Raw Data - Production'!$Q:$Q)</f>
        <v>5341.2345679012351</v>
      </c>
      <c r="V18" s="106">
        <f>SUMIF('Raw Data - Production'!$A:$A,V$4,'Raw Data - Production'!$Q:$Q)</f>
        <v>2828.641975308642</v>
      </c>
      <c r="W18" s="106">
        <f>SUMIF('Raw Data - Production'!$A:$A,W$4,'Raw Data - Production'!$Q:$Q)</f>
        <v>4867.1604938271603</v>
      </c>
      <c r="X18" s="106">
        <f>SUMIF('Raw Data - Production'!$A:$A,X$4,'Raw Data - Production'!$Q:$Q)</f>
        <v>0</v>
      </c>
      <c r="Y18" s="106">
        <f>SUMIF('Raw Data - Production'!$A:$A,Y$4,'Raw Data - Production'!$Q:$Q)</f>
        <v>0</v>
      </c>
      <c r="Z18" s="106">
        <f>SUMIF('Raw Data - Production'!$A:$A,Z$4,'Raw Data - Production'!$Q:$Q)</f>
        <v>5151.6049382716055</v>
      </c>
      <c r="AA18" s="106">
        <f>SUMIF('Raw Data - Production'!$A:$A,AA$4,'Raw Data - Production'!$Q:$Q)</f>
        <v>0</v>
      </c>
      <c r="AB18" s="106">
        <f>SUMIF('Raw Data - Production'!$A:$A,AB$4,'Raw Data - Production'!$Q:$Q)</f>
        <v>8509.6296296296296</v>
      </c>
      <c r="AC18" s="106">
        <f>SUMIF('Raw Data - Production'!$A:$A,AC$4,'Raw Data - Production'!$Q:$Q)</f>
        <v>5688.8888888888887</v>
      </c>
      <c r="AD18" s="106">
        <f>SUMIF('Raw Data - Production'!$A:$A,AD$4,'Raw Data - Production'!$Q:$Q)</f>
        <v>0</v>
      </c>
      <c r="AE18" s="106">
        <f>SUMIF('Raw Data - Production'!$A:$A,AE$4,'Raw Data - Production'!$Q:$Q)</f>
        <v>15518.024691358025</v>
      </c>
      <c r="AF18" s="106">
        <f>SUMIF('Raw Data - Production'!$A:$A,AF$4,'Raw Data - Production'!$Q:$Q)</f>
        <v>4424.6913580246919</v>
      </c>
      <c r="AG18" s="106">
        <f>SUMIF('Raw Data - Production'!$A:$A,AG$4,'Raw Data - Production'!$Q:$Q)</f>
        <v>410.8641975308642</v>
      </c>
      <c r="AH18" s="106">
        <f>SUMIF('Raw Data - Production'!$A:$A,AH$4,'Raw Data - Production'!$Q:$Q)</f>
        <v>5056.7901234567908</v>
      </c>
      <c r="AI18" s="106">
        <f>SUMIF('Raw Data - Production'!$A:$A,AI$4,'Raw Data - Production'!$Q:$Q)</f>
        <v>0</v>
      </c>
      <c r="AJ18" s="106">
        <f>SUMIF('Raw Data - Production'!$A:$A,AJ$4,'Raw Data - Production'!$Q:$Q)</f>
        <v>1422.2222222222222</v>
      </c>
      <c r="AK18" s="106">
        <f>SUMIF('Raw Data - Production'!$A:$A,AK$4,'Raw Data - Production'!$Q:$Q)</f>
        <v>2370.3703703703704</v>
      </c>
      <c r="AL18" s="106">
        <f>SUMIF('Raw Data - Production'!$A:$A,AL$4,'Raw Data - Production'!$Q:$Q)</f>
        <v>4108.641975308642</v>
      </c>
      <c r="AM18" s="106">
        <f>SUMIF('Raw Data - Production'!$A:$A,AM$4,'Raw Data - Production'!$Q:$Q)</f>
        <v>11124.938271604939</v>
      </c>
      <c r="AN18" s="106">
        <f>SUMIF('Raw Data - Production'!$A:$A,AN$4,'Raw Data - Production'!$Q:$Q)</f>
        <v>0</v>
      </c>
      <c r="AO18" s="106">
        <f>SUMIF('Raw Data - Production'!$A:$A,AO$4,'Raw Data - Production'!$Q:$Q)</f>
        <v>2528.3950617283954</v>
      </c>
      <c r="AP18" s="106">
        <f>SUMIF('Raw Data - Production'!$A:$A,AP$4,'Raw Data - Production'!$Q:$Q)</f>
        <v>1264.1975308641977</v>
      </c>
      <c r="AQ18" s="106">
        <f>SUMIF('Raw Data - Production'!$A:$A,AQ$4,'Raw Data - Production'!$Q:$Q)</f>
        <v>1264.1975308641977</v>
      </c>
      <c r="AR18" s="106">
        <f>SUMIF('Raw Data - Production'!$A:$A,AR$4,'Raw Data - Production'!$Q:$Q)</f>
        <v>0</v>
      </c>
      <c r="AS18" s="106">
        <f>SUMIF('Raw Data - Production'!$A:$A,AS$4,'Raw Data - Production'!$Q:$Q)</f>
        <v>0</v>
      </c>
      <c r="AT18" s="106">
        <f>SUMIF('Raw Data - Production'!$A:$A,AT$4,'Raw Data - Production'!$Q:$Q)</f>
        <v>3792.5925925925926</v>
      </c>
      <c r="AU18" s="106">
        <f>SUMIF('Raw Data - Production'!$A:$A,AU$4,'Raw Data - Production'!$Q:$Q)</f>
        <v>0</v>
      </c>
      <c r="AV18" s="106">
        <f>SUMIF('Raw Data - Production'!$A:$A,AV$4,'Raw Data - Production'!$Q:$Q)</f>
        <v>0</v>
      </c>
      <c r="AW18" s="106">
        <f>SUMIF('Raw Data - Production'!$A:$A,AW$4,'Raw Data - Production'!$Q:$Q)</f>
        <v>1264.1975308641977</v>
      </c>
      <c r="AX18" s="106">
        <f>SUMIF('Raw Data - Production'!$A:$A,AX$4,'Raw Data - Production'!$Q:$Q)</f>
        <v>5151.6049382716055</v>
      </c>
      <c r="AY18" s="106">
        <f>SUMIF('Raw Data - Production'!$A:$A,AY$4,'Raw Data - Production'!$Q:$Q)</f>
        <v>2654.8148148148148</v>
      </c>
      <c r="AZ18" s="106">
        <f>SUMIF('Raw Data - Production'!$A:$A,AZ$4,'Raw Data - Production'!$Q:$Q)</f>
        <v>2623.2098765432102</v>
      </c>
      <c r="BA18" s="106">
        <f>SUMIF('Raw Data - Production'!$A:$A,BA$4,'Raw Data - Production'!$Q:$Q)</f>
        <v>1153.5802469135804</v>
      </c>
      <c r="BB18" s="106">
        <f>SUMIF('Raw Data - Production'!$A:$A,BB$4,'Raw Data - Production'!$Q:$Q)</f>
        <v>0</v>
      </c>
      <c r="BC18" s="106">
        <f>SUMIF('Raw Data - Production'!$A:$A,BC$4,'Raw Data - Production'!$Q:$Q)</f>
        <v>0</v>
      </c>
      <c r="BD18" s="106">
        <f>SUMIF('Raw Data - Production'!$A:$A,BD$4,'Raw Data - Production'!$Q:$Q)</f>
        <v>6826.666666666667</v>
      </c>
      <c r="BE18" s="106">
        <f>SUMIF('Raw Data - Production'!$A:$A,BE$4,'Raw Data - Production'!$Q:$Q)</f>
        <v>1548.641975308642</v>
      </c>
      <c r="BF18" s="106">
        <f>SUMIF('Raw Data - Production'!$A:$A,BF$4,'Raw Data - Production'!$Q:$Q)</f>
        <v>2085.9259259259261</v>
      </c>
      <c r="BG18" s="106">
        <f>SUMIF('Raw Data - Production'!$A:$A,BG$4,'Raw Data - Production'!$Q:$Q)</f>
        <v>0</v>
      </c>
      <c r="BH18" s="106">
        <f>SUMIF('Raw Data - Production'!$A:$A,BH$4,'Raw Data - Production'!$Q:$Q)</f>
        <v>1074.5679012345679</v>
      </c>
      <c r="BI18" s="106">
        <f>SUMIF('Raw Data - Production'!$A:$A,BI$4,'Raw Data - Production'!$Q:$Q)</f>
        <v>1722.4691358024693</v>
      </c>
      <c r="BJ18" s="106">
        <f>SUMIF('Raw Data - Production'!$A:$A,BJ$4,'Raw Data - Production'!$Q:$Q)</f>
        <v>3618.7654320987658</v>
      </c>
      <c r="BK18" s="106">
        <f>SUMIF('Raw Data - Production'!$A:$A,BK$4,'Raw Data - Production'!$Q:$Q)</f>
        <v>2117.5308641975312</v>
      </c>
      <c r="BL18" s="106">
        <f>SUMIF('Raw Data - Production'!$A:$A,BL$4,'Raw Data - Production'!$Q:$Q)</f>
        <v>0</v>
      </c>
      <c r="BM18" s="106">
        <f>SUMIF('Raw Data - Production'!$A:$A,BM$4,'Raw Data - Production'!$Q:$Q)</f>
        <v>2164.9382716049386</v>
      </c>
      <c r="BN18" s="106">
        <f>SUMIF('Raw Data - Production'!$A:$A,BN$4,'Raw Data - Production'!$Q:$Q)</f>
        <v>2876.0493827160494</v>
      </c>
      <c r="BO18" s="106">
        <f>SUMIF('Raw Data - Production'!$A:$A,BO$4,'Raw Data - Production'!$Q:$Q)</f>
        <v>1927.9012345679014</v>
      </c>
      <c r="BP18" s="106">
        <f>SUMIF('Raw Data - Production'!$A:$A,BP$4,'Raw Data - Production'!$Q:$Q)</f>
        <v>3365.9259259259261</v>
      </c>
      <c r="BQ18" s="106">
        <f>SUMIF('Raw Data - Production'!$A:$A,BQ$4,'Raw Data - Production'!$Q:$Q)</f>
        <v>0</v>
      </c>
      <c r="BR18" s="106">
        <f>SUMIF('Raw Data - Production'!$A:$A,BR$4,'Raw Data - Production'!$Q:$Q)</f>
        <v>6779.2592592592591</v>
      </c>
      <c r="BS18" s="106">
        <f>SUMIF('Raw Data - Production'!$A:$A,BS$4,'Raw Data - Production'!$Q:$Q)</f>
        <v>4393.0864197530864</v>
      </c>
      <c r="BT18" s="106">
        <f>SUMIF('Raw Data - Production'!$A:$A,BT$4,'Raw Data - Production'!$Q:$Q)</f>
        <v>2923.4567901234568</v>
      </c>
      <c r="BU18" s="106">
        <f>SUMIF('Raw Data - Production'!$A:$A,BU$4,'Raw Data - Production'!$Q:$Q)</f>
        <v>0</v>
      </c>
      <c r="BV18" s="106">
        <f>SUMIF('Raw Data - Production'!$A:$A,BV$4,'Raw Data - Production'!$Q:$Q)</f>
        <v>19499.930864197533</v>
      </c>
      <c r="BW18" s="106">
        <f>SUMIF('Raw Data - Production'!$A:$A,BW$4,'Raw Data - Production'!$Q:$Q)</f>
        <v>6731.8518518518522</v>
      </c>
      <c r="BX18" s="106">
        <f>SUMIF('Raw Data - Production'!$A:$A,BX$4,'Raw Data - Production'!$Q:$Q)</f>
        <v>3729.3827160493829</v>
      </c>
      <c r="BY18" s="106">
        <f>SUMIF('Raw Data - Production'!$A:$A,BY$4,'Raw Data - Production'!$Q:$Q)</f>
        <v>5404.4444444444443</v>
      </c>
      <c r="BZ18" s="106">
        <f>SUMIF('Raw Data - Production'!$A:$A,BZ$4,'Raw Data - Production'!$Q:$Q)</f>
        <v>0</v>
      </c>
      <c r="CA18" s="106">
        <f>SUMIF('Raw Data - Production'!$A:$A,CA$4,'Raw Data - Production'!$Q:$Q)</f>
        <v>0</v>
      </c>
      <c r="CB18" s="106">
        <f>SUMIF('Raw Data - Production'!$A:$A,CB$4,'Raw Data - Production'!$Q:$Q)</f>
        <v>0</v>
      </c>
      <c r="CC18" s="106">
        <f>SUMIF('Raw Data - Production'!$A:$A,CC$4,'Raw Data - Production'!$Q:$Q)</f>
        <v>0</v>
      </c>
      <c r="CD18" s="106">
        <f>SUMIF('Raw Data - Production'!$A:$A,CD$4,'Raw Data - Production'!$Q:$Q)</f>
        <v>0</v>
      </c>
      <c r="CE18" s="106">
        <f>SUMIF('Raw Data - Production'!$A:$A,CE$4,'Raw Data - Production'!$Q:$Q)</f>
        <v>0</v>
      </c>
      <c r="CF18" s="106">
        <f>SUMIF('Raw Data - Production'!$A:$A,CF$4,'Raw Data - Production'!$Q:$Q)</f>
        <v>3160.4938271604938</v>
      </c>
      <c r="CG18" s="106">
        <f>SUMIF('Raw Data - Production'!$A:$A,CG$4,'Raw Data - Production'!$Q:$Q)</f>
        <v>4377.2839506172841</v>
      </c>
      <c r="CH18" s="106">
        <f>SUMIF('Raw Data - Production'!$A:$A,CH$4,'Raw Data - Production'!$Q:$Q)</f>
        <v>8059.25925925926</v>
      </c>
      <c r="CI18" s="106">
        <f>SUMIF('Raw Data - Production'!$A:$A,CI$4,'Raw Data - Production'!$Q:$Q)</f>
        <v>5894.3209876543215</v>
      </c>
      <c r="CJ18" s="106">
        <f>SUMIF('Raw Data - Production'!$A:$A,CJ$4,'Raw Data - Production'!$Q:$Q)</f>
        <v>0</v>
      </c>
      <c r="CK18" s="106">
        <f>SUMIF('Raw Data - Production'!$A:$A,CK$4,'Raw Data - Production'!$Q:$Q)</f>
        <v>6700.2469135802476</v>
      </c>
      <c r="CL18" s="106">
        <f>SUMIF('Raw Data - Production'!$A:$A,CL$4,'Raw Data - Production'!$Q:$Q)</f>
        <v>0</v>
      </c>
      <c r="CM18" s="106">
        <f>SUMIF('Raw Data - Production'!$A:$A,CM$4,'Raw Data - Production'!$Q:$Q)</f>
        <v>5860.3456790123464</v>
      </c>
      <c r="CN18" s="106">
        <f>SUMIF('Raw Data - Production'!$A:$A,CN$4,'Raw Data - Production'!$Q:$Q)</f>
        <v>4424.6913580246919</v>
      </c>
      <c r="CO18" s="106">
        <f>SUMIF('Raw Data - Production'!$A:$A,CO$4,'Raw Data - Production'!$Q:$Q)</f>
        <v>0</v>
      </c>
      <c r="CP18" s="106">
        <f>SUMIF('Raw Data - Production'!$A:$A,CP$4,'Raw Data - Production'!$Q:$Q)</f>
        <v>5641.4814814814818</v>
      </c>
      <c r="CQ18" s="106">
        <f>SUMIF('Raw Data - Production'!$A:$A,CQ$4,'Raw Data - Production'!$Q:$Q)</f>
        <v>10903.703703703704</v>
      </c>
      <c r="CR18" s="106">
        <f>SUMIF('Raw Data - Production'!$A:$A,CR$4,'Raw Data - Production'!$Q:$Q)</f>
        <v>11109.135802469136</v>
      </c>
      <c r="CS18" s="106">
        <f>SUMIF('Raw Data - Production'!$A:$A,CS$4,'Raw Data - Production'!$Q:$Q)</f>
        <v>8043.4567901234568</v>
      </c>
      <c r="CT18" s="106">
        <f>SUMIF('Raw Data - Production'!$A:$A,CT$4,'Raw Data - Production'!$Q:$Q)</f>
        <v>0</v>
      </c>
      <c r="CU18" s="106">
        <f>SUMIF('Raw Data - Production'!$A:$A,CU$4,'Raw Data - Production'!$Q:$Q)</f>
        <v>3286.9135802469136</v>
      </c>
      <c r="CV18" s="106">
        <f>SUMIF('Raw Data - Production'!$A:$A,CV$4,'Raw Data - Production'!$Q:$Q)</f>
        <v>5309.6296296296296</v>
      </c>
      <c r="CW18" s="106">
        <f>SUMIF('Raw Data - Production'!$A:$A,CW$4,'Raw Data - Production'!$Q:$Q)</f>
        <v>3950.6172839506175</v>
      </c>
      <c r="CX18" s="106">
        <f>SUMIF('Raw Data - Production'!$A:$A,CX$4,'Raw Data - Production'!$Q:$Q)</f>
        <v>0</v>
      </c>
      <c r="CY18" s="106">
        <f>SUMIF('Raw Data - Production'!$A:$A,CY$4,'Raw Data - Production'!$Q:$Q)</f>
        <v>0</v>
      </c>
      <c r="CZ18" s="106">
        <f>SUMIF('Raw Data - Production'!$A:$A,CZ$4,'Raw Data - Production'!$Q:$Q)</f>
        <v>0</v>
      </c>
      <c r="DA18" s="106">
        <f>SUMIF('Raw Data - Production'!$A:$A,DA$4,'Raw Data - Production'!$Q:$Q)</f>
        <v>7063.7037037037044</v>
      </c>
      <c r="DB18" s="106">
        <f>SUMIF('Raw Data - Production'!$A:$A,DB$4,'Raw Data - Production'!$Q:$Q)</f>
        <v>0</v>
      </c>
      <c r="DC18" s="106">
        <f>SUMIF('Raw Data - Production'!$A:$A,DC$4,'Raw Data - Production'!$Q:$Q)</f>
        <v>0</v>
      </c>
      <c r="DD18" s="106">
        <f>SUMIF('Raw Data - Production'!$A:$A,DD$4,'Raw Data - Production'!$Q:$Q)</f>
        <v>0</v>
      </c>
      <c r="DE18" s="106">
        <f>SUMIF('Raw Data - Production'!$A:$A,DE$4,'Raw Data - Production'!$Q:$Q)</f>
        <v>0</v>
      </c>
      <c r="DF18" s="106">
        <f>SUMIF('Raw Data - Production'!$A:$A,DF$4,'Raw Data - Production'!$Q:$Q)</f>
        <v>8327.9012345679021</v>
      </c>
      <c r="DG18" s="106">
        <f>SUMIF('Raw Data - Production'!$A:$A,DG$4,'Raw Data - Production'!$Q:$Q)</f>
        <v>15391.604938271606</v>
      </c>
      <c r="DH18" s="106">
        <f>SUMIF('Raw Data - Production'!$A:$A,DH$4,'Raw Data - Production'!$Q:$Q)</f>
        <v>11282.962962962964</v>
      </c>
      <c r="DI18" s="106">
        <f>SUMIF('Raw Data - Production'!$A:$A,DI$4,'Raw Data - Production'!$Q:$Q)</f>
        <v>0</v>
      </c>
      <c r="DJ18" s="106">
        <f>SUMIF('Raw Data - Production'!$A:$A,DJ$4,'Raw Data - Production'!$Q:$Q)</f>
        <v>5673.0864197530864</v>
      </c>
      <c r="DK18" s="106">
        <f>SUMIF('Raw Data - Production'!$A:$A,DK$4,'Raw Data - Production'!$Q:$Q)</f>
        <v>9702.7160493827159</v>
      </c>
      <c r="DL18" s="106">
        <f>SUMIF('Raw Data - Production'!$A:$A,DL$4,'Raw Data - Production'!$Q:$Q)</f>
        <v>10050.37037037037</v>
      </c>
      <c r="DM18" s="106">
        <f>SUMIF('Raw Data - Production'!$A:$A,DM$4,'Raw Data - Production'!$Q:$Q)</f>
        <v>12483.950617283952</v>
      </c>
      <c r="DN18" s="106">
        <f>SUMIF('Raw Data - Production'!$A:$A,DN$4,'Raw Data - Production'!$Q:$Q)</f>
        <v>0</v>
      </c>
      <c r="DO18" s="106">
        <f>SUMIF('Raw Data - Production'!$A:$A,DO$4,'Raw Data - Production'!$Q:$Q)</f>
        <v>0</v>
      </c>
      <c r="DP18" s="106">
        <f>SUMIF('Raw Data - Production'!$A:$A,DP$4,'Raw Data - Production'!$Q:$Q)</f>
        <v>0</v>
      </c>
      <c r="DQ18" s="106">
        <f>SUMIF('Raw Data - Production'!$A:$A,DQ$4,'Raw Data - Production'!$Q:$Q)</f>
        <v>0</v>
      </c>
      <c r="DR18" s="106">
        <f>SUMIF('Raw Data - Production'!$A:$A,DR$4,'Raw Data - Production'!$Q:$Q)</f>
        <v>0</v>
      </c>
      <c r="DS18" s="106">
        <f>SUMIF('Raw Data - Production'!$A:$A,DS$4,'Raw Data - Production'!$Q:$Q)</f>
        <v>0</v>
      </c>
      <c r="DT18" s="106">
        <f>SUMIF('Raw Data - Production'!$A:$A,DT$4,'Raw Data - Production'!$Q:$Q)</f>
        <v>0</v>
      </c>
      <c r="DU18" s="106">
        <f>SUMIF('Raw Data - Production'!$A:$A,DU$4,'Raw Data - Production'!$Q:$Q)</f>
        <v>0</v>
      </c>
      <c r="DV18" s="106">
        <f>SUMIF('Raw Data - Production'!$A:$A,DV$4,'Raw Data - Production'!$Q:$Q)</f>
        <v>0</v>
      </c>
      <c r="DW18" s="106">
        <f>SUMIF('Raw Data - Production'!$A:$A,DW$4,'Raw Data - Production'!$Q:$Q)</f>
        <v>0</v>
      </c>
      <c r="DX18" s="106">
        <f>SUMIF('Raw Data - Production'!$A:$A,DX$4,'Raw Data - Production'!$Q:$Q)</f>
        <v>0</v>
      </c>
      <c r="DY18" s="106">
        <f>SUMIF('Raw Data - Production'!$A:$A,DY$4,'Raw Data - Production'!$Q:$Q)</f>
        <v>0</v>
      </c>
      <c r="DZ18" s="106">
        <f>SUMIF('Raw Data - Production'!$A:$A,DZ$4,'Raw Data - Production'!$Q:$Q)</f>
        <v>0</v>
      </c>
      <c r="EA18" s="106">
        <f>SUMIF('Raw Data - Production'!$A:$A,EA$4,'Raw Data - Production'!$Q:$Q)</f>
        <v>0</v>
      </c>
      <c r="EB18" s="106">
        <f>SUMIF('Raw Data - Production'!$A:$A,EB$4,'Raw Data - Production'!$Q:$Q)</f>
        <v>0</v>
      </c>
      <c r="EC18" s="106">
        <f>SUMIF('Raw Data - Production'!$A:$A,EC$4,'Raw Data - Production'!$Q:$Q)</f>
        <v>0</v>
      </c>
      <c r="ED18" s="106">
        <f>SUMIF('Raw Data - Production'!$A:$A,ED$4,'Raw Data - Production'!$Q:$Q)</f>
        <v>0</v>
      </c>
      <c r="EE18" s="106">
        <f>SUMIF('Raw Data - Production'!$A:$A,EE$4,'Raw Data - Production'!$Q:$Q)</f>
        <v>0</v>
      </c>
      <c r="EF18" s="106">
        <f>SUMIF('Raw Data - Production'!$A:$A,EF$4,'Raw Data - Production'!$Q:$Q)</f>
        <v>0</v>
      </c>
      <c r="EG18" s="106">
        <f>SUMIF('Raw Data - Production'!$A:$A,EG$4,'Raw Data - Production'!$Q:$Q)</f>
        <v>0</v>
      </c>
      <c r="EH18" s="106">
        <f>SUMIF('Raw Data - Production'!$A:$A,EH$4,'Raw Data - Production'!$Q:$Q)</f>
        <v>0</v>
      </c>
      <c r="EI18" s="106">
        <f>SUMIF('Raw Data - Production'!$A:$A,EI$4,'Raw Data - Production'!$Q:$Q)</f>
        <v>0</v>
      </c>
      <c r="EJ18" s="106">
        <f>SUMIF('Raw Data - Production'!$A:$A,EJ$4,'Raw Data - Production'!$Q:$Q)</f>
        <v>0</v>
      </c>
      <c r="EK18" s="106">
        <f>SUMIF('Raw Data - Production'!$A:$A,EK$4,'Raw Data - Production'!$Q:$Q)</f>
        <v>0</v>
      </c>
      <c r="EL18" s="106">
        <f>SUMIF('Raw Data - Production'!$A:$A,EL$4,'Raw Data - Production'!$Q:$Q)</f>
        <v>0</v>
      </c>
      <c r="EM18" s="106">
        <f>SUMIF('Raw Data - Production'!$A:$A,EM$4,'Raw Data - Production'!$Q:$Q)</f>
        <v>0</v>
      </c>
      <c r="EN18" s="106">
        <f>SUMIF('Raw Data - Production'!$A:$A,EN$4,'Raw Data - Production'!$Q:$Q)</f>
        <v>0</v>
      </c>
      <c r="EO18" s="106">
        <f>SUMIF('Raw Data - Production'!$A:$A,EO$4,'Raw Data - Production'!$Q:$Q)</f>
        <v>0</v>
      </c>
      <c r="EP18" s="106">
        <f>SUMIF('Raw Data - Production'!$A:$A,EP$4,'Raw Data - Production'!$Q:$Q)</f>
        <v>0</v>
      </c>
      <c r="EQ18" s="106">
        <f>SUMIF('Raw Data - Production'!$A:$A,EQ$4,'Raw Data - Production'!$Q:$Q)</f>
        <v>0</v>
      </c>
      <c r="ER18" s="106">
        <f>SUMIF('Raw Data - Production'!$A:$A,ER$4,'Raw Data - Production'!$Q:$Q)</f>
        <v>0</v>
      </c>
      <c r="ES18" s="106">
        <f>SUMIF('Raw Data - Production'!$A:$A,ES$4,'Raw Data - Production'!$Q:$Q)</f>
        <v>0</v>
      </c>
      <c r="ET18" s="106">
        <f>SUMIF('Raw Data - Production'!$A:$A,ET$4,'Raw Data - Production'!$Q:$Q)</f>
        <v>0</v>
      </c>
      <c r="EU18" s="106">
        <f>SUMIF('Raw Data - Production'!$A:$A,EU$4,'Raw Data - Production'!$Q:$Q)</f>
        <v>0</v>
      </c>
      <c r="EV18" s="106">
        <f>SUMIF('Raw Data - Production'!$A:$A,EV$4,'Raw Data - Production'!$Q:$Q)</f>
        <v>0</v>
      </c>
      <c r="EW18" s="106">
        <f>SUMIF('Raw Data - Production'!$A:$A,EW$4,'Raw Data - Production'!$Q:$Q)</f>
        <v>0</v>
      </c>
      <c r="EX18" s="106">
        <f>SUMIF('Raw Data - Production'!$A:$A,EX$4,'Raw Data - Production'!$Q:$Q)</f>
        <v>0</v>
      </c>
      <c r="EY18" s="106">
        <f>SUMIF('Raw Data - Production'!$A:$A,EY$4,'Raw Data - Production'!$Q:$Q)</f>
        <v>0</v>
      </c>
      <c r="EZ18" s="106">
        <f>SUMIF('Raw Data - Production'!$A:$A,EZ$4,'Raw Data - Production'!$Q:$Q)</f>
        <v>0</v>
      </c>
      <c r="FA18" s="106">
        <f>SUMIF('Raw Data - Production'!$A:$A,FA$4,'Raw Data - Production'!$Q:$Q)</f>
        <v>0</v>
      </c>
      <c r="FB18" s="106">
        <f>SUMIF('Raw Data - Production'!$A:$A,FB$4,'Raw Data - Production'!$Q:$Q)</f>
        <v>0</v>
      </c>
      <c r="FC18" s="106">
        <f>SUMIF('Raw Data - Production'!$A:$A,FC$4,'Raw Data - Production'!$Q:$Q)</f>
        <v>0</v>
      </c>
      <c r="FD18" s="106">
        <f>SUMIF('Raw Data - Production'!$A:$A,FD$4,'Raw Data - Production'!$Q:$Q)</f>
        <v>0</v>
      </c>
      <c r="FE18" s="106">
        <f>SUMIF('Raw Data - Production'!$A:$A,FE$4,'Raw Data - Production'!$Q:$Q)</f>
        <v>0</v>
      </c>
      <c r="FF18" s="106">
        <f>SUMIF('Raw Data - Production'!$A:$A,FF$4,'Raw Data - Production'!$Q:$Q)</f>
        <v>0</v>
      </c>
      <c r="FG18" s="106">
        <f>SUMIF('Raw Data - Production'!$A:$A,FG$4,'Raw Data - Production'!$Q:$Q)</f>
        <v>0</v>
      </c>
      <c r="FH18" s="106">
        <f>SUMIF('Raw Data - Production'!$A:$A,FH$4,'Raw Data - Production'!$Q:$Q)</f>
        <v>0</v>
      </c>
      <c r="FI18" s="106">
        <f>SUMIF('Raw Data - Production'!$A:$A,FI$4,'Raw Data - Production'!$Q:$Q)</f>
        <v>0</v>
      </c>
      <c r="FJ18" s="106">
        <f>SUMIF('Raw Data - Production'!$A:$A,FJ$4,'Raw Data - Production'!$Q:$Q)</f>
        <v>0</v>
      </c>
      <c r="FK18" s="106">
        <f>SUMIF('Raw Data - Production'!$A:$A,FK$4,'Raw Data - Production'!$Q:$Q)</f>
        <v>0</v>
      </c>
      <c r="FL18" s="106">
        <f>SUMIF('Raw Data - Production'!$A:$A,FL$4,'Raw Data - Production'!$Q:$Q)</f>
        <v>0</v>
      </c>
      <c r="FM18" s="106">
        <f>SUMIF('Raw Data - Production'!$A:$A,FM$4,'Raw Data - Production'!$Q:$Q)</f>
        <v>0</v>
      </c>
      <c r="FN18" s="106">
        <f>SUMIF('Raw Data - Production'!$A:$A,FN$4,'Raw Data - Production'!$Q:$Q)</f>
        <v>0</v>
      </c>
      <c r="FO18" s="106">
        <f>SUMIF('Raw Data - Production'!$A:$A,FO$4,'Raw Data - Production'!$Q:$Q)</f>
        <v>0</v>
      </c>
      <c r="FP18" s="106">
        <f>SUMIF('Raw Data - Production'!$A:$A,FP$4,'Raw Data - Production'!$Q:$Q)</f>
        <v>0</v>
      </c>
      <c r="FQ18" s="106">
        <f>SUMIF('Raw Data - Production'!$A:$A,FQ$4,'Raw Data - Production'!$Q:$Q)</f>
        <v>0</v>
      </c>
      <c r="FR18" s="106">
        <f>SUMIF('Raw Data - Production'!$A:$A,FR$4,'Raw Data - Production'!$Q:$Q)</f>
        <v>0</v>
      </c>
      <c r="FS18" s="106">
        <f>SUMIF('Raw Data - Production'!$A:$A,FS$4,'Raw Data - Production'!$Q:$Q)</f>
        <v>0</v>
      </c>
      <c r="FT18" s="106">
        <f>SUMIF('Raw Data - Production'!$A:$A,FT$4,'Raw Data - Production'!$Q:$Q)</f>
        <v>0</v>
      </c>
      <c r="FU18" s="106">
        <f>SUMIF('Raw Data - Production'!$A:$A,FU$4,'Raw Data - Production'!$Q:$Q)</f>
        <v>0</v>
      </c>
      <c r="FV18" s="106">
        <f>SUMIF('Raw Data - Production'!$A:$A,FV$4,'Raw Data - Production'!$Q:$Q)</f>
        <v>0</v>
      </c>
      <c r="FW18" s="106">
        <f>SUMIF('Raw Data - Production'!$A:$A,FW$4,'Raw Data - Production'!$Q:$Q)</f>
        <v>0</v>
      </c>
      <c r="FX18" s="106">
        <f>SUMIF('Raw Data - Production'!$A:$A,FX$4,'Raw Data - Production'!$Q:$Q)</f>
        <v>0</v>
      </c>
      <c r="FY18" s="106">
        <f>SUMIF('Raw Data - Production'!$A:$A,FY$4,'Raw Data - Production'!$Q:$Q)</f>
        <v>0</v>
      </c>
      <c r="FZ18" s="106">
        <f>SUMIF('Raw Data - Production'!$A:$A,FZ$4,'Raw Data - Production'!$Q:$Q)</f>
        <v>0</v>
      </c>
      <c r="GA18" s="106">
        <f>SUMIF('Raw Data - Production'!$A:$A,GA$4,'Raw Data - Production'!$Q:$Q)</f>
        <v>0</v>
      </c>
      <c r="GB18" s="106">
        <f>SUMIF('Raw Data - Production'!$A:$A,GB$4,'Raw Data - Production'!$Q:$Q)</f>
        <v>0</v>
      </c>
      <c r="GC18" s="106">
        <f>SUMIF('Raw Data - Production'!$A:$A,GC$4,'Raw Data - Production'!$Q:$Q)</f>
        <v>0</v>
      </c>
      <c r="GD18" s="106">
        <f>SUMIF('Raw Data - Production'!$A:$A,GD$4,'Raw Data - Production'!$Q:$Q)</f>
        <v>0</v>
      </c>
      <c r="GE18" s="106">
        <f>SUMIF('Raw Data - Production'!$A:$A,GE$4,'Raw Data - Production'!$Q:$Q)</f>
        <v>0</v>
      </c>
      <c r="GF18" s="106">
        <f>SUMIF('Raw Data - Production'!$A:$A,GF$4,'Raw Data - Production'!$Q:$Q)</f>
        <v>0</v>
      </c>
      <c r="GG18" s="106">
        <f>SUMIF('Raw Data - Production'!$A:$A,GG$4,'Raw Data - Production'!$Q:$Q)</f>
        <v>0</v>
      </c>
      <c r="GH18" s="106">
        <f>SUMIF('Raw Data - Production'!$A:$A,GH$4,'Raw Data - Production'!$Q:$Q)</f>
        <v>0</v>
      </c>
      <c r="GI18" s="106">
        <f>SUMIF('Raw Data - Production'!$A:$A,GI$4,'Raw Data - Production'!$Q:$Q)</f>
        <v>0</v>
      </c>
      <c r="GJ18" s="106">
        <f>SUMIF('Raw Data - Production'!$A:$A,GJ$4,'Raw Data - Production'!$Q:$Q)</f>
        <v>0</v>
      </c>
      <c r="GK18" s="106">
        <f>SUMIF('Raw Data - Production'!$A:$A,GK$4,'Raw Data - Production'!$Q:$Q)</f>
        <v>0</v>
      </c>
      <c r="GL18" s="106">
        <f>SUM(F18:GK18)</f>
        <v>370968.17777777789</v>
      </c>
      <c r="GM18" s="121">
        <f>+GL18/SUM($GL$18:$GL$19)</f>
        <v>0.90260812593503703</v>
      </c>
    </row>
    <row r="19" spans="1:195" x14ac:dyDescent="0.35">
      <c r="A19" s="31" t="s">
        <v>230</v>
      </c>
      <c r="B19" s="106">
        <f>+SUMIF('Raw Data - Packing'!$A:$A,B$4,'Raw Data - Packing'!$R:$R)</f>
        <v>0</v>
      </c>
      <c r="C19" s="106">
        <f>+SUMIF('Raw Data - Packing'!$A:$A,C$4,'Raw Data - Packing'!$R:$R)</f>
        <v>0</v>
      </c>
      <c r="D19" s="106">
        <f>+SUMIF('Raw Data - Packing'!$A:$A,D$4,'Raw Data - Packing'!$R:$R)</f>
        <v>0</v>
      </c>
      <c r="E19" s="106">
        <f>+SUMIF('Raw Data - Packing'!$A:$A,E$4,'Raw Data - Packing'!$R:$R)</f>
        <v>0</v>
      </c>
      <c r="F19" s="106">
        <f>+SUMIF('Raw Data - Packing'!$A:$A,F$4,'Raw Data - Packing'!$R:$R)</f>
        <v>0</v>
      </c>
      <c r="G19" s="106">
        <f>+SUMIF('Raw Data - Packing'!$A:$A,G$4,'Raw Data - Packing'!$R:$R)</f>
        <v>0</v>
      </c>
      <c r="H19" s="106">
        <f>+SUMIF('Raw Data - Packing'!$A:$A,H$4,'Raw Data - Packing'!$R:$R)</f>
        <v>0</v>
      </c>
      <c r="I19" s="106">
        <f>+SUMIF('Raw Data - Packing'!$A:$A,I$4,'Raw Data - Packing'!$R:$R)</f>
        <v>0</v>
      </c>
      <c r="J19" s="106">
        <f>+SUMIF('Raw Data - Packing'!$A:$A,J$4,'Raw Data - Packing'!$R:$R)</f>
        <v>0</v>
      </c>
      <c r="K19" s="106">
        <f>+SUMIF('Raw Data - Packing'!$A:$A,K$4,'Raw Data - Packing'!$R:$R)</f>
        <v>0</v>
      </c>
      <c r="L19" s="106">
        <f>+SUMIF('Raw Data - Packing'!$A:$A,L$4,'Raw Data - Packing'!$R:$R)</f>
        <v>0</v>
      </c>
      <c r="M19" s="106">
        <f>+SUMIF('Raw Data - Packing'!$A:$A,M$4,'Raw Data - Packing'!$R:$R)</f>
        <v>0</v>
      </c>
      <c r="N19" s="106">
        <f>+SUMIF('Raw Data - Packing'!$A:$A,N$4,'Raw Data - Packing'!$R:$R)</f>
        <v>0</v>
      </c>
      <c r="O19" s="106">
        <f>+SUMIF('Raw Data - Packing'!$A:$A,O$4,'Raw Data - Packing'!$R:$R)</f>
        <v>0</v>
      </c>
      <c r="P19" s="106">
        <f>+SUMIF('Raw Data - Packing'!$A:$A,P$4,'Raw Data - Packing'!$R:$R)</f>
        <v>0</v>
      </c>
      <c r="Q19" s="106">
        <f>+SUMIF('Raw Data - Packing'!$A:$A,Q$4,'Raw Data - Packing'!$R:$R)</f>
        <v>0</v>
      </c>
      <c r="R19" s="106">
        <f>+SUMIF('Raw Data - Packing'!$A:$A,R$4,'Raw Data - Packing'!$R:$R)</f>
        <v>0</v>
      </c>
      <c r="S19" s="106">
        <f>+SUMIF('Raw Data - Packing'!$A:$A,S$4,'Raw Data - Packing'!$R:$R)</f>
        <v>0</v>
      </c>
      <c r="T19" s="106">
        <f>+SUMIF('Raw Data - Packing'!$A:$A,T$4,'Raw Data - Packing'!$R:$R)</f>
        <v>0</v>
      </c>
      <c r="U19" s="106">
        <f>+SUMIF('Raw Data - Packing'!$A:$A,U$4,'Raw Data - Packing'!$R:$R)</f>
        <v>0</v>
      </c>
      <c r="V19" s="106">
        <f>+SUMIF('Raw Data - Packing'!$A:$A,V$4,'Raw Data - Packing'!$R:$R)</f>
        <v>0</v>
      </c>
      <c r="W19" s="106">
        <f>+SUMIF('Raw Data - Packing'!$A:$A,W$4,'Raw Data - Packing'!$R:$R)</f>
        <v>0</v>
      </c>
      <c r="X19" s="106">
        <f>+SUMIF('Raw Data - Packing'!$A:$A,X$4,'Raw Data - Packing'!$R:$R)</f>
        <v>0</v>
      </c>
      <c r="Y19" s="106">
        <f>+SUMIF('Raw Data - Packing'!$A:$A,Y$4,'Raw Data - Packing'!$R:$R)</f>
        <v>0</v>
      </c>
      <c r="Z19" s="106">
        <f>+SUMIF('Raw Data - Packing'!$A:$A,Z$4,'Raw Data - Packing'!$R:$R)</f>
        <v>0</v>
      </c>
      <c r="AA19" s="106">
        <f>+SUMIF('Raw Data - Packing'!$A:$A,AA$4,'Raw Data - Packing'!$R:$R)</f>
        <v>0</v>
      </c>
      <c r="AB19" s="106">
        <f>+SUMIF('Raw Data - Packing'!$A:$A,AB$4,'Raw Data - Packing'!$R:$R)</f>
        <v>0</v>
      </c>
      <c r="AC19" s="106">
        <f>+SUMIF('Raw Data - Packing'!$A:$A,AC$4,'Raw Data - Packing'!$R:$R)</f>
        <v>0</v>
      </c>
      <c r="AD19" s="106">
        <f>+SUMIF('Raw Data - Packing'!$A:$A,AD$4,'Raw Data - Packing'!$R:$R)</f>
        <v>0</v>
      </c>
      <c r="AE19" s="106">
        <f>+SUMIF('Raw Data - Packing'!$A:$A,AE$4,'Raw Data - Packing'!$R:$R)</f>
        <v>0</v>
      </c>
      <c r="AF19" s="106">
        <f>+SUMIF('Raw Data - Packing'!$A:$A,AF$4,'Raw Data - Packing'!$R:$R)</f>
        <v>0</v>
      </c>
      <c r="AG19" s="106">
        <f>+SUMIF('Raw Data - Packing'!$A:$A,AG$4,'Raw Data - Packing'!$R:$R)</f>
        <v>0</v>
      </c>
      <c r="AH19" s="106">
        <f>+SUMIF('Raw Data - Packing'!$A:$A,AH$4,'Raw Data - Packing'!$R:$R)</f>
        <v>0</v>
      </c>
      <c r="AI19" s="106">
        <f>+SUMIF('Raw Data - Packing'!$A:$A,AI$4,'Raw Data - Packing'!$R:$R)</f>
        <v>0</v>
      </c>
      <c r="AJ19" s="106">
        <f>+SUMIF('Raw Data - Packing'!$A:$A,AJ$4,'Raw Data - Packing'!$R:$R)</f>
        <v>0</v>
      </c>
      <c r="AK19" s="106">
        <f>+SUMIF('Raw Data - Packing'!$A:$A,AK$4,'Raw Data - Packing'!$R:$R)</f>
        <v>0</v>
      </c>
      <c r="AL19" s="106">
        <f>+SUMIF('Raw Data - Packing'!$A:$A,AL$4,'Raw Data - Packing'!$R:$R)</f>
        <v>0</v>
      </c>
      <c r="AM19" s="106">
        <f>+SUMIF('Raw Data - Packing'!$A:$A,AM$4,'Raw Data - Packing'!$R:$R)</f>
        <v>0</v>
      </c>
      <c r="AN19" s="106">
        <f>+SUMIF('Raw Data - Packing'!$A:$A,AN$4,'Raw Data - Packing'!$R:$R)</f>
        <v>0</v>
      </c>
      <c r="AO19" s="106">
        <f>+SUMIF('Raw Data - Packing'!$A:$A,AO$4,'Raw Data - Packing'!$R:$R)</f>
        <v>0</v>
      </c>
      <c r="AP19" s="106">
        <f>+SUMIF('Raw Data - Packing'!$A:$A,AP$4,'Raw Data - Packing'!$R:$R)</f>
        <v>0</v>
      </c>
      <c r="AQ19" s="106">
        <f>+SUMIF('Raw Data - Packing'!$A:$A,AQ$4,'Raw Data - Packing'!$R:$R)</f>
        <v>0</v>
      </c>
      <c r="AR19" s="106">
        <f>+SUMIF('Raw Data - Packing'!$A:$A,AR$4,'Raw Data - Packing'!$R:$R)</f>
        <v>0</v>
      </c>
      <c r="AS19" s="106">
        <f>+SUMIF('Raw Data - Packing'!$A:$A,AS$4,'Raw Data - Packing'!$R:$R)</f>
        <v>0</v>
      </c>
      <c r="AT19" s="106">
        <f>+SUMIF('Raw Data - Packing'!$A:$A,AT$4,'Raw Data - Packing'!$R:$R)</f>
        <v>0</v>
      </c>
      <c r="AU19" s="106">
        <f>+SUMIF('Raw Data - Packing'!$A:$A,AU$4,'Raw Data - Packing'!$R:$R)</f>
        <v>0</v>
      </c>
      <c r="AV19" s="106">
        <f>+SUMIF('Raw Data - Packing'!$A:$A,AV$4,'Raw Data - Packing'!$R:$R)</f>
        <v>3950.6172839506175</v>
      </c>
      <c r="AW19" s="106">
        <f>+SUMIF('Raw Data - Packing'!$A:$A,AW$4,'Raw Data - Packing'!$R:$R)</f>
        <v>0</v>
      </c>
      <c r="AX19" s="106">
        <f>+SUMIF('Raw Data - Packing'!$A:$A,AX$4,'Raw Data - Packing'!$R:$R)</f>
        <v>0</v>
      </c>
      <c r="AY19" s="106">
        <f>+SUMIF('Raw Data - Packing'!$A:$A,AY$4,'Raw Data - Packing'!$R:$R)</f>
        <v>0</v>
      </c>
      <c r="AZ19" s="106">
        <f>+SUMIF('Raw Data - Packing'!$A:$A,AZ$4,'Raw Data - Packing'!$R:$R)</f>
        <v>0</v>
      </c>
      <c r="BA19" s="106">
        <f>+SUMIF('Raw Data - Packing'!$A:$A,BA$4,'Raw Data - Packing'!$R:$R)</f>
        <v>0</v>
      </c>
      <c r="BB19" s="106">
        <f>+SUMIF('Raw Data - Packing'!$A:$A,BB$4,'Raw Data - Packing'!$R:$R)</f>
        <v>0</v>
      </c>
      <c r="BC19" s="106">
        <f>+SUMIF('Raw Data - Packing'!$A:$A,BC$4,'Raw Data - Packing'!$R:$R)</f>
        <v>1912.0987654320988</v>
      </c>
      <c r="BD19" s="106">
        <f>+SUMIF('Raw Data - Packing'!$A:$A,BD$4,'Raw Data - Packing'!$R:$R)</f>
        <v>0</v>
      </c>
      <c r="BE19" s="106">
        <f>+SUMIF('Raw Data - Packing'!$A:$A,BE$4,'Raw Data - Packing'!$R:$R)</f>
        <v>0</v>
      </c>
      <c r="BF19" s="106">
        <f>+SUMIF('Raw Data - Packing'!$A:$A,BF$4,'Raw Data - Packing'!$R:$R)</f>
        <v>0</v>
      </c>
      <c r="BG19" s="106">
        <f>+SUMIF('Raw Data - Packing'!$A:$A,BG$4,'Raw Data - Packing'!$R:$R)</f>
        <v>0</v>
      </c>
      <c r="BH19" s="106">
        <f>+SUMIF('Raw Data - Packing'!$A:$A,BH$4,'Raw Data - Packing'!$R:$R)</f>
        <v>0</v>
      </c>
      <c r="BI19" s="106">
        <f>+SUMIF('Raw Data - Packing'!$A:$A,BI$4,'Raw Data - Packing'!$R:$R)</f>
        <v>0</v>
      </c>
      <c r="BJ19" s="106">
        <f>+SUMIF('Raw Data - Packing'!$A:$A,BJ$4,'Raw Data - Packing'!$R:$R)</f>
        <v>0</v>
      </c>
      <c r="BK19" s="106">
        <f>+SUMIF('Raw Data - Packing'!$A:$A,BK$4,'Raw Data - Packing'!$R:$R)</f>
        <v>0</v>
      </c>
      <c r="BL19" s="106">
        <f>+SUMIF('Raw Data - Packing'!$A:$A,BL$4,'Raw Data - Packing'!$R:$R)</f>
        <v>0</v>
      </c>
      <c r="BM19" s="106">
        <f>+SUMIF('Raw Data - Packing'!$A:$A,BM$4,'Raw Data - Packing'!$R:$R)</f>
        <v>0</v>
      </c>
      <c r="BN19" s="106">
        <f>+SUMIF('Raw Data - Packing'!$A:$A,BN$4,'Raw Data - Packing'!$R:$R)</f>
        <v>2544.1975308641977</v>
      </c>
      <c r="BO19" s="106">
        <f>+SUMIF('Raw Data - Packing'!$A:$A,BO$4,'Raw Data - Packing'!$R:$R)</f>
        <v>0</v>
      </c>
      <c r="BP19" s="106">
        <f>+SUMIF('Raw Data - Packing'!$A:$A,BP$4,'Raw Data - Packing'!$R:$R)</f>
        <v>0</v>
      </c>
      <c r="BQ19" s="106">
        <f>+SUMIF('Raw Data - Packing'!$A:$A,BQ$4,'Raw Data - Packing'!$R:$R)</f>
        <v>0</v>
      </c>
      <c r="BR19" s="106">
        <f>+SUMIF('Raw Data - Packing'!$A:$A,BR$4,'Raw Data - Packing'!$R:$R)</f>
        <v>0</v>
      </c>
      <c r="BS19" s="106">
        <f>+SUMIF('Raw Data - Packing'!$A:$A,BS$4,'Raw Data - Packing'!$R:$R)</f>
        <v>1264.1975308641977</v>
      </c>
      <c r="BT19" s="106">
        <f>+SUMIF('Raw Data - Packing'!$A:$A,BT$4,'Raw Data - Packing'!$R:$R)</f>
        <v>0</v>
      </c>
      <c r="BU19" s="106">
        <f>+SUMIF('Raw Data - Packing'!$A:$A,BU$4,'Raw Data - Packing'!$R:$R)</f>
        <v>0</v>
      </c>
      <c r="BV19" s="106">
        <f>+SUMIF('Raw Data - Packing'!$A:$A,BV$4,'Raw Data - Packing'!$R:$R)</f>
        <v>0</v>
      </c>
      <c r="BW19" s="106">
        <f>+SUMIF('Raw Data - Packing'!$A:$A,BW$4,'Raw Data - Packing'!$R:$R)</f>
        <v>0</v>
      </c>
      <c r="BX19" s="106">
        <f>+SUMIF('Raw Data - Packing'!$A:$A,BX$4,'Raw Data - Packing'!$R:$R)</f>
        <v>4898.7654320987658</v>
      </c>
      <c r="BY19" s="106">
        <f>+SUMIF('Raw Data - Packing'!$A:$A,BY$4,'Raw Data - Packing'!$R:$R)</f>
        <v>0</v>
      </c>
      <c r="BZ19" s="106">
        <f>+SUMIF('Raw Data - Packing'!$A:$A,BZ$4,'Raw Data - Packing'!$R:$R)</f>
        <v>0</v>
      </c>
      <c r="CA19" s="106">
        <f>+SUMIF('Raw Data - Packing'!$A:$A,CA$4,'Raw Data - Packing'!$R:$R)</f>
        <v>0</v>
      </c>
      <c r="CB19" s="106">
        <f>+SUMIF('Raw Data - Packing'!$A:$A,CB$4,'Raw Data - Packing'!$R:$R)</f>
        <v>0</v>
      </c>
      <c r="CC19" s="106">
        <f>+SUMIF('Raw Data - Packing'!$A:$A,CC$4,'Raw Data - Packing'!$R:$R)</f>
        <v>0</v>
      </c>
      <c r="CD19" s="106">
        <f>+SUMIF('Raw Data - Packing'!$A:$A,CD$4,'Raw Data - Packing'!$R:$R)</f>
        <v>0</v>
      </c>
      <c r="CE19" s="106">
        <f>+SUMIF('Raw Data - Packing'!$A:$A,CE$4,'Raw Data - Packing'!$R:$R)</f>
        <v>0</v>
      </c>
      <c r="CF19" s="106">
        <f>+SUMIF('Raw Data - Packing'!$A:$A,CF$4,'Raw Data - Packing'!$R:$R)</f>
        <v>0</v>
      </c>
      <c r="CG19" s="106">
        <f>+SUMIF('Raw Data - Packing'!$A:$A,CG$4,'Raw Data - Packing'!$R:$R)</f>
        <v>0</v>
      </c>
      <c r="CH19" s="106">
        <f>+SUMIF('Raw Data - Packing'!$A:$A,CH$4,'Raw Data - Packing'!$R:$R)</f>
        <v>0</v>
      </c>
      <c r="CI19" s="106">
        <f>+SUMIF('Raw Data - Packing'!$A:$A,CI$4,'Raw Data - Packing'!$R:$R)</f>
        <v>0</v>
      </c>
      <c r="CJ19" s="106">
        <f>+SUMIF('Raw Data - Packing'!$A:$A,CJ$4,'Raw Data - Packing'!$R:$R)</f>
        <v>2322.962962962963</v>
      </c>
      <c r="CK19" s="106">
        <f>+SUMIF('Raw Data - Packing'!$A:$A,CK$4,'Raw Data - Packing'!$R:$R)</f>
        <v>0</v>
      </c>
      <c r="CL19" s="106">
        <f>+SUMIF('Raw Data - Packing'!$A:$A,CL$4,'Raw Data - Packing'!$R:$R)</f>
        <v>3128.8888888888891</v>
      </c>
      <c r="CM19" s="106">
        <f>+SUMIF('Raw Data - Packing'!$A:$A,CM$4,'Raw Data - Packing'!$R:$R)</f>
        <v>2307.1604938271607</v>
      </c>
      <c r="CN19" s="106">
        <f>+SUMIF('Raw Data - Packing'!$A:$A,CN$4,'Raw Data - Packing'!$R:$R)</f>
        <v>0</v>
      </c>
      <c r="CO19" s="106">
        <f>+SUMIF('Raw Data - Packing'!$A:$A,CO$4,'Raw Data - Packing'!$R:$R)</f>
        <v>0</v>
      </c>
      <c r="CP19" s="106">
        <f>+SUMIF('Raw Data - Packing'!$A:$A,CP$4,'Raw Data - Packing'!$R:$R)</f>
        <v>853.33333333333337</v>
      </c>
      <c r="CQ19" s="106">
        <f>+SUMIF('Raw Data - Packing'!$A:$A,CQ$4,'Raw Data - Packing'!$R:$R)</f>
        <v>1137.7777777777778</v>
      </c>
      <c r="CR19" s="106">
        <f>+SUMIF('Raw Data - Packing'!$A:$A,CR$4,'Raw Data - Packing'!$R:$R)</f>
        <v>505.67901234567904</v>
      </c>
      <c r="CS19" s="106">
        <f>+SUMIF('Raw Data - Packing'!$A:$A,CS$4,'Raw Data - Packing'!$R:$R)</f>
        <v>0</v>
      </c>
      <c r="CT19" s="106">
        <f>+SUMIF('Raw Data - Packing'!$A:$A,CT$4,'Raw Data - Packing'!$R:$R)</f>
        <v>0</v>
      </c>
      <c r="CU19" s="106">
        <f>+SUMIF('Raw Data - Packing'!$A:$A,CU$4,'Raw Data - Packing'!$R:$R)</f>
        <v>663.7037037037037</v>
      </c>
      <c r="CV19" s="106">
        <f>+SUMIF('Raw Data - Packing'!$A:$A,CV$4,'Raw Data - Packing'!$R:$R)</f>
        <v>0</v>
      </c>
      <c r="CW19" s="106">
        <f>+SUMIF('Raw Data - Packing'!$A:$A,CW$4,'Raw Data - Packing'!$R:$R)</f>
        <v>884.93827160493834</v>
      </c>
      <c r="CX19" s="106">
        <f>+SUMIF('Raw Data - Packing'!$A:$A,CX$4,'Raw Data - Packing'!$R:$R)</f>
        <v>0</v>
      </c>
      <c r="CY19" s="106">
        <f>+SUMIF('Raw Data - Packing'!$A:$A,CY$4,'Raw Data - Packing'!$R:$R)</f>
        <v>0</v>
      </c>
      <c r="CZ19" s="106">
        <f>+SUMIF('Raw Data - Packing'!$A:$A,CZ$4,'Raw Data - Packing'!$R:$R)</f>
        <v>316.04938271604942</v>
      </c>
      <c r="DA19" s="106">
        <f>+SUMIF('Raw Data - Packing'!$A:$A,DA$4,'Raw Data - Packing'!$R:$R)</f>
        <v>0</v>
      </c>
      <c r="DB19" s="106">
        <f>+SUMIF('Raw Data - Packing'!$A:$A,DB$4,'Raw Data - Packing'!$R:$R)</f>
        <v>0</v>
      </c>
      <c r="DC19" s="106">
        <f>+SUMIF('Raw Data - Packing'!$A:$A,DC$4,'Raw Data - Packing'!$R:$R)</f>
        <v>0</v>
      </c>
      <c r="DD19" s="106">
        <f>+SUMIF('Raw Data - Packing'!$A:$A,DD$4,'Raw Data - Packing'!$R:$R)</f>
        <v>0</v>
      </c>
      <c r="DE19" s="106">
        <f>+SUMIF('Raw Data - Packing'!$A:$A,DE$4,'Raw Data - Packing'!$R:$R)</f>
        <v>0</v>
      </c>
      <c r="DF19" s="106">
        <f>+SUMIF('Raw Data - Packing'!$A:$A,DF$4,'Raw Data - Packing'!$R:$R)</f>
        <v>0</v>
      </c>
      <c r="DG19" s="106">
        <f>+SUMIF('Raw Data - Packing'!$A:$A,DG$4,'Raw Data - Packing'!$R:$R)</f>
        <v>6731.8518518518522</v>
      </c>
      <c r="DH19" s="106">
        <f>+SUMIF('Raw Data - Packing'!$A:$A,DH$4,'Raw Data - Packing'!$R:$R)</f>
        <v>0</v>
      </c>
      <c r="DI19" s="106">
        <f>+SUMIF('Raw Data - Packing'!$A:$A,DI$4,'Raw Data - Packing'!$R:$R)</f>
        <v>0</v>
      </c>
      <c r="DJ19" s="106">
        <f>+SUMIF('Raw Data - Packing'!$A:$A,DJ$4,'Raw Data - Packing'!$R:$R)</f>
        <v>3634.5679012345681</v>
      </c>
      <c r="DK19" s="106">
        <f>+SUMIF('Raw Data - Packing'!$A:$A,DK$4,'Raw Data - Packing'!$R:$R)</f>
        <v>1738.2716049382716</v>
      </c>
      <c r="DL19" s="106">
        <f>+SUMIF('Raw Data - Packing'!$A:$A,DL$4,'Raw Data - Packing'!$R:$R)</f>
        <v>0</v>
      </c>
      <c r="DM19" s="106">
        <f>+SUMIF('Raw Data - Packing'!$A:$A,DM$4,'Raw Data - Packing'!$R:$R)</f>
        <v>0</v>
      </c>
      <c r="DN19" s="106">
        <f>+SUMIF('Raw Data - Packing'!$A:$A,DN$4,'Raw Data - Packing'!$R:$R)</f>
        <v>0</v>
      </c>
      <c r="DO19" s="106">
        <f>+SUMIF('Raw Data - Packing'!$A:$A,DO$4,'Raw Data - Packing'!$R:$R)</f>
        <v>1232.5925925925926</v>
      </c>
      <c r="DP19" s="106">
        <f>+SUMIF('Raw Data - Packing'!$A:$A,DP$4,'Raw Data - Packing'!$R:$R)</f>
        <v>0</v>
      </c>
      <c r="DQ19" s="106">
        <f>+SUMIF('Raw Data - Packing'!$A:$A,DQ$4,'Raw Data - Packing'!$R:$R)</f>
        <v>0</v>
      </c>
      <c r="DR19" s="106">
        <f>+SUMIF('Raw Data - Packing'!$A:$A,DR$4,'Raw Data - Packing'!$R:$R)</f>
        <v>0</v>
      </c>
      <c r="DS19" s="106">
        <f>+SUMIF('Raw Data - Packing'!$A:$A,DS$4,'Raw Data - Packing'!$R:$R)</f>
        <v>0</v>
      </c>
      <c r="DT19" s="106">
        <f>+SUMIF('Raw Data - Packing'!$A:$A,DT$4,'Raw Data - Packing'!$R:$R)</f>
        <v>0</v>
      </c>
      <c r="DU19" s="106">
        <f>+SUMIF('Raw Data - Packing'!$A:$A,DU$4,'Raw Data - Packing'!$R:$R)</f>
        <v>0</v>
      </c>
      <c r="DV19" s="106">
        <f>+SUMIF('Raw Data - Packing'!$A:$A,DV$4,'Raw Data - Packing'!$R:$R)</f>
        <v>0</v>
      </c>
      <c r="DW19" s="106">
        <f>+SUMIF('Raw Data - Packing'!$A:$A,DW$4,'Raw Data - Packing'!$R:$R)</f>
        <v>0</v>
      </c>
      <c r="DX19" s="106">
        <f>+SUMIF('Raw Data - Packing'!$A:$A,DX$4,'Raw Data - Packing'!$R:$R)</f>
        <v>0</v>
      </c>
      <c r="DY19" s="106">
        <f>+SUMIF('Raw Data - Packing'!$A:$A,DY$4,'Raw Data - Packing'!$R:$R)</f>
        <v>0</v>
      </c>
      <c r="DZ19" s="106">
        <f>+SUMIF('Raw Data - Packing'!$A:$A,DZ$4,'Raw Data - Packing'!$R:$R)</f>
        <v>0</v>
      </c>
      <c r="EA19" s="106">
        <f>+SUMIF('Raw Data - Packing'!$A:$A,EA$4,'Raw Data - Packing'!$R:$R)</f>
        <v>0</v>
      </c>
      <c r="EB19" s="106">
        <f>+SUMIF('Raw Data - Packing'!$A:$A,EB$4,'Raw Data - Packing'!$R:$R)</f>
        <v>0</v>
      </c>
      <c r="EC19" s="106">
        <f>+SUMIF('Raw Data - Packing'!$A:$A,EC$4,'Raw Data - Packing'!$R:$R)</f>
        <v>0</v>
      </c>
      <c r="ED19" s="106">
        <f>+SUMIF('Raw Data - Packing'!$A:$A,ED$4,'Raw Data - Packing'!$R:$R)</f>
        <v>0</v>
      </c>
      <c r="EE19" s="106">
        <f>+SUMIF('Raw Data - Packing'!$A:$A,EE$4,'Raw Data - Packing'!$R:$R)</f>
        <v>0</v>
      </c>
      <c r="EF19" s="106">
        <f>+SUMIF('Raw Data - Packing'!$A:$A,EF$4,'Raw Data - Packing'!$R:$R)</f>
        <v>0</v>
      </c>
      <c r="EG19" s="106">
        <f>+SUMIF('Raw Data - Packing'!$A:$A,EG$4,'Raw Data - Packing'!$R:$R)</f>
        <v>0</v>
      </c>
      <c r="EH19" s="106">
        <f>+SUMIF('Raw Data - Packing'!$A:$A,EH$4,'Raw Data - Packing'!$R:$R)</f>
        <v>0</v>
      </c>
      <c r="EI19" s="106">
        <f>+SUMIF('Raw Data - Packing'!$A:$A,EI$4,'Raw Data - Packing'!$R:$R)</f>
        <v>0</v>
      </c>
      <c r="EJ19" s="106">
        <f>+SUMIF('Raw Data - Packing'!$A:$A,EJ$4,'Raw Data - Packing'!$R:$R)</f>
        <v>0</v>
      </c>
      <c r="EK19" s="106">
        <f>+SUMIF('Raw Data - Packing'!$A:$A,EK$4,'Raw Data - Packing'!$R:$R)</f>
        <v>0</v>
      </c>
      <c r="EL19" s="106">
        <f>+SUMIF('Raw Data - Packing'!$A:$A,EL$4,'Raw Data - Packing'!$R:$R)</f>
        <v>0</v>
      </c>
      <c r="EM19" s="106">
        <f>+SUMIF('Raw Data - Packing'!$A:$A,EM$4,'Raw Data - Packing'!$R:$R)</f>
        <v>0</v>
      </c>
      <c r="EN19" s="106">
        <f>+SUMIF('Raw Data - Packing'!$A:$A,EN$4,'Raw Data - Packing'!$R:$R)</f>
        <v>0</v>
      </c>
      <c r="EO19" s="106">
        <f>+SUMIF('Raw Data - Packing'!$A:$A,EO$4,'Raw Data - Packing'!$R:$R)</f>
        <v>0</v>
      </c>
      <c r="EP19" s="106">
        <f>+SUMIF('Raw Data - Packing'!$A:$A,EP$4,'Raw Data - Packing'!$R:$R)</f>
        <v>0</v>
      </c>
      <c r="EQ19" s="106">
        <f>+SUMIF('Raw Data - Packing'!$A:$A,EQ$4,'Raw Data - Packing'!$R:$R)</f>
        <v>0</v>
      </c>
      <c r="ER19" s="106">
        <f>+SUMIF('Raw Data - Packing'!$A:$A,ER$4,'Raw Data - Packing'!$R:$R)</f>
        <v>0</v>
      </c>
      <c r="ES19" s="106">
        <f>+SUMIF('Raw Data - Packing'!$A:$A,ES$4,'Raw Data - Packing'!$R:$R)</f>
        <v>0</v>
      </c>
      <c r="ET19" s="106">
        <f>+SUMIF('Raw Data - Packing'!$A:$A,ET$4,'Raw Data - Packing'!$R:$R)</f>
        <v>0</v>
      </c>
      <c r="EU19" s="106">
        <f>+SUMIF('Raw Data - Packing'!$A:$A,EU$4,'Raw Data - Packing'!$R:$R)</f>
        <v>0</v>
      </c>
      <c r="EV19" s="106">
        <f>+SUMIF('Raw Data - Packing'!$A:$A,EV$4,'Raw Data - Packing'!$R:$R)</f>
        <v>0</v>
      </c>
      <c r="EW19" s="106">
        <f>+SUMIF('Raw Data - Packing'!$A:$A,EW$4,'Raw Data - Packing'!$R:$R)</f>
        <v>0</v>
      </c>
      <c r="EX19" s="106">
        <f>+SUMIF('Raw Data - Packing'!$A:$A,EX$4,'Raw Data - Packing'!$R:$R)</f>
        <v>0</v>
      </c>
      <c r="EY19" s="106">
        <f>+SUMIF('Raw Data - Packing'!$A:$A,EY$4,'Raw Data - Packing'!$R:$R)</f>
        <v>0</v>
      </c>
      <c r="EZ19" s="106">
        <f>+SUMIF('Raw Data - Packing'!$A:$A,EZ$4,'Raw Data - Packing'!$R:$R)</f>
        <v>0</v>
      </c>
      <c r="FA19" s="106">
        <f>+SUMIF('Raw Data - Packing'!$A:$A,FA$4,'Raw Data - Packing'!$R:$R)</f>
        <v>0</v>
      </c>
      <c r="FB19" s="106">
        <f>+SUMIF('Raw Data - Packing'!$A:$A,FB$4,'Raw Data - Packing'!$R:$R)</f>
        <v>0</v>
      </c>
      <c r="FC19" s="106">
        <f>+SUMIF('Raw Data - Packing'!$A:$A,FC$4,'Raw Data - Packing'!$R:$R)</f>
        <v>0</v>
      </c>
      <c r="FD19" s="106">
        <f>+SUMIF('Raw Data - Packing'!$A:$A,FD$4,'Raw Data - Packing'!$R:$R)</f>
        <v>0</v>
      </c>
      <c r="FE19" s="106">
        <f>+SUMIF('Raw Data - Packing'!$A:$A,FE$4,'Raw Data - Packing'!$R:$R)</f>
        <v>0</v>
      </c>
      <c r="FF19" s="106">
        <f>+SUMIF('Raw Data - Packing'!$A:$A,FF$4,'Raw Data - Packing'!$R:$R)</f>
        <v>0</v>
      </c>
      <c r="FG19" s="106">
        <f>+SUMIF('Raw Data - Packing'!$A:$A,FG$4,'Raw Data - Packing'!$R:$R)</f>
        <v>0</v>
      </c>
      <c r="FH19" s="106">
        <f>+SUMIF('Raw Data - Packing'!$A:$A,FH$4,'Raw Data - Packing'!$R:$R)</f>
        <v>0</v>
      </c>
      <c r="FI19" s="106">
        <f>+SUMIF('Raw Data - Packing'!$A:$A,FI$4,'Raw Data - Packing'!$R:$R)</f>
        <v>0</v>
      </c>
      <c r="FJ19" s="106">
        <f>+SUMIF('Raw Data - Packing'!$A:$A,FJ$4,'Raw Data - Packing'!$R:$R)</f>
        <v>0</v>
      </c>
      <c r="FK19" s="106">
        <f>+SUMIF('Raw Data - Packing'!$A:$A,FK$4,'Raw Data - Packing'!$R:$R)</f>
        <v>0</v>
      </c>
      <c r="FL19" s="106">
        <f>+SUMIF('Raw Data - Packing'!$A:$A,FL$4,'Raw Data - Packing'!$R:$R)</f>
        <v>0</v>
      </c>
      <c r="FM19" s="106">
        <f>+SUMIF('Raw Data - Packing'!$A:$A,FM$4,'Raw Data - Packing'!$R:$R)</f>
        <v>0</v>
      </c>
      <c r="FN19" s="106">
        <f>+SUMIF('Raw Data - Packing'!$A:$A,FN$4,'Raw Data - Packing'!$R:$R)</f>
        <v>0</v>
      </c>
      <c r="FO19" s="106">
        <f>+SUMIF('Raw Data - Packing'!$A:$A,FO$4,'Raw Data - Packing'!$R:$R)</f>
        <v>0</v>
      </c>
      <c r="FP19" s="106">
        <f>+SUMIF('Raw Data - Packing'!$A:$A,FP$4,'Raw Data - Packing'!$R:$R)</f>
        <v>0</v>
      </c>
      <c r="FQ19" s="106">
        <f>+SUMIF('Raw Data - Packing'!$A:$A,FQ$4,'Raw Data - Packing'!$R:$R)</f>
        <v>0</v>
      </c>
      <c r="FR19" s="106">
        <f>+SUMIF('Raw Data - Packing'!$A:$A,FR$4,'Raw Data - Packing'!$R:$R)</f>
        <v>0</v>
      </c>
      <c r="FS19" s="106">
        <f>+SUMIF('Raw Data - Packing'!$A:$A,FS$4,'Raw Data - Packing'!$R:$R)</f>
        <v>0</v>
      </c>
      <c r="FT19" s="106">
        <f>+SUMIF('Raw Data - Packing'!$A:$A,FT$4,'Raw Data - Packing'!$R:$R)</f>
        <v>0</v>
      </c>
      <c r="FU19" s="106">
        <f>+SUMIF('Raw Data - Packing'!$A:$A,FU$4,'Raw Data - Packing'!$R:$R)</f>
        <v>0</v>
      </c>
      <c r="FV19" s="106">
        <f>+SUMIF('Raw Data - Packing'!$A:$A,FV$4,'Raw Data - Packing'!$R:$R)</f>
        <v>0</v>
      </c>
      <c r="FW19" s="106">
        <f>+SUMIF('Raw Data - Packing'!$A:$A,FW$4,'Raw Data - Packing'!$R:$R)</f>
        <v>0</v>
      </c>
      <c r="FX19" s="106">
        <f>+SUMIF('Raw Data - Packing'!$A:$A,FX$4,'Raw Data - Packing'!$R:$R)</f>
        <v>0</v>
      </c>
      <c r="FY19" s="106">
        <f>+SUMIF('Raw Data - Packing'!$A:$A,FY$4,'Raw Data - Packing'!$R:$R)</f>
        <v>0</v>
      </c>
      <c r="FZ19" s="106">
        <f>+SUMIF('Raw Data - Packing'!$A:$A,FZ$4,'Raw Data - Packing'!$R:$R)</f>
        <v>0</v>
      </c>
      <c r="GA19" s="106">
        <f>+SUMIF('Raw Data - Packing'!$A:$A,GA$4,'Raw Data - Packing'!$R:$R)</f>
        <v>0</v>
      </c>
      <c r="GB19" s="106">
        <f>+SUMIF('Raw Data - Packing'!$A:$A,GB$4,'Raw Data - Packing'!$R:$R)</f>
        <v>0</v>
      </c>
      <c r="GC19" s="106">
        <f>+SUMIF('Raw Data - Packing'!$A:$A,GC$4,'Raw Data - Packing'!$R:$R)</f>
        <v>0</v>
      </c>
      <c r="GD19" s="106">
        <f>+SUMIF('Raw Data - Packing'!$A:$A,GD$4,'Raw Data - Packing'!$R:$R)</f>
        <v>0</v>
      </c>
      <c r="GE19" s="106">
        <f>+SUMIF('Raw Data - Packing'!$A:$A,GE$4,'Raw Data - Packing'!$R:$R)</f>
        <v>0</v>
      </c>
      <c r="GF19" s="106">
        <f>+SUMIF('Raw Data - Packing'!$A:$A,GF$4,'Raw Data - Packing'!$R:$R)</f>
        <v>0</v>
      </c>
      <c r="GG19" s="106">
        <f>+SUMIF('Raw Data - Packing'!$A:$A,GG$4,'Raw Data - Packing'!$R:$R)</f>
        <v>0</v>
      </c>
      <c r="GH19" s="106">
        <f>+SUMIF('Raw Data - Packing'!$A:$A,GH$4,'Raw Data - Packing'!$R:$R)</f>
        <v>0</v>
      </c>
      <c r="GI19" s="106">
        <f>+SUMIF('Raw Data - Packing'!$A:$A,GI$4,'Raw Data - Packing'!$R:$R)</f>
        <v>0</v>
      </c>
      <c r="GJ19" s="106">
        <f>+SUMIF('Raw Data - Packing'!$A:$A,GJ$4,'Raw Data - Packing'!$R:$R)</f>
        <v>0</v>
      </c>
      <c r="GK19" s="106">
        <f>+SUMIF('Raw Data - Packing'!$A:$A,GK$4,'Raw Data - Packing'!$R:$R)</f>
        <v>0</v>
      </c>
      <c r="GL19" s="106">
        <f>SUM(F19:GK19)</f>
        <v>40027.654320987647</v>
      </c>
      <c r="GM19" s="121">
        <f>+GL19/SUM($GL$18:$GL$19)</f>
        <v>9.7391874064962997E-2</v>
      </c>
    </row>
    <row r="20" spans="1:195" x14ac:dyDescent="0.35">
      <c r="A20" s="31" t="s">
        <v>237</v>
      </c>
      <c r="B20" s="117">
        <f>IFERROR(SUM(B18:B19)/B9,"")</f>
        <v>0</v>
      </c>
      <c r="C20" s="117">
        <f t="shared" ref="C20:BN20" si="15">IFERROR(SUM(C18:C19)/C9,"")</f>
        <v>0</v>
      </c>
      <c r="D20" s="117">
        <f t="shared" si="15"/>
        <v>0</v>
      </c>
      <c r="E20" s="117">
        <f t="shared" si="15"/>
        <v>0</v>
      </c>
      <c r="F20" s="117">
        <f t="shared" si="15"/>
        <v>0</v>
      </c>
      <c r="G20" s="117">
        <f t="shared" si="15"/>
        <v>0</v>
      </c>
      <c r="H20" s="117">
        <f t="shared" si="15"/>
        <v>0</v>
      </c>
      <c r="I20" s="117">
        <f t="shared" si="15"/>
        <v>0</v>
      </c>
      <c r="J20" s="117" t="str">
        <f t="shared" si="15"/>
        <v/>
      </c>
      <c r="K20" s="117">
        <f t="shared" si="15"/>
        <v>0</v>
      </c>
      <c r="L20" s="117">
        <f t="shared" si="15"/>
        <v>0</v>
      </c>
      <c r="M20" s="117">
        <f t="shared" si="15"/>
        <v>0</v>
      </c>
      <c r="N20" s="117">
        <f t="shared" si="15"/>
        <v>0</v>
      </c>
      <c r="O20" s="117" t="str">
        <f t="shared" si="15"/>
        <v/>
      </c>
      <c r="P20" s="117">
        <f t="shared" si="15"/>
        <v>0</v>
      </c>
      <c r="Q20" s="117">
        <f t="shared" si="15"/>
        <v>4.9251107744898701E-2</v>
      </c>
      <c r="R20" s="117">
        <f t="shared" si="15"/>
        <v>0.30356807629250465</v>
      </c>
      <c r="S20" s="117">
        <f t="shared" si="15"/>
        <v>0</v>
      </c>
      <c r="T20" s="117" t="str">
        <f t="shared" si="15"/>
        <v/>
      </c>
      <c r="U20" s="117">
        <f t="shared" si="15"/>
        <v>8.6678473830569883E-2</v>
      </c>
      <c r="V20" s="117">
        <f t="shared" si="15"/>
        <v>5.0958587251456786E-2</v>
      </c>
      <c r="W20" s="117">
        <f t="shared" si="15"/>
        <v>6.7089607101042822E-2</v>
      </c>
      <c r="X20" s="117">
        <f t="shared" si="15"/>
        <v>0</v>
      </c>
      <c r="Y20" s="117" t="str">
        <f t="shared" si="15"/>
        <v/>
      </c>
      <c r="Z20" s="117">
        <f t="shared" si="15"/>
        <v>7.1918044314531152E-2</v>
      </c>
      <c r="AA20" s="117">
        <f t="shared" si="15"/>
        <v>0</v>
      </c>
      <c r="AB20" s="117">
        <f t="shared" si="15"/>
        <v>0.10074188399950891</v>
      </c>
      <c r="AC20" s="117">
        <f t="shared" si="15"/>
        <v>5.9284647360559495E-2</v>
      </c>
      <c r="AD20" s="117" t="str">
        <f t="shared" si="15"/>
        <v/>
      </c>
      <c r="AE20" s="117">
        <f t="shared" si="15"/>
        <v>1</v>
      </c>
      <c r="AF20" s="117">
        <f t="shared" si="15"/>
        <v>8.0706179066834818E-2</v>
      </c>
      <c r="AG20" s="117">
        <f t="shared" si="15"/>
        <v>5.6740684161710941E-3</v>
      </c>
      <c r="AH20" s="117">
        <f t="shared" si="15"/>
        <v>4.6539108303413172E-2</v>
      </c>
      <c r="AI20" s="117" t="str">
        <f t="shared" si="15"/>
        <v/>
      </c>
      <c r="AJ20" s="117">
        <f t="shared" si="15"/>
        <v>2.8228652081863093E-2</v>
      </c>
      <c r="AK20" s="117">
        <f t="shared" si="15"/>
        <v>3.5542918073573841E-2</v>
      </c>
      <c r="AL20" s="117">
        <f t="shared" si="15"/>
        <v>5.6430690970750319E-2</v>
      </c>
      <c r="AM20" s="117">
        <f t="shared" si="15"/>
        <v>0.14564308780413693</v>
      </c>
      <c r="AN20" s="117" t="str">
        <f t="shared" si="15"/>
        <v/>
      </c>
      <c r="AO20" s="117">
        <f t="shared" si="15"/>
        <v>3.9231311490483346E-2</v>
      </c>
      <c r="AP20" s="117">
        <f t="shared" si="15"/>
        <v>1.8159531484087714E-2</v>
      </c>
      <c r="AQ20" s="117">
        <f t="shared" si="15"/>
        <v>1.8648127320089278E-2</v>
      </c>
      <c r="AR20" s="117">
        <f t="shared" si="15"/>
        <v>0</v>
      </c>
      <c r="AS20" s="117" t="str">
        <f t="shared" si="15"/>
        <v/>
      </c>
      <c r="AT20" s="117">
        <f t="shared" si="15"/>
        <v>5.285063090440642E-2</v>
      </c>
      <c r="AU20" s="117" t="str">
        <f t="shared" si="15"/>
        <v/>
      </c>
      <c r="AV20" s="117" t="str">
        <f t="shared" si="15"/>
        <v/>
      </c>
      <c r="AW20" s="117">
        <f t="shared" si="15"/>
        <v>1.9219680953296178E-2</v>
      </c>
      <c r="AX20" s="117">
        <f t="shared" si="15"/>
        <v>6.3231906897805806E-2</v>
      </c>
      <c r="AY20" s="117">
        <f t="shared" si="15"/>
        <v>2.8877143225473766E-2</v>
      </c>
      <c r="AZ20" s="117">
        <f t="shared" si="15"/>
        <v>4.5011074825827821E-2</v>
      </c>
      <c r="BA20" s="117">
        <f t="shared" si="15"/>
        <v>2.4299415399338425E-2</v>
      </c>
      <c r="BB20" s="117" t="str">
        <f t="shared" si="15"/>
        <v/>
      </c>
      <c r="BC20" s="117" t="str">
        <f t="shared" si="15"/>
        <v/>
      </c>
      <c r="BD20" s="117">
        <f t="shared" si="15"/>
        <v>7.5560802833530102E-2</v>
      </c>
      <c r="BE20" s="117">
        <f t="shared" si="15"/>
        <v>3.4059560788061778E-2</v>
      </c>
      <c r="BF20" s="117">
        <f t="shared" si="15"/>
        <v>3.1443468473623948E-2</v>
      </c>
      <c r="BG20" s="117" t="str">
        <f t="shared" si="15"/>
        <v/>
      </c>
      <c r="BH20" s="117">
        <f t="shared" si="15"/>
        <v>3.142510542429669E-2</v>
      </c>
      <c r="BI20" s="117">
        <f t="shared" si="15"/>
        <v>2.4818556994449979E-2</v>
      </c>
      <c r="BJ20" s="117">
        <f t="shared" si="15"/>
        <v>6.1928295687329722E-2</v>
      </c>
      <c r="BK20" s="117">
        <f t="shared" si="15"/>
        <v>3.2845451732199271E-2</v>
      </c>
      <c r="BL20" s="117" t="str">
        <f t="shared" si="15"/>
        <v/>
      </c>
      <c r="BM20" s="117">
        <f t="shared" si="15"/>
        <v>2.9026480704739649E-2</v>
      </c>
      <c r="BN20" s="117">
        <f t="shared" si="15"/>
        <v>8.7464178315043578E-2</v>
      </c>
      <c r="BO20" s="117">
        <f t="shared" ref="BO20:BZ20" si="16">IFERROR(SUM(BO18:BO19)/BO9,"")</f>
        <v>2.3933652775666146E-2</v>
      </c>
      <c r="BP20" s="117">
        <f t="shared" si="16"/>
        <v>3.3626330363895507E-2</v>
      </c>
      <c r="BQ20" s="117" t="str">
        <f t="shared" si="16"/>
        <v/>
      </c>
      <c r="BR20" s="117">
        <f t="shared" si="16"/>
        <v>7.8149549820338018E-2</v>
      </c>
      <c r="BS20" s="117">
        <f t="shared" si="16"/>
        <v>6.5691406932060478E-2</v>
      </c>
      <c r="BT20" s="117">
        <f t="shared" si="16"/>
        <v>3.9019245979435804E-2</v>
      </c>
      <c r="BU20" s="117" t="str">
        <f t="shared" si="16"/>
        <v/>
      </c>
      <c r="BV20" s="117">
        <f t="shared" si="16"/>
        <v>0.25937681293457882</v>
      </c>
      <c r="BW20" s="117">
        <f t="shared" si="16"/>
        <v>7.2732860399006324E-2</v>
      </c>
      <c r="BX20" s="117">
        <f t="shared" si="16"/>
        <v>0.13075847699902113</v>
      </c>
      <c r="BY20" s="117">
        <f t="shared" si="16"/>
        <v>7.4832611264277274E-2</v>
      </c>
      <c r="BZ20" s="117" t="str">
        <f t="shared" si="16"/>
        <v/>
      </c>
      <c r="CA20" s="117" t="str">
        <f t="shared" ref="CA20" si="17">IFERROR(SUM(CA18:CA19)/CA9,"")</f>
        <v/>
      </c>
      <c r="CB20" s="117" t="str">
        <f t="shared" ref="CB20" si="18">IFERROR(SUM(CB18:CB19)/CB9,"")</f>
        <v/>
      </c>
      <c r="CC20" s="117" t="str">
        <f t="shared" ref="CC20" si="19">IFERROR(SUM(CC18:CC19)/CC9,"")</f>
        <v/>
      </c>
      <c r="CD20" s="117" t="str">
        <f t="shared" ref="CD20" si="20">IFERROR(SUM(CD18:CD19)/CD9,"")</f>
        <v/>
      </c>
      <c r="CE20" s="117" t="str">
        <f t="shared" ref="CE20" si="21">IFERROR(SUM(CE18:CE19)/CE9,"")</f>
        <v/>
      </c>
      <c r="CF20" s="117">
        <f t="shared" ref="CF20" si="22">IFERROR(SUM(CF18:CF19)/CF9,"")</f>
        <v>5.6477232615601836E-2</v>
      </c>
      <c r="CG20" s="117">
        <f t="shared" ref="CG20" si="23">IFERROR(SUM(CG18:CG19)/CG9,"")</f>
        <v>5.0183659512022791E-2</v>
      </c>
      <c r="CH20" s="117">
        <f t="shared" ref="CH20" si="24">IFERROR(SUM(CH18:CH19)/CH9,"")</f>
        <v>9.906254780132133E-2</v>
      </c>
      <c r="CI20" s="117">
        <f t="shared" ref="CI20" si="25">IFERROR(SUM(CI18:CI19)/CI9,"")</f>
        <v>7.2627438763191721E-2</v>
      </c>
      <c r="CJ20" s="117" t="str">
        <f t="shared" ref="CJ20" si="26">IFERROR(SUM(CJ18:CJ19)/CJ9,"")</f>
        <v/>
      </c>
      <c r="CK20" s="117">
        <f t="shared" ref="CK20" si="27">IFERROR(SUM(CK18:CK19)/CK9,"")</f>
        <v>0.106103450864593</v>
      </c>
      <c r="CL20" s="117">
        <f t="shared" ref="CL20" si="28">IFERROR(SUM(CL18:CL19)/CL9,"")</f>
        <v>6.4001163657521051E-2</v>
      </c>
      <c r="CM20" s="117">
        <f t="shared" ref="CM20" si="29">IFERROR(SUM(CM18:CM19)/CM9,"")</f>
        <v>0.1089867693941914</v>
      </c>
      <c r="CN20" s="117">
        <f t="shared" ref="CN20" si="30">IFERROR(SUM(CN18:CN19)/CN9,"")</f>
        <v>9.6003840153606163E-2</v>
      </c>
      <c r="CO20" s="117" t="str">
        <f t="shared" ref="CO20" si="31">IFERROR(SUM(CO18:CO19)/CO9,"")</f>
        <v/>
      </c>
      <c r="CP20" s="117">
        <f t="shared" ref="CP20" si="32">IFERROR(SUM(CP18:CP19)/CP9,"")</f>
        <v>8.6099894731880525E-2</v>
      </c>
      <c r="CQ20" s="117">
        <f t="shared" ref="CQ20" si="33">IFERROR(SUM(CQ18:CQ19)/CQ9,"")</f>
        <v>0.12218440705687107</v>
      </c>
      <c r="CR20" s="117">
        <f t="shared" ref="CR20" si="34">IFERROR(SUM(CR18:CR19)/CR9,"")</f>
        <v>0.12665944334467094</v>
      </c>
      <c r="CS20" s="117">
        <f t="shared" ref="CS20" si="35">IFERROR(SUM(CS18:CS19)/CS9,"")</f>
        <v>0.13762801230270053</v>
      </c>
      <c r="CT20" s="117" t="str">
        <f t="shared" ref="CT20" si="36">IFERROR(SUM(CT18:CT19)/CT9,"")</f>
        <v/>
      </c>
      <c r="CU20" s="117">
        <f t="shared" ref="CU20" si="37">IFERROR(SUM(CU18:CU19)/CU9,"")</f>
        <v>5.4852228097505319E-2</v>
      </c>
      <c r="CV20" s="117">
        <f t="shared" ref="CV20" si="38">IFERROR(SUM(CV18:CV19)/CV9,"")</f>
        <v>5.8819667826429459E-2</v>
      </c>
      <c r="CW20" s="117">
        <f t="shared" ref="CW20" si="39">IFERROR(SUM(CW18:CW19)/CW9,"")</f>
        <v>5.1077680639305609E-2</v>
      </c>
      <c r="CX20" s="117" t="str">
        <f t="shared" ref="CX20" si="40">IFERROR(SUM(CX18:CX19)/CX9,"")</f>
        <v/>
      </c>
      <c r="CY20" s="117" t="str">
        <f t="shared" ref="CY20" si="41">IFERROR(SUM(CY18:CY19)/CY9,"")</f>
        <v/>
      </c>
      <c r="CZ20" s="117" t="str">
        <f t="shared" ref="CZ20" si="42">IFERROR(SUM(CZ18:CZ19)/CZ9,"")</f>
        <v/>
      </c>
      <c r="DA20" s="117">
        <f t="shared" ref="DA20" si="43">IFERROR(SUM(DA18:DA19)/DA9,"")</f>
        <v>6.0431537962362107E-2</v>
      </c>
      <c r="DB20" s="117" t="str">
        <f t="shared" ref="DB20" si="44">IFERROR(SUM(DB18:DB19)/DB9,"")</f>
        <v/>
      </c>
      <c r="DC20" s="117" t="str">
        <f t="shared" ref="DC20" si="45">IFERROR(SUM(DC18:DC19)/DC9,"")</f>
        <v/>
      </c>
      <c r="DD20" s="117" t="str">
        <f t="shared" ref="DD20" si="46">IFERROR(SUM(DD18:DD19)/DD9,"")</f>
        <v/>
      </c>
      <c r="DE20" s="117" t="str">
        <f t="shared" ref="DE20" si="47">IFERROR(SUM(DE18:DE19)/DE9,"")</f>
        <v/>
      </c>
      <c r="DF20" s="117">
        <f t="shared" ref="DF20" si="48">IFERROR(SUM(DF18:DF19)/DF9,"")</f>
        <v>7.5581833110436245E-2</v>
      </c>
      <c r="DG20" s="117">
        <f t="shared" ref="DG20" si="49">IFERROR(SUM(DG18:DG19)/DG9,"")</f>
        <v>0.14666097482407231</v>
      </c>
      <c r="DH20" s="117">
        <f t="shared" ref="DH20" si="50">IFERROR(SUM(DH18:DH19)/DH9,"")</f>
        <v>9.8804383925606115E-2</v>
      </c>
      <c r="DI20" s="117" t="str">
        <f t="shared" ref="DI20" si="51">IFERROR(SUM(DI18:DI19)/DI9,"")</f>
        <v/>
      </c>
      <c r="DJ20" s="117">
        <f t="shared" ref="DJ20" si="52">IFERROR(SUM(DJ18:DJ19)/DJ9,"")</f>
        <v>8.1433872135686244E-2</v>
      </c>
      <c r="DK20" s="117">
        <f t="shared" ref="DK20" si="53">IFERROR(SUM(DK18:DK19)/DK9,"")</f>
        <v>8.9770752899493017E-2</v>
      </c>
      <c r="DL20" s="117">
        <f t="shared" ref="DL20" si="54">IFERROR(SUM(DL18:DL19)/DL9,"")</f>
        <v>0.19764596200908985</v>
      </c>
      <c r="DM20" s="117">
        <f t="shared" ref="DM20" si="55">IFERROR(SUM(DM18:DM19)/DM9,"")</f>
        <v>7.4138446657306983E-2</v>
      </c>
      <c r="DN20" s="117" t="str">
        <f t="shared" ref="DN20" si="56">IFERROR(SUM(DN18:DN19)/DN9,"")</f>
        <v/>
      </c>
      <c r="DO20" s="117" t="str">
        <f t="shared" ref="DO20" si="57">IFERROR(SUM(DO18:DO19)/DO9,"")</f>
        <v/>
      </c>
      <c r="DP20" s="117" t="str">
        <f t="shared" ref="DP20" si="58">IFERROR(SUM(DP18:DP19)/DP9,"")</f>
        <v/>
      </c>
      <c r="DQ20" s="117" t="str">
        <f t="shared" ref="DQ20" si="59">IFERROR(SUM(DQ18:DQ19)/DQ9,"")</f>
        <v/>
      </c>
      <c r="DR20" s="117" t="str">
        <f t="shared" ref="DR20" si="60">IFERROR(SUM(DR18:DR19)/DR9,"")</f>
        <v/>
      </c>
      <c r="DS20" s="117" t="str">
        <f t="shared" ref="DS20" si="61">IFERROR(SUM(DS18:DS19)/DS9,"")</f>
        <v/>
      </c>
      <c r="DT20" s="117" t="str">
        <f t="shared" ref="DT20" si="62">IFERROR(SUM(DT18:DT19)/DT9,"")</f>
        <v/>
      </c>
      <c r="DU20" s="117" t="str">
        <f t="shared" ref="DU20" si="63">IFERROR(SUM(DU18:DU19)/DU9,"")</f>
        <v/>
      </c>
      <c r="DV20" s="117" t="str">
        <f t="shared" ref="DV20" si="64">IFERROR(SUM(DV18:DV19)/DV9,"")</f>
        <v/>
      </c>
      <c r="DW20" s="117" t="str">
        <f t="shared" ref="DW20" si="65">IFERROR(SUM(DW18:DW19)/DW9,"")</f>
        <v/>
      </c>
      <c r="DX20" s="117" t="str">
        <f t="shared" ref="DX20" si="66">IFERROR(SUM(DX18:DX19)/DX9,"")</f>
        <v/>
      </c>
      <c r="DY20" s="117" t="str">
        <f t="shared" ref="DY20" si="67">IFERROR(SUM(DY18:DY19)/DY9,"")</f>
        <v/>
      </c>
      <c r="DZ20" s="117" t="str">
        <f t="shared" ref="DZ20" si="68">IFERROR(SUM(DZ18:DZ19)/DZ9,"")</f>
        <v/>
      </c>
      <c r="EA20" s="117" t="str">
        <f t="shared" ref="EA20" si="69">IFERROR(SUM(EA18:EA19)/EA9,"")</f>
        <v/>
      </c>
      <c r="EB20" s="117" t="str">
        <f t="shared" ref="EB20" si="70">IFERROR(SUM(EB18:EB19)/EB9,"")</f>
        <v/>
      </c>
      <c r="EC20" s="117" t="str">
        <f t="shared" ref="EC20" si="71">IFERROR(SUM(EC18:EC19)/EC9,"")</f>
        <v/>
      </c>
      <c r="ED20" s="117" t="str">
        <f t="shared" ref="ED20" si="72">IFERROR(SUM(ED18:ED19)/ED9,"")</f>
        <v/>
      </c>
      <c r="EE20" s="117" t="str">
        <f t="shared" ref="EE20" si="73">IFERROR(SUM(EE18:EE19)/EE9,"")</f>
        <v/>
      </c>
      <c r="EF20" s="117" t="str">
        <f t="shared" ref="EF20" si="74">IFERROR(SUM(EF18:EF19)/EF9,"")</f>
        <v/>
      </c>
      <c r="EG20" s="117" t="str">
        <f t="shared" ref="EG20" si="75">IFERROR(SUM(EG18:EG19)/EG9,"")</f>
        <v/>
      </c>
      <c r="EH20" s="117" t="str">
        <f t="shared" ref="EH20" si="76">IFERROR(SUM(EH18:EH19)/EH9,"")</f>
        <v/>
      </c>
      <c r="EI20" s="117" t="str">
        <f t="shared" ref="EI20" si="77">IFERROR(SUM(EI18:EI19)/EI9,"")</f>
        <v/>
      </c>
      <c r="EJ20" s="117" t="str">
        <f t="shared" ref="EJ20" si="78">IFERROR(SUM(EJ18:EJ19)/EJ9,"")</f>
        <v/>
      </c>
      <c r="EK20" s="117" t="str">
        <f t="shared" ref="EK20" si="79">IFERROR(SUM(EK18:EK19)/EK9,"")</f>
        <v/>
      </c>
      <c r="EL20" s="117" t="str">
        <f t="shared" ref="EL20" si="80">IFERROR(SUM(EL18:EL19)/EL9,"")</f>
        <v/>
      </c>
      <c r="EM20" s="117" t="str">
        <f t="shared" ref="EM20" si="81">IFERROR(SUM(EM18:EM19)/EM9,"")</f>
        <v/>
      </c>
      <c r="EN20" s="117" t="str">
        <f t="shared" ref="EN20" si="82">IFERROR(SUM(EN18:EN19)/EN9,"")</f>
        <v/>
      </c>
      <c r="EO20" s="117" t="str">
        <f t="shared" ref="EO20" si="83">IFERROR(SUM(EO18:EO19)/EO9,"")</f>
        <v/>
      </c>
      <c r="EP20" s="117" t="str">
        <f t="shared" ref="EP20" si="84">IFERROR(SUM(EP18:EP19)/EP9,"")</f>
        <v/>
      </c>
      <c r="EQ20" s="117" t="str">
        <f t="shared" ref="EQ20" si="85">IFERROR(SUM(EQ18:EQ19)/EQ9,"")</f>
        <v/>
      </c>
      <c r="ER20" s="117" t="str">
        <f t="shared" ref="ER20" si="86">IFERROR(SUM(ER18:ER19)/ER9,"")</f>
        <v/>
      </c>
      <c r="ES20" s="117" t="str">
        <f t="shared" ref="ES20" si="87">IFERROR(SUM(ES18:ES19)/ES9,"")</f>
        <v/>
      </c>
      <c r="ET20" s="117" t="str">
        <f t="shared" ref="ET20" si="88">IFERROR(SUM(ET18:ET19)/ET9,"")</f>
        <v/>
      </c>
      <c r="EU20" s="117" t="str">
        <f t="shared" ref="EU20" si="89">IFERROR(SUM(EU18:EU19)/EU9,"")</f>
        <v/>
      </c>
      <c r="EV20" s="117" t="str">
        <f t="shared" ref="EV20" si="90">IFERROR(SUM(EV18:EV19)/EV9,"")</f>
        <v/>
      </c>
      <c r="EW20" s="117" t="str">
        <f t="shared" ref="EW20:EX20" si="91">IFERROR(SUM(EW18:EW19)/EW9,"")</f>
        <v/>
      </c>
      <c r="EX20" s="117" t="str">
        <f t="shared" si="91"/>
        <v/>
      </c>
      <c r="EY20" s="117" t="str">
        <f t="shared" ref="EY20" si="92">IFERROR(SUM(EY18:EY19)/EY9,"")</f>
        <v/>
      </c>
      <c r="EZ20" s="117" t="str">
        <f t="shared" ref="EZ20" si="93">IFERROR(SUM(EZ18:EZ19)/EZ9,"")</f>
        <v/>
      </c>
      <c r="FA20" s="117" t="str">
        <f t="shared" ref="FA20" si="94">IFERROR(SUM(FA18:FA19)/FA9,"")</f>
        <v/>
      </c>
      <c r="FB20" s="117" t="str">
        <f t="shared" ref="FB20" si="95">IFERROR(SUM(FB18:FB19)/FB9,"")</f>
        <v/>
      </c>
      <c r="FC20" s="117" t="str">
        <f t="shared" ref="FC20" si="96">IFERROR(SUM(FC18:FC19)/FC9,"")</f>
        <v/>
      </c>
      <c r="FD20" s="117" t="str">
        <f t="shared" ref="FD20" si="97">IFERROR(SUM(FD18:FD19)/FD9,"")</f>
        <v/>
      </c>
      <c r="FE20" s="117" t="str">
        <f t="shared" ref="FE20" si="98">IFERROR(SUM(FE18:FE19)/FE9,"")</f>
        <v/>
      </c>
      <c r="FF20" s="117" t="str">
        <f t="shared" ref="FF20" si="99">IFERROR(SUM(FF18:FF19)/FF9,"")</f>
        <v/>
      </c>
      <c r="FG20" s="117" t="str">
        <f t="shared" ref="FG20" si="100">IFERROR(SUM(FG18:FG19)/FG9,"")</f>
        <v/>
      </c>
      <c r="FH20" s="117" t="str">
        <f t="shared" ref="FH20" si="101">IFERROR(SUM(FH18:FH19)/FH9,"")</f>
        <v/>
      </c>
      <c r="FI20" s="117" t="str">
        <f t="shared" ref="FI20" si="102">IFERROR(SUM(FI18:FI19)/FI9,"")</f>
        <v/>
      </c>
      <c r="FJ20" s="117" t="str">
        <f t="shared" ref="FJ20" si="103">IFERROR(SUM(FJ18:FJ19)/FJ9,"")</f>
        <v/>
      </c>
      <c r="FK20" s="117" t="str">
        <f t="shared" ref="FK20" si="104">IFERROR(SUM(FK18:FK19)/FK9,"")</f>
        <v/>
      </c>
      <c r="FL20" s="117" t="str">
        <f t="shared" ref="FL20" si="105">IFERROR(SUM(FL18:FL19)/FL9,"")</f>
        <v/>
      </c>
      <c r="FM20" s="117" t="str">
        <f t="shared" ref="FM20" si="106">IFERROR(SUM(FM18:FM19)/FM9,"")</f>
        <v/>
      </c>
      <c r="FN20" s="117" t="str">
        <f t="shared" ref="FN20" si="107">IFERROR(SUM(FN18:FN19)/FN9,"")</f>
        <v/>
      </c>
      <c r="FO20" s="117" t="str">
        <f t="shared" ref="FO20" si="108">IFERROR(SUM(FO18:FO19)/FO9,"")</f>
        <v/>
      </c>
      <c r="FP20" s="117" t="str">
        <f t="shared" ref="FP20" si="109">IFERROR(SUM(FP18:FP19)/FP9,"")</f>
        <v/>
      </c>
      <c r="FQ20" s="117" t="str">
        <f t="shared" ref="FQ20" si="110">IFERROR(SUM(FQ18:FQ19)/FQ9,"")</f>
        <v/>
      </c>
      <c r="FR20" s="117" t="str">
        <f t="shared" ref="FR20" si="111">IFERROR(SUM(FR18:FR19)/FR9,"")</f>
        <v/>
      </c>
      <c r="FS20" s="117" t="str">
        <f t="shared" ref="FS20" si="112">IFERROR(SUM(FS18:FS19)/FS9,"")</f>
        <v/>
      </c>
      <c r="FT20" s="117" t="str">
        <f t="shared" ref="FT20" si="113">IFERROR(SUM(FT18:FT19)/FT9,"")</f>
        <v/>
      </c>
      <c r="FU20" s="117" t="str">
        <f t="shared" ref="FU20" si="114">IFERROR(SUM(FU18:FU19)/FU9,"")</f>
        <v/>
      </c>
      <c r="FV20" s="117" t="str">
        <f t="shared" ref="FV20" si="115">IFERROR(SUM(FV18:FV19)/FV9,"")</f>
        <v/>
      </c>
      <c r="FW20" s="117" t="str">
        <f t="shared" ref="FW20" si="116">IFERROR(SUM(FW18:FW19)/FW9,"")</f>
        <v/>
      </c>
      <c r="FX20" s="117" t="str">
        <f t="shared" ref="FX20" si="117">IFERROR(SUM(FX18:FX19)/FX9,"")</f>
        <v/>
      </c>
      <c r="FY20" s="117" t="str">
        <f t="shared" ref="FY20" si="118">IFERROR(SUM(FY18:FY19)/FY9,"")</f>
        <v/>
      </c>
      <c r="FZ20" s="117" t="str">
        <f t="shared" ref="FZ20" si="119">IFERROR(SUM(FZ18:FZ19)/FZ9,"")</f>
        <v/>
      </c>
      <c r="GA20" s="117" t="str">
        <f t="shared" ref="GA20" si="120">IFERROR(SUM(GA18:GA19)/GA9,"")</f>
        <v/>
      </c>
      <c r="GB20" s="117" t="str">
        <f t="shared" ref="GB20" si="121">IFERROR(SUM(GB18:GB19)/GB9,"")</f>
        <v/>
      </c>
      <c r="GC20" s="117" t="str">
        <f t="shared" ref="GC20" si="122">IFERROR(SUM(GC18:GC19)/GC9,"")</f>
        <v/>
      </c>
      <c r="GD20" s="117" t="str">
        <f t="shared" ref="GD20" si="123">IFERROR(SUM(GD18:GD19)/GD9,"")</f>
        <v/>
      </c>
      <c r="GE20" s="117" t="str">
        <f t="shared" ref="GE20" si="124">IFERROR(SUM(GE18:GE19)/GE9,"")</f>
        <v/>
      </c>
      <c r="GF20" s="117" t="str">
        <f t="shared" ref="GF20" si="125">IFERROR(SUM(GF18:GF19)/GF9,"")</f>
        <v/>
      </c>
      <c r="GG20" s="117" t="str">
        <f t="shared" ref="GG20" si="126">IFERROR(SUM(GG18:GG19)/GG9,"")</f>
        <v/>
      </c>
      <c r="GH20" s="117" t="str">
        <f t="shared" ref="GH20" si="127">IFERROR(SUM(GH18:GH19)/GH9,"")</f>
        <v/>
      </c>
      <c r="GI20" s="117" t="str">
        <f t="shared" ref="GI20" si="128">IFERROR(SUM(GI18:GI19)/GI9,"")</f>
        <v/>
      </c>
      <c r="GJ20" s="117" t="str">
        <f t="shared" ref="GJ20" si="129">IFERROR(SUM(GJ18:GJ19)/GJ9,"")</f>
        <v/>
      </c>
      <c r="GK20" s="117" t="str">
        <f t="shared" ref="GK20:GL20" si="130">IFERROR(SUM(GK18:GK19)/GK9,"")</f>
        <v/>
      </c>
      <c r="GL20" s="117">
        <f t="shared" si="130"/>
        <v>7.2321302653694935E-2</v>
      </c>
    </row>
    <row r="21" spans="1:195" ht="15" thickBot="1" x14ac:dyDescent="0.4">
      <c r="A21" s="3"/>
      <c r="B21" s="3"/>
      <c r="C21" s="3"/>
      <c r="D21" s="3"/>
      <c r="E21" s="3"/>
      <c r="F21" s="83"/>
      <c r="G21" s="83"/>
      <c r="H21" s="83"/>
      <c r="I21" s="83"/>
      <c r="J21" s="83"/>
      <c r="K21" s="83"/>
      <c r="L21" s="83"/>
      <c r="M21" s="83"/>
      <c r="N21" s="83"/>
      <c r="O21" s="83"/>
      <c r="P21" s="83"/>
      <c r="Q21" s="83"/>
      <c r="R21" s="83"/>
      <c r="S21" s="83"/>
      <c r="T21" s="83"/>
      <c r="U21" s="83"/>
      <c r="V21" s="83"/>
      <c r="W21" s="83"/>
      <c r="X21" s="83"/>
      <c r="Y21" s="83"/>
      <c r="Z21" s="83"/>
      <c r="AA21" s="83"/>
      <c r="AB21" s="83"/>
      <c r="AC21" s="83"/>
      <c r="AD21" s="83"/>
      <c r="AE21" s="83"/>
      <c r="AF21" s="83"/>
      <c r="AG21" s="83"/>
      <c r="AH21" s="83"/>
      <c r="AI21" s="83"/>
      <c r="AJ21" s="83"/>
      <c r="AK21" s="83"/>
      <c r="AL21" s="83"/>
      <c r="AM21" s="83"/>
      <c r="AN21" s="83"/>
      <c r="AO21" s="83"/>
      <c r="AP21" s="83"/>
      <c r="AQ21" s="83"/>
      <c r="AR21" s="83"/>
      <c r="AS21" s="83"/>
      <c r="AT21" s="83"/>
      <c r="AU21" s="83"/>
      <c r="AV21" s="83"/>
      <c r="AW21" s="83"/>
      <c r="AX21" s="83"/>
      <c r="AY21" s="83"/>
      <c r="AZ21" s="83"/>
      <c r="BA21" s="83"/>
      <c r="BB21" s="83"/>
      <c r="BC21" s="83"/>
      <c r="BD21" s="83"/>
      <c r="BE21" s="83"/>
      <c r="BF21" s="83"/>
      <c r="BG21" s="83"/>
      <c r="BH21" s="83"/>
      <c r="BI21" s="83"/>
      <c r="BJ21" s="83"/>
      <c r="BK21" s="83"/>
      <c r="BL21" s="83"/>
      <c r="BM21" s="83"/>
      <c r="BN21" s="83"/>
      <c r="BO21" s="83"/>
      <c r="BP21" s="83"/>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83"/>
      <c r="EJ21" s="83"/>
      <c r="EK21" s="83"/>
      <c r="EL21" s="83"/>
      <c r="EM21" s="83"/>
      <c r="EN21" s="83"/>
      <c r="EO21" s="83"/>
      <c r="EP21" s="83"/>
      <c r="EQ21" s="83"/>
      <c r="ER21" s="83"/>
      <c r="ES21" s="83"/>
      <c r="ET21" s="83"/>
      <c r="EU21" s="83"/>
      <c r="EV21" s="83"/>
      <c r="EW21" s="83"/>
      <c r="EX21" s="83"/>
      <c r="EY21" s="83"/>
      <c r="EZ21" s="83"/>
      <c r="FA21" s="83"/>
      <c r="FB21" s="83"/>
      <c r="FC21" s="83"/>
      <c r="FD21" s="83"/>
      <c r="FE21" s="83"/>
      <c r="FF21" s="83"/>
      <c r="FG21" s="83"/>
      <c r="FH21" s="83"/>
      <c r="FI21" s="83"/>
      <c r="FJ21" s="83"/>
      <c r="FK21" s="83"/>
      <c r="FL21" s="83"/>
      <c r="FM21" s="83"/>
      <c r="FN21" s="83"/>
      <c r="FO21" s="83"/>
      <c r="FP21" s="83"/>
      <c r="FQ21" s="83"/>
      <c r="FR21" s="83"/>
      <c r="FS21" s="83"/>
      <c r="FT21" s="83"/>
      <c r="FU21" s="83"/>
      <c r="FV21" s="83"/>
      <c r="FW21" s="83"/>
      <c r="FX21" s="83"/>
      <c r="FY21" s="83"/>
      <c r="FZ21" s="83"/>
      <c r="GA21" s="83"/>
      <c r="GB21" s="83"/>
      <c r="GC21" s="83"/>
      <c r="GD21" s="83"/>
      <c r="GE21" s="83"/>
      <c r="GF21" s="83"/>
      <c r="GG21" s="83"/>
      <c r="GH21" s="83"/>
      <c r="GI21" s="83"/>
      <c r="GJ21" s="83"/>
      <c r="GK21" s="83"/>
    </row>
    <row r="22" spans="1:195" x14ac:dyDescent="0.35">
      <c r="A22" s="24" t="s">
        <v>43</v>
      </c>
      <c r="B22" s="25">
        <f>IF(B15="Fri",0,SUMIF('Ramp Up Plan'!$3:$3,B$2,'Ramp Up Plan'!84:84))</f>
        <v>0</v>
      </c>
      <c r="C22" s="25">
        <f>IF(C15="Fri",0,SUMIF('Ramp Up Plan'!$3:$3,C$2,'Ramp Up Plan'!84:84))</f>
        <v>0</v>
      </c>
      <c r="D22" s="25">
        <f>IF(D15="Fri",0,SUMIF('Ramp Up Plan'!$3:$3,D$2,'Ramp Up Plan'!84:84))</f>
        <v>0</v>
      </c>
      <c r="E22" s="25">
        <f>IF(E15="Fri",0,SUMIF('Ramp Up Plan'!$3:$3,E$2,'Ramp Up Plan'!84:84))</f>
        <v>0</v>
      </c>
      <c r="F22" s="25">
        <f>IF(F15="Fri",0,SUMIF('Ramp Up Plan'!$3:$3,F$2,'Ramp Up Plan'!84:84))</f>
        <v>11880</v>
      </c>
      <c r="G22" s="25">
        <f>IF(G15="Fri",0,SUMIF('Ramp Up Plan'!$3:$3,G$2,'Ramp Up Plan'!84:84))</f>
        <v>11880</v>
      </c>
      <c r="H22" s="25">
        <f>IF(H15="Fri",0,SUMIF('Ramp Up Plan'!$3:$3,H$2,'Ramp Up Plan'!84:84))</f>
        <v>11880</v>
      </c>
      <c r="I22" s="25">
        <f>IF(I15="Fri",0,SUMIF('Ramp Up Plan'!$3:$3,I$2,'Ramp Up Plan'!84:84))</f>
        <v>11880</v>
      </c>
      <c r="J22" s="25">
        <f>IF(J15="Fri",0,SUMIF('Ramp Up Plan'!$3:$3,J$2,'Ramp Up Plan'!84:84))</f>
        <v>11880</v>
      </c>
      <c r="K22" s="25">
        <f>IF(K15="Fri",0,SUMIF('Ramp Up Plan'!$3:$3,K$2,'Ramp Up Plan'!84:84))</f>
        <v>11880</v>
      </c>
      <c r="L22" s="25">
        <f>IF(L15="Fri",0,SUMIF('Ramp Up Plan'!$3:$3,L$2,'Ramp Up Plan'!84:84))</f>
        <v>11880</v>
      </c>
      <c r="M22" s="25">
        <f>IF(M15="Fri",0,SUMIF('Ramp Up Plan'!$3:$3,M$2,'Ramp Up Plan'!84:84))</f>
        <v>11880</v>
      </c>
      <c r="N22" s="25">
        <f>IF(N15="Fri",0,SUMIF('Ramp Up Plan'!$3:$3,N$2,'Ramp Up Plan'!84:84))</f>
        <v>11880</v>
      </c>
      <c r="O22" s="25">
        <f>IF(O15="Fri",0,SUMIF('Ramp Up Plan'!$3:$3,O$2,'Ramp Up Plan'!84:84))</f>
        <v>11880</v>
      </c>
      <c r="P22" s="25">
        <f>IF(P15="Fri",0,SUMIF('Ramp Up Plan'!$3:$3,P$2,'Ramp Up Plan'!84:84))</f>
        <v>11880</v>
      </c>
      <c r="Q22" s="25">
        <f>IF(Q15="Fri",0,SUMIF('Ramp Up Plan'!$3:$3,Q$2,'Ramp Up Plan'!84:84))</f>
        <v>11880</v>
      </c>
      <c r="R22" s="25">
        <f>IF(R15="Fri",0,SUMIF('Ramp Up Plan'!$3:$3,R$2,'Ramp Up Plan'!84:84))</f>
        <v>11880</v>
      </c>
      <c r="S22" s="25">
        <f>IF(S15="Fri",0,SUMIF('Ramp Up Plan'!$3:$3,S$2,'Ramp Up Plan'!84:84))</f>
        <v>11880</v>
      </c>
      <c r="T22" s="25">
        <f>IF(T15="Fri",0,SUMIF('Ramp Up Plan'!$3:$3,T$2,'Ramp Up Plan'!84:84))</f>
        <v>11880</v>
      </c>
      <c r="U22" s="25">
        <f>IF(U15="Fri",0,SUMIF('Ramp Up Plan'!$3:$3,U$2,'Ramp Up Plan'!84:84))</f>
        <v>11880</v>
      </c>
      <c r="V22" s="25">
        <f>IF(V15="Fri",0,SUMIF('Ramp Up Plan'!$3:$3,V$2,'Ramp Up Plan'!84:84))</f>
        <v>11880</v>
      </c>
      <c r="W22" s="25">
        <f>IF(W15="Fri",0,SUMIF('Ramp Up Plan'!$3:$3,W$2,'Ramp Up Plan'!84:84))</f>
        <v>11880</v>
      </c>
      <c r="X22" s="25">
        <f>IF(X15="Fri",0,SUMIF('Ramp Up Plan'!$3:$3,X$2,'Ramp Up Plan'!84:84))</f>
        <v>11880</v>
      </c>
      <c r="Y22" s="25">
        <f>IF(Y15="Fri",0,SUMIF('Ramp Up Plan'!$3:$3,Y$2,'Ramp Up Plan'!84:84))</f>
        <v>11880</v>
      </c>
      <c r="Z22" s="25">
        <f>IF(Z15="Fri",0,SUMIF('Ramp Up Plan'!$3:$3,Z$2,'Ramp Up Plan'!84:84))</f>
        <v>11880</v>
      </c>
      <c r="AA22" s="25">
        <f>IF(AA15="Fri",0,SUMIF('Ramp Up Plan'!$3:$3,AA$2,'Ramp Up Plan'!84:84))</f>
        <v>11880</v>
      </c>
      <c r="AB22" s="25">
        <f>IF(AB15="Fri",0,SUMIF('Ramp Up Plan'!$3:$3,AB$2,'Ramp Up Plan'!84:84))</f>
        <v>11880</v>
      </c>
      <c r="AC22" s="25">
        <f>IF(AC15="Fri",0,SUMIF('Ramp Up Plan'!$3:$3,AC$2,'Ramp Up Plan'!84:84))</f>
        <v>11880</v>
      </c>
      <c r="AD22" s="25">
        <f>IF(AD15="Fri",0,SUMIF('Ramp Up Plan'!$3:$3,AD$2,'Ramp Up Plan'!84:84))</f>
        <v>25987.5</v>
      </c>
      <c r="AE22" s="25">
        <f>IF(AE15="Fri",0,SUMIF('Ramp Up Plan'!$3:$3,AE$2,'Ramp Up Plan'!84:84))</f>
        <v>25987.5</v>
      </c>
      <c r="AF22" s="25">
        <f>IF(AF15="Fri",0,SUMIF('Ramp Up Plan'!$3:$3,AF$2,'Ramp Up Plan'!84:84))</f>
        <v>25987.5</v>
      </c>
      <c r="AG22" s="25">
        <f>IF(AG15="Fri",0,SUMIF('Ramp Up Plan'!$3:$3,AG$2,'Ramp Up Plan'!84:84))</f>
        <v>25987.5</v>
      </c>
      <c r="AH22" s="25">
        <f>IF(AH15="Fri",0,SUMIF('Ramp Up Plan'!$3:$3,AH$2,'Ramp Up Plan'!84:84))</f>
        <v>25987.5</v>
      </c>
      <c r="AI22" s="25">
        <f>IF(AI15="Fri",0,SUMIF('Ramp Up Plan'!$3:$3,AI$2,'Ramp Up Plan'!84:84))</f>
        <v>25987.5</v>
      </c>
      <c r="AJ22" s="25">
        <f>IF(AJ15="Fri",0,SUMIF('Ramp Up Plan'!$3:$3,AJ$2,'Ramp Up Plan'!84:84))</f>
        <v>25987.5</v>
      </c>
      <c r="AK22" s="25">
        <f>IF(AK15="Fri",0,SUMIF('Ramp Up Plan'!$3:$3,AK$2,'Ramp Up Plan'!84:84))</f>
        <v>25987.5</v>
      </c>
      <c r="AL22" s="25">
        <f>IF(AL15="Fri",0,SUMIF('Ramp Up Plan'!$3:$3,AL$2,'Ramp Up Plan'!84:84))</f>
        <v>25987.5</v>
      </c>
      <c r="AM22" s="25">
        <f>IF(AM15="Fri",0,SUMIF('Ramp Up Plan'!$3:$3,AM$2,'Ramp Up Plan'!84:84))</f>
        <v>25987.5</v>
      </c>
      <c r="AN22" s="25">
        <f>IF(AN15="Fri",0,SUMIF('Ramp Up Plan'!$3:$3,AN$2,'Ramp Up Plan'!84:84))</f>
        <v>25987.5</v>
      </c>
      <c r="AO22" s="25">
        <f>IF(AO15="Fri",0,SUMIF('Ramp Up Plan'!$3:$3,AO$2,'Ramp Up Plan'!84:84))</f>
        <v>25987.5</v>
      </c>
      <c r="AP22" s="25">
        <f>IF(AP15="Fri",0,SUMIF('Ramp Up Plan'!$3:$3,AP$2,'Ramp Up Plan'!84:84))</f>
        <v>25987.5</v>
      </c>
      <c r="AQ22" s="25">
        <f>IF(AQ15="Fri",0,SUMIF('Ramp Up Plan'!$3:$3,AQ$2,'Ramp Up Plan'!84:84))</f>
        <v>25987.5</v>
      </c>
      <c r="AR22" s="25">
        <f>IF(AR15="Fri",0,SUMIF('Ramp Up Plan'!$3:$3,AR$2,'Ramp Up Plan'!84:84))</f>
        <v>25987.5</v>
      </c>
      <c r="AS22" s="25">
        <f>IF(AS15="Fri",0,SUMIF('Ramp Up Plan'!$3:$3,AS$2,'Ramp Up Plan'!84:84))</f>
        <v>25987.5</v>
      </c>
      <c r="AT22" s="25">
        <f>IF(AT15="Fri",0,SUMIF('Ramp Up Plan'!$3:$3,AT$2,'Ramp Up Plan'!84:84))</f>
        <v>25987.5</v>
      </c>
      <c r="AU22" s="25">
        <f>IF(AU15="Fri",0,SUMIF('Ramp Up Plan'!$3:$3,AU$2,'Ramp Up Plan'!84:84))</f>
        <v>25987.5</v>
      </c>
      <c r="AV22" s="25">
        <f>IF(AV15="Fri",0,SUMIF('Ramp Up Plan'!$3:$3,AV$2,'Ramp Up Plan'!84:84))</f>
        <v>25987.5</v>
      </c>
      <c r="AW22" s="25">
        <f>IF(AW15="Fri",0,SUMIF('Ramp Up Plan'!$3:$3,AW$2,'Ramp Up Plan'!84:84))</f>
        <v>25987.5</v>
      </c>
      <c r="AX22" s="25">
        <f>IF(AX15="Fri",0,SUMIF('Ramp Up Plan'!$3:$3,AX$2,'Ramp Up Plan'!84:84))</f>
        <v>64350</v>
      </c>
      <c r="AY22" s="25">
        <f>IF(AY15="Fri",0,SUMIF('Ramp Up Plan'!$3:$3,AY$2,'Ramp Up Plan'!84:84))</f>
        <v>64350</v>
      </c>
      <c r="AZ22" s="25">
        <f>IF(AZ15="Fri",0,SUMIF('Ramp Up Plan'!$3:$3,AZ$2,'Ramp Up Plan'!84:84))</f>
        <v>64350</v>
      </c>
      <c r="BA22" s="25">
        <f>IF(BA15="Fri",0,SUMIF('Ramp Up Plan'!$3:$3,BA$2,'Ramp Up Plan'!84:84))</f>
        <v>64350</v>
      </c>
      <c r="BB22" s="25">
        <f>IF(BB15="Fri",0,SUMIF('Ramp Up Plan'!$3:$3,BB$2,'Ramp Up Plan'!84:84))</f>
        <v>64350</v>
      </c>
      <c r="BC22" s="25">
        <f>IF(BC15="Fri",0,SUMIF('Ramp Up Plan'!$3:$3,BC$2,'Ramp Up Plan'!84:84))</f>
        <v>64350</v>
      </c>
      <c r="BD22" s="25">
        <f>IF(BD15="Fri",0,SUMIF('Ramp Up Plan'!$3:$3,BD$2,'Ramp Up Plan'!84:84))</f>
        <v>64350</v>
      </c>
      <c r="BE22" s="25">
        <f>IF(BE15="Fri",0,SUMIF('Ramp Up Plan'!$3:$3,BE$2,'Ramp Up Plan'!84:84))</f>
        <v>64350</v>
      </c>
      <c r="BF22" s="25">
        <f>IF(BF15="Fri",0,SUMIF('Ramp Up Plan'!$3:$3,BF$2,'Ramp Up Plan'!84:84))</f>
        <v>64350</v>
      </c>
      <c r="BG22" s="25">
        <f>IF(BG15="Fri",0,SUMIF('Ramp Up Plan'!$3:$3,BG$2,'Ramp Up Plan'!84:84))</f>
        <v>64350</v>
      </c>
      <c r="BH22" s="25">
        <f>IF(BH15="Fri",0,SUMIF('Ramp Up Plan'!$3:$3,BH$2,'Ramp Up Plan'!84:84))</f>
        <v>64350</v>
      </c>
      <c r="BI22" s="25">
        <f>IF(BI15="Fri",0,SUMIF('Ramp Up Plan'!$3:$3,BI$2,'Ramp Up Plan'!84:84))</f>
        <v>64350</v>
      </c>
      <c r="BJ22" s="25">
        <f>IF(BJ15="Fri",0,SUMIF('Ramp Up Plan'!$3:$3,BJ$2,'Ramp Up Plan'!84:84))</f>
        <v>64350</v>
      </c>
      <c r="BK22" s="25">
        <f>IF(BK15="Fri",0,SUMIF('Ramp Up Plan'!$3:$3,BK$2,'Ramp Up Plan'!84:84))</f>
        <v>64350</v>
      </c>
      <c r="BL22" s="25">
        <f>IF(BL15="Fri",0,SUMIF('Ramp Up Plan'!$3:$3,BL$2,'Ramp Up Plan'!84:84))</f>
        <v>64350</v>
      </c>
      <c r="BM22" s="25">
        <f>IF(BM15="Fri",0,SUMIF('Ramp Up Plan'!$3:$3,BM$2,'Ramp Up Plan'!84:84))</f>
        <v>64350</v>
      </c>
      <c r="BN22" s="25">
        <f>IF(BN15="Fri",0,SUMIF('Ramp Up Plan'!$3:$3,BN$2,'Ramp Up Plan'!84:84))</f>
        <v>64350</v>
      </c>
      <c r="BO22" s="25">
        <f>IF(BO15="Fri",0,SUMIF('Ramp Up Plan'!$3:$3,BO$2,'Ramp Up Plan'!84:84))</f>
        <v>64350</v>
      </c>
      <c r="BP22" s="25">
        <f>IF(BP15="Fri",0,SUMIF('Ramp Up Plan'!$3:$3,BP$2,'Ramp Up Plan'!84:84))</f>
        <v>64350</v>
      </c>
      <c r="BQ22" s="25">
        <f>IF(BQ15="Fri",0,SUMIF('Ramp Up Plan'!$3:$3,BQ$2,'Ramp Up Plan'!84:84))</f>
        <v>64350</v>
      </c>
      <c r="BR22" s="25">
        <f>IF(BR15="Fri",0,SUMIF('Ramp Up Plan'!$3:$3,BR$2,'Ramp Up Plan'!84:84))</f>
        <v>91698.75</v>
      </c>
      <c r="BS22" s="25">
        <f>IF(BS15="Fri",0,SUMIF('Ramp Up Plan'!$3:$3,BS$2,'Ramp Up Plan'!84:84))</f>
        <v>91698.75</v>
      </c>
      <c r="BT22" s="25">
        <f>IF(BT15="Fri",0,SUMIF('Ramp Up Plan'!$3:$3,BT$2,'Ramp Up Plan'!84:84))</f>
        <v>91698.75</v>
      </c>
      <c r="BU22" s="25">
        <f>IF(BU15="Fri",0,SUMIF('Ramp Up Plan'!$3:$3,BU$2,'Ramp Up Plan'!84:84))</f>
        <v>91698.75</v>
      </c>
      <c r="BV22" s="25">
        <f>IF(BV15="Fri",0,SUMIF('Ramp Up Plan'!$3:$3,BV$2,'Ramp Up Plan'!84:84))</f>
        <v>91698.75</v>
      </c>
      <c r="BW22" s="25">
        <f>IF(BW15="Fri",0,SUMIF('Ramp Up Plan'!$3:$3,BW$2,'Ramp Up Plan'!84:84))</f>
        <v>91698.75</v>
      </c>
      <c r="BX22" s="25">
        <f>IF(BX15="Fri",0,SUMIF('Ramp Up Plan'!$3:$3,BX$2,'Ramp Up Plan'!84:84))</f>
        <v>91698.75</v>
      </c>
      <c r="BY22" s="25">
        <f>IF(BY15="Fri",0,SUMIF('Ramp Up Plan'!$3:$3,BY$2,'Ramp Up Plan'!84:84))</f>
        <v>91698.75</v>
      </c>
      <c r="BZ22" s="25">
        <f>IF(BZ15="Fri",0,SUMIF('Ramp Up Plan'!$3:$3,BZ$2,'Ramp Up Plan'!84:84))</f>
        <v>91698.75</v>
      </c>
      <c r="CA22" s="25">
        <f>IF(CA15="Fri",0,SUMIF('Ramp Up Plan'!$3:$3,CA$2,'Ramp Up Plan'!84:84))</f>
        <v>91698.75</v>
      </c>
      <c r="CB22" s="25">
        <f>IF(CB15="Fri",0,SUMIF('Ramp Up Plan'!$3:$3,CB$2,'Ramp Up Plan'!84:84))</f>
        <v>91698.75</v>
      </c>
      <c r="CC22" s="25">
        <f>IF(CC15="Fri",0,SUMIF('Ramp Up Plan'!$3:$3,CC$2,'Ramp Up Plan'!84:84))</f>
        <v>91698.75</v>
      </c>
      <c r="CD22" s="25">
        <f>IF(CD15="Fri",0,SUMIF('Ramp Up Plan'!$3:$3,CD$2,'Ramp Up Plan'!84:84))</f>
        <v>91698.75</v>
      </c>
      <c r="CE22" s="25">
        <f>IF(CE15="Fri",0,SUMIF('Ramp Up Plan'!$3:$3,CE$2,'Ramp Up Plan'!84:84))</f>
        <v>91698.75</v>
      </c>
      <c r="CF22" s="25">
        <f>IF(CF15="Fri",0,SUMIF('Ramp Up Plan'!$3:$3,CF$2,'Ramp Up Plan'!84:84))</f>
        <v>91698.75</v>
      </c>
      <c r="CG22" s="25">
        <f>IF(CG15="Fri",0,SUMIF('Ramp Up Plan'!$3:$3,CG$2,'Ramp Up Plan'!84:84))</f>
        <v>91698.75</v>
      </c>
      <c r="CH22" s="25">
        <f>IF(CH15="Fri",0,SUMIF('Ramp Up Plan'!$3:$3,CH$2,'Ramp Up Plan'!84:84))</f>
        <v>91698.75</v>
      </c>
      <c r="CI22" s="25">
        <f>IF(CI15="Fri",0,SUMIF('Ramp Up Plan'!$3:$3,CI$2,'Ramp Up Plan'!84:84))</f>
        <v>91698.75</v>
      </c>
      <c r="CJ22" s="25">
        <f>IF(CJ15="Fri",0,SUMIF('Ramp Up Plan'!$3:$3,CJ$2,'Ramp Up Plan'!84:84))</f>
        <v>91698.75</v>
      </c>
      <c r="CK22" s="25">
        <f>IF(CK15="Fri",0,SUMIF('Ramp Up Plan'!$3:$3,CK$2,'Ramp Up Plan'!84:84))</f>
        <v>91698.75</v>
      </c>
      <c r="CL22" s="25">
        <f>IF(CL15="Fri",0,SUMIF('Ramp Up Plan'!$3:$3,CL$2,'Ramp Up Plan'!84:84))</f>
        <v>91698.75</v>
      </c>
      <c r="CM22" s="25">
        <f>IF(CM15="Fri",0,SUMIF('Ramp Up Plan'!$3:$3,CM$2,'Ramp Up Plan'!84:84))</f>
        <v>91698.75</v>
      </c>
      <c r="CN22" s="25">
        <f>IF(CN15="Fri",0,SUMIF('Ramp Up Plan'!$3:$3,CN$2,'Ramp Up Plan'!84:84))</f>
        <v>91698.75</v>
      </c>
      <c r="CO22" s="25">
        <f>IF(CO15="Fri",0,SUMIF('Ramp Up Plan'!$3:$3,CO$2,'Ramp Up Plan'!84:84))</f>
        <v>91698.75</v>
      </c>
      <c r="CP22" s="25">
        <f>IF(CP15="Fri",0,SUMIF('Ramp Up Plan'!$3:$3,CP$2,'Ramp Up Plan'!84:84))</f>
        <v>115830</v>
      </c>
      <c r="CQ22" s="25">
        <f>IF(CQ15="Fri",0,SUMIF('Ramp Up Plan'!$3:$3,CQ$2,'Ramp Up Plan'!84:84))</f>
        <v>115830</v>
      </c>
      <c r="CR22" s="25">
        <f>IF(CR15="Fri",0,SUMIF('Ramp Up Plan'!$3:$3,CR$2,'Ramp Up Plan'!84:84))</f>
        <v>115830</v>
      </c>
      <c r="CS22" s="25">
        <f>IF(CS15="Fri",0,SUMIF('Ramp Up Plan'!$3:$3,CS$2,'Ramp Up Plan'!84:84))</f>
        <v>115830</v>
      </c>
      <c r="CT22" s="25">
        <f>IF(CT15="Fri",0,SUMIF('Ramp Up Plan'!$3:$3,CT$2,'Ramp Up Plan'!84:84))</f>
        <v>115830</v>
      </c>
      <c r="CU22" s="25">
        <f>IF(CU15="Fri",0,SUMIF('Ramp Up Plan'!$3:$3,CU$2,'Ramp Up Plan'!84:84))</f>
        <v>115830</v>
      </c>
      <c r="CV22" s="25">
        <f>IF(CV15="Fri",0,SUMIF('Ramp Up Plan'!$3:$3,CV$2,'Ramp Up Plan'!84:84))</f>
        <v>115830</v>
      </c>
      <c r="CW22" s="25">
        <f>IF(CW15="Fri",0,SUMIF('Ramp Up Plan'!$3:$3,CW$2,'Ramp Up Plan'!84:84))</f>
        <v>115830</v>
      </c>
      <c r="CX22" s="25">
        <f>IF(CX15="Fri",0,SUMIF('Ramp Up Plan'!$3:$3,CX$2,'Ramp Up Plan'!84:84))</f>
        <v>115830</v>
      </c>
      <c r="CY22" s="25">
        <f>IF(CY15="Fri",0,SUMIF('Ramp Up Plan'!$3:$3,CY$2,'Ramp Up Plan'!84:84))</f>
        <v>115830</v>
      </c>
      <c r="CZ22" s="25">
        <f>IF(CZ15="Fri",0,SUMIF('Ramp Up Plan'!$3:$3,CZ$2,'Ramp Up Plan'!84:84))</f>
        <v>115830</v>
      </c>
      <c r="DA22" s="25">
        <f>IF(DA15="Fri",0,SUMIF('Ramp Up Plan'!$3:$3,DA$2,'Ramp Up Plan'!84:84))</f>
        <v>115830</v>
      </c>
      <c r="DB22" s="25">
        <f>IF(DB15="Fri",0,SUMIF('Ramp Up Plan'!$3:$3,DB$2,'Ramp Up Plan'!84:84))</f>
        <v>115830</v>
      </c>
      <c r="DC22" s="25">
        <f>IF(DC15="Fri",0,SUMIF('Ramp Up Plan'!$3:$3,DC$2,'Ramp Up Plan'!84:84))</f>
        <v>115830</v>
      </c>
      <c r="DD22" s="25">
        <f>IF(DD15="Fri",0,SUMIF('Ramp Up Plan'!$3:$3,DD$2,'Ramp Up Plan'!84:84))</f>
        <v>115830</v>
      </c>
      <c r="DE22" s="25">
        <f>IF(DE15="Fri",0,SUMIF('Ramp Up Plan'!$3:$3,DE$2,'Ramp Up Plan'!84:84))</f>
        <v>115830</v>
      </c>
      <c r="DF22" s="25">
        <f>IF(DF15="Fri",0,SUMIF('Ramp Up Plan'!$3:$3,DF$2,'Ramp Up Plan'!84:84))</f>
        <v>115830</v>
      </c>
      <c r="DG22" s="25">
        <f>IF(DG15="Fri",0,SUMIF('Ramp Up Plan'!$3:$3,DG$2,'Ramp Up Plan'!84:84))</f>
        <v>115830</v>
      </c>
      <c r="DH22" s="25">
        <f>IF(DH15="Fri",0,SUMIF('Ramp Up Plan'!$3:$3,DH$2,'Ramp Up Plan'!84:84))</f>
        <v>115830</v>
      </c>
      <c r="DI22" s="25">
        <f>IF(DI15="Fri",0,SUMIF('Ramp Up Plan'!$3:$3,DI$2,'Ramp Up Plan'!84:84))</f>
        <v>115830</v>
      </c>
      <c r="DJ22" s="25">
        <f>IF(DJ15="Fri",0,SUMIF('Ramp Up Plan'!$3:$3,DJ$2,'Ramp Up Plan'!84:84))</f>
        <v>108590.625</v>
      </c>
      <c r="DK22" s="25">
        <f>IF(DK15="Fri",0,SUMIF('Ramp Up Plan'!$3:$3,DK$2,'Ramp Up Plan'!84:84))</f>
        <v>108590.625</v>
      </c>
      <c r="DL22" s="25">
        <f>IF(DL15="Fri",0,SUMIF('Ramp Up Plan'!$3:$3,DL$2,'Ramp Up Plan'!84:84))</f>
        <v>108590.625</v>
      </c>
      <c r="DM22" s="25">
        <f>IF(DM15="Fri",0,SUMIF('Ramp Up Plan'!$3:$3,DM$2,'Ramp Up Plan'!84:84))</f>
        <v>108590.625</v>
      </c>
      <c r="DN22" s="25">
        <f>IF(DN15="Fri",0,SUMIF('Ramp Up Plan'!$3:$3,DN$2,'Ramp Up Plan'!84:84))</f>
        <v>108590.625</v>
      </c>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row>
    <row r="23" spans="1:195" s="30" customFormat="1" x14ac:dyDescent="0.35">
      <c r="A23" s="29" t="s">
        <v>186</v>
      </c>
      <c r="B23" s="107"/>
      <c r="C23" s="107"/>
      <c r="D23" s="107"/>
      <c r="E23" s="107"/>
      <c r="F23" s="107"/>
      <c r="G23" s="107"/>
      <c r="H23" s="107"/>
      <c r="I23" s="107"/>
      <c r="J23" s="107"/>
      <c r="K23" s="107"/>
      <c r="L23" s="107"/>
      <c r="M23" s="107"/>
      <c r="N23" s="107"/>
      <c r="O23" s="107"/>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7"/>
      <c r="BK23" s="107"/>
      <c r="BL23" s="107"/>
      <c r="BM23" s="107"/>
      <c r="BN23" s="107"/>
      <c r="BO23" s="107"/>
      <c r="BP23" s="107"/>
      <c r="BQ23" s="107"/>
      <c r="BR23" s="107"/>
      <c r="BS23" s="107"/>
      <c r="BT23" s="107"/>
      <c r="BU23" s="107"/>
      <c r="BV23" s="107"/>
      <c r="BW23" s="107"/>
      <c r="BX23" s="107"/>
      <c r="BY23" s="107"/>
      <c r="BZ23" s="107"/>
      <c r="CA23" s="107"/>
      <c r="CB23" s="107"/>
      <c r="CC23" s="107"/>
      <c r="CD23" s="107"/>
      <c r="CE23" s="107"/>
      <c r="CF23" s="107"/>
      <c r="CG23" s="107"/>
      <c r="CH23" s="107"/>
      <c r="CI23" s="107"/>
      <c r="CJ23" s="107"/>
      <c r="CK23" s="107"/>
      <c r="CL23" s="107"/>
      <c r="CM23" s="107">
        <f>SUMIF('New Plant SD Plan'!$A:$A,CM20,'New Plant SD Plan'!$E:$E)</f>
        <v>0</v>
      </c>
      <c r="CN23" s="107">
        <f>SUMIF('New Plant Bao Plan'!$A:$A,CN4,'New Plant Bao Plan'!$E:$E)</f>
        <v>0</v>
      </c>
      <c r="CO23" s="107">
        <f>SUMIF('New Plant Bao Plan'!$A:$A,CO4,'New Plant Bao Plan'!$E:$E)</f>
        <v>0</v>
      </c>
      <c r="CP23" s="107">
        <f>SUMIF('New Plant Bao Plan'!$A:$A,CP4,'New Plant Bao Plan'!$E:$E)</f>
        <v>0</v>
      </c>
      <c r="CQ23" s="107">
        <f>SUMIF('New Plant Bao Plan'!$A:$A,CQ4,'New Plant Bao Plan'!$E:$E)</f>
        <v>0</v>
      </c>
      <c r="CR23" s="107">
        <f>SUMIF('New Plant Bao Plan'!$A:$A,CR4,'New Plant Bao Plan'!$E:$E)</f>
        <v>0</v>
      </c>
      <c r="CS23" s="107">
        <f>SUMIF('New Plant Bao Plan'!$A:$A,CS4,'New Plant Bao Plan'!$E:$E)</f>
        <v>0</v>
      </c>
      <c r="CT23" s="107">
        <f>SUMIF('New Plant Bao Plan'!$A:$A,CT4,'New Plant Bao Plan'!$E:$E)</f>
        <v>0</v>
      </c>
      <c r="CU23" s="107">
        <f>SUMIF('New Plant Bao Plan'!$A:$A,CU4,'New Plant Bao Plan'!$E:$E)</f>
        <v>0</v>
      </c>
      <c r="CV23" s="107">
        <f>SUMIF('New Plant Bao Plan'!$A:$A,CV4,'New Plant Bao Plan'!$E:$E)</f>
        <v>0</v>
      </c>
      <c r="CW23" s="107">
        <f>SUMIF('New Plant Bao Plan'!$A:$A,CW4,'New Plant Bao Plan'!$E:$E)</f>
        <v>0</v>
      </c>
      <c r="CX23" s="107">
        <f>SUMIF('New Plant Bao Plan'!$A:$A,CX4,'New Plant Bao Plan'!$E:$E)</f>
        <v>0</v>
      </c>
      <c r="CY23" s="107">
        <f>SUMIF('New Plant Bao Plan'!$A:$A,CY4,'New Plant Bao Plan'!$E:$E)</f>
        <v>0</v>
      </c>
      <c r="CZ23" s="107">
        <f>SUMIF('New Plant Bao Plan'!$A:$A,CZ4,'New Plant Bao Plan'!$E:$E)</f>
        <v>0</v>
      </c>
      <c r="DA23" s="107">
        <f>SUMIF('New Plant Bao Plan'!$A:$A,DA4,'New Plant Bao Plan'!$E:$E)</f>
        <v>0</v>
      </c>
      <c r="DB23" s="107">
        <f>SUMIF('New Plant Bao Plan'!$A:$A,DB4,'New Plant Bao Plan'!$E:$E)</f>
        <v>0</v>
      </c>
      <c r="DC23" s="107">
        <f>SUMIF('New Plant Bao Plan'!$A:$A,DC4,'New Plant Bao Plan'!$E:$E)</f>
        <v>0</v>
      </c>
      <c r="DD23" s="107">
        <f>SUMIF('New Plant Bao Plan'!$A:$A,DD4,'New Plant Bao Plan'!$E:$E)</f>
        <v>0</v>
      </c>
      <c r="DE23" s="107">
        <f>SUMIF('New Plant Bao Plan'!$A:$A,DE4,'New Plant Bao Plan'!$E:$E)</f>
        <v>45000</v>
      </c>
      <c r="DF23" s="107">
        <f>SUMIF('New Plant Bao Plan'!$A:$A,DF4,'New Plant Bao Plan'!$E:$E)</f>
        <v>45000</v>
      </c>
      <c r="DG23" s="107">
        <f>SUMIF('New Plant Bao Plan'!$A:$A,DG4,'New Plant Bao Plan'!$E:$E)</f>
        <v>60000</v>
      </c>
      <c r="DH23" s="107">
        <f>SUMIF('New Plant Bao Plan'!$A:$A,DH4,'New Plant Bao Plan'!$E:$E)</f>
        <v>60000</v>
      </c>
      <c r="DI23" s="107">
        <f>SUMIF('New Plant Bao Plan'!$A:$A,DI4,'New Plant Bao Plan'!$E:$E)</f>
        <v>0</v>
      </c>
      <c r="DJ23" s="107">
        <f>SUMIF('New Plant Bao Plan'!$A:$A,DJ4,'New Plant Bao Plan'!$E:$E)</f>
        <v>75000</v>
      </c>
      <c r="DK23" s="107">
        <f>SUMIF('New Plant Bao Plan'!$A:$A,DK4,'New Plant Bao Plan'!$E:$E)</f>
        <v>75000</v>
      </c>
      <c r="DL23" s="107">
        <f>SUMIF('New Plant Bao Plan'!$A:$A,DL4,'New Plant Bao Plan'!$E:$E)</f>
        <v>75000</v>
      </c>
      <c r="DM23" s="107">
        <f>SUMIF('New Plant Bao Plan'!$A:$A,DM4,'New Plant Bao Plan'!$E:$E)</f>
        <v>75000</v>
      </c>
      <c r="DN23" s="107">
        <f>SUMIF('New Plant Bao Plan'!$A:$A,DN4,'New Plant Bao Plan'!$E:$E)</f>
        <v>0</v>
      </c>
      <c r="DO23" s="107">
        <f>SUMIF('New Plant Bao Plan'!$A:$A,DO4,'New Plant Bao Plan'!$E:$E)</f>
        <v>75000</v>
      </c>
      <c r="DP23" s="107">
        <f>SUMIF('New Plant Bao Plan'!$A:$A,DP4,'New Plant Bao Plan'!$E:$E)</f>
        <v>75000</v>
      </c>
      <c r="DQ23" s="107">
        <f>SUMIF('New Plant Bao Plan'!$A:$A,DQ4,'New Plant Bao Plan'!$E:$E)</f>
        <v>75000</v>
      </c>
      <c r="DR23" s="107">
        <f>SUMIF('New Plant Bao Plan'!$A:$A,DR4,'New Plant Bao Plan'!$E:$E)</f>
        <v>75000</v>
      </c>
      <c r="DS23" s="107">
        <f>SUMIF('New Plant Bao Plan'!$A:$A,DS4,'New Plant Bao Plan'!$E:$E)</f>
        <v>75000</v>
      </c>
      <c r="DT23" s="107">
        <f>SUMIF('New Plant Bao Plan'!$A:$A,DT4,'New Plant Bao Plan'!$E:$E)</f>
        <v>75000</v>
      </c>
      <c r="DU23" s="107">
        <f>SUMIF('New Plant Bao Plan'!$A:$A,DU4,'New Plant Bao Plan'!$E:$E)</f>
        <v>75000</v>
      </c>
      <c r="DV23" s="107">
        <f>SUMIF('New Plant Bao Plan'!$A:$A,DV4,'New Plant Bao Plan'!$E:$E)</f>
        <v>75000</v>
      </c>
      <c r="DW23" s="107">
        <f>SUMIF('New Plant Bao Plan'!$A:$A,DW4,'New Plant Bao Plan'!$E:$E)</f>
        <v>75000</v>
      </c>
      <c r="DX23" s="107">
        <f>SUMIF('New Plant Bao Plan'!$A:$A,DX4,'New Plant Bao Plan'!$E:$E)</f>
        <v>75000</v>
      </c>
      <c r="DY23" s="107">
        <f>SUMIF('New Plant Bao Plan'!$A:$A,DY4,'New Plant Bao Plan'!$E:$E)</f>
        <v>75000</v>
      </c>
      <c r="DZ23" s="107">
        <f>SUMIF('New Plant Bao Plan'!$A:$A,DZ4,'New Plant Bao Plan'!$E:$E)</f>
        <v>75000</v>
      </c>
      <c r="EA23" s="107">
        <f>SUMIF('New Plant Bao Plan'!$A:$A,EA4,'New Plant Bao Plan'!$E:$E)</f>
        <v>75000</v>
      </c>
      <c r="EB23" s="107">
        <f>SUMIF('New Plant Bao Plan'!$A:$A,EB4,'New Plant Bao Plan'!$E:$E)</f>
        <v>75000</v>
      </c>
      <c r="EC23" s="107">
        <f>SUMIF('New Plant Bao Plan'!$A:$A,EC4,'New Plant Bao Plan'!$E:$E)</f>
        <v>75000</v>
      </c>
      <c r="ED23" s="107">
        <f>SUMIF('New Plant Bao Plan'!$A:$A,ED4,'New Plant Bao Plan'!$E:$E)</f>
        <v>75000</v>
      </c>
      <c r="EE23" s="107">
        <f>SUMIF('New Plant Bao Plan'!$A:$A,EE4,'New Plant Bao Plan'!$E:$E)</f>
        <v>75000</v>
      </c>
      <c r="EF23" s="107">
        <f>SUMIF('New Plant Bao Plan'!$A:$A,EF4,'New Plant Bao Plan'!$E:$E)</f>
        <v>75000</v>
      </c>
      <c r="EG23" s="107">
        <f>SUMIF('New Plant Bao Plan'!$A:$A,EG4,'New Plant Bao Plan'!$E:$E)</f>
        <v>75000</v>
      </c>
      <c r="EH23" s="107">
        <f>SUMIF('New Plant Bao Plan'!$A:$A,EH4,'New Plant Bao Plan'!$E:$E)</f>
        <v>75000</v>
      </c>
      <c r="EI23" s="107">
        <f>SUMIF('New Plant Bao Plan'!$A:$A,EI4,'New Plant Bao Plan'!$E:$E)</f>
        <v>75000</v>
      </c>
      <c r="EJ23" s="107">
        <f>SUMIF('New Plant Bao Plan'!$A:$A,EJ4,'New Plant Bao Plan'!$E:$E)</f>
        <v>75000</v>
      </c>
      <c r="EK23" s="107">
        <f>SUMIF('New Plant Bao Plan'!$A:$A,EK4,'New Plant Bao Plan'!$E:$E)</f>
        <v>75000</v>
      </c>
      <c r="EL23" s="107">
        <f>SUMIF('New Plant Bao Plan'!$A:$A,EL4,'New Plant Bao Plan'!$E:$E)</f>
        <v>75000</v>
      </c>
      <c r="EM23" s="107">
        <f>SUMIF('New Plant Bao Plan'!$A:$A,EM4,'New Plant Bao Plan'!$E:$E)</f>
        <v>75000</v>
      </c>
      <c r="EN23" s="107">
        <f>SUMIF('New Plant Bao Plan'!$A:$A,EN4,'New Plant Bao Plan'!$E:$E)</f>
        <v>75000</v>
      </c>
      <c r="EO23" s="107">
        <f>SUMIF('New Plant Bao Plan'!$A:$A,EO4,'New Plant Bao Plan'!$E:$E)</f>
        <v>75000</v>
      </c>
      <c r="EP23" s="107">
        <f>SUMIF('New Plant Bao Plan'!$A:$A,EP4,'New Plant Bao Plan'!$E:$E)</f>
        <v>75000</v>
      </c>
      <c r="EQ23" s="107">
        <f>SUMIF('New Plant Bao Plan'!$A:$A,EQ4,'New Plant Bao Plan'!$E:$E)</f>
        <v>75000</v>
      </c>
      <c r="ER23" s="107">
        <f>SUMIF('New Plant Bao Plan'!$A:$A,ER4,'New Plant Bao Plan'!$E:$E)</f>
        <v>75000</v>
      </c>
      <c r="ES23" s="107">
        <f>SUMIF('New Plant Bao Plan'!$A:$A,ES4,'New Plant Bao Plan'!$E:$E)</f>
        <v>75000</v>
      </c>
      <c r="ET23" s="107">
        <f>SUMIF('New Plant Bao Plan'!$A:$A,ET4,'New Plant Bao Plan'!$E:$E)</f>
        <v>75000</v>
      </c>
      <c r="EU23" s="107">
        <f>SUMIF('New Plant Bao Plan'!$A:$A,EU4,'New Plant Bao Plan'!$E:$E)</f>
        <v>75000</v>
      </c>
      <c r="EV23" s="107">
        <f>SUMIF('New Plant Bao Plan'!$A:$A,EV4,'New Plant Bao Plan'!$E:$E)</f>
        <v>75000</v>
      </c>
      <c r="EW23" s="107">
        <f>SUMIF('New Plant Bao Plan'!$A:$A,EW4,'New Plant Bao Plan'!$E:$E)</f>
        <v>75000</v>
      </c>
      <c r="EX23" s="107">
        <f>SUMIF('New Plant Bao Plan'!$A:$A,EX4,'New Plant Bao Plan'!$E:$E)</f>
        <v>75000</v>
      </c>
      <c r="EY23" s="107">
        <f>SUMIF('New Plant Bao Plan'!$A:$A,EY4,'New Plant Bao Plan'!$E:$E)</f>
        <v>75000</v>
      </c>
      <c r="EZ23" s="107">
        <f>SUMIF('New Plant Bao Plan'!$A:$A,EZ4,'New Plant Bao Plan'!$E:$E)</f>
        <v>75000</v>
      </c>
      <c r="FA23" s="107">
        <f>SUMIF('New Plant Bao Plan'!$A:$A,FA4,'New Plant Bao Plan'!$E:$E)</f>
        <v>75000</v>
      </c>
      <c r="FB23" s="107">
        <f>SUMIF('New Plant Bao Plan'!$A:$A,FB4,'New Plant Bao Plan'!$E:$E)</f>
        <v>75000</v>
      </c>
      <c r="FC23" s="107">
        <f>SUMIF('New Plant Bao Plan'!$A:$A,FC4,'New Plant Bao Plan'!$E:$E)</f>
        <v>75000</v>
      </c>
      <c r="FD23" s="107">
        <f>SUMIF('New Plant Bao Plan'!$A:$A,FD4,'New Plant Bao Plan'!$E:$E)</f>
        <v>75000</v>
      </c>
      <c r="FE23" s="107">
        <f>SUMIF('New Plant Bao Plan'!$A:$A,FE4,'New Plant Bao Plan'!$E:$E)</f>
        <v>75000</v>
      </c>
      <c r="FF23" s="107">
        <f>SUMIF('New Plant Bao Plan'!$A:$A,FF4,'New Plant Bao Plan'!$E:$E)</f>
        <v>75000</v>
      </c>
      <c r="FG23" s="107">
        <f>SUMIF('New Plant Bao Plan'!$A:$A,FG4,'New Plant Bao Plan'!$E:$E)</f>
        <v>75000</v>
      </c>
      <c r="FH23" s="107">
        <f>SUMIF('New Plant Bao Plan'!$A:$A,FH4,'New Plant Bao Plan'!$E:$E)</f>
        <v>75000</v>
      </c>
      <c r="FI23" s="107">
        <f>SUMIF('New Plant Bao Plan'!$A:$A,FI4,'New Plant Bao Plan'!$E:$E)</f>
        <v>75000</v>
      </c>
      <c r="FJ23" s="107">
        <f>SUMIF('New Plant Bao Plan'!$A:$A,FJ4,'New Plant Bao Plan'!$E:$E)</f>
        <v>75000</v>
      </c>
      <c r="FK23" s="107">
        <f>SUMIF('New Plant Bao Plan'!$A:$A,FK4,'New Plant Bao Plan'!$E:$E)</f>
        <v>75000</v>
      </c>
      <c r="FL23" s="107">
        <f>SUMIF('New Plant Bao Plan'!$A:$A,FL4,'New Plant Bao Plan'!$E:$E)</f>
        <v>75000</v>
      </c>
      <c r="FM23" s="107">
        <f>SUMIF('New Plant Bao Plan'!$A:$A,FM4,'New Plant Bao Plan'!$E:$E)</f>
        <v>75000</v>
      </c>
      <c r="FN23" s="107">
        <f>SUMIF('New Plant Bao Plan'!$A:$A,FN4,'New Plant Bao Plan'!$E:$E)</f>
        <v>75000</v>
      </c>
      <c r="FO23" s="107">
        <f>SUMIF('New Plant Bao Plan'!$A:$A,FO4,'New Plant Bao Plan'!$E:$E)</f>
        <v>75000</v>
      </c>
      <c r="FP23" s="107">
        <f>SUMIF('New Plant Bao Plan'!$A:$A,FP4,'New Plant Bao Plan'!$E:$E)</f>
        <v>75000</v>
      </c>
      <c r="FQ23" s="107">
        <f>SUMIF('New Plant Bao Plan'!$A:$A,FQ4,'New Plant Bao Plan'!$E:$E)</f>
        <v>75000</v>
      </c>
      <c r="FR23" s="107">
        <f>SUMIF('New Plant Bao Plan'!$A:$A,FR4,'New Plant Bao Plan'!$E:$E)</f>
        <v>75000</v>
      </c>
      <c r="FS23" s="107">
        <f>SUMIF('New Plant Bao Plan'!$A:$A,FS4,'New Plant Bao Plan'!$E:$E)</f>
        <v>75000</v>
      </c>
      <c r="FT23" s="107">
        <f>SUMIF('New Plant Bao Plan'!$A:$A,FT4,'New Plant Bao Plan'!$E:$E)</f>
        <v>75000</v>
      </c>
      <c r="FU23" s="107">
        <f>SUMIF('New Plant Bao Plan'!$A:$A,FU4,'New Plant Bao Plan'!$E:$E)</f>
        <v>75000</v>
      </c>
      <c r="FV23" s="107">
        <f>SUMIF('New Plant Bao Plan'!$A:$A,FV4,'New Plant Bao Plan'!$E:$E)</f>
        <v>75000</v>
      </c>
      <c r="FW23" s="107">
        <f>SUMIF('New Plant Bao Plan'!$A:$A,FW4,'New Plant Bao Plan'!$E:$E)</f>
        <v>75000</v>
      </c>
      <c r="FX23" s="107">
        <f>SUMIF('New Plant Bao Plan'!$A:$A,FX4,'New Plant Bao Plan'!$E:$E)</f>
        <v>75000</v>
      </c>
      <c r="FY23" s="107">
        <f>SUMIF('New Plant Bao Plan'!$A:$A,FY4,'New Plant Bao Plan'!$E:$E)</f>
        <v>75000</v>
      </c>
      <c r="FZ23" s="107">
        <f>SUMIF('New Plant Bao Plan'!$A:$A,FZ4,'New Plant Bao Plan'!$E:$E)</f>
        <v>75000</v>
      </c>
      <c r="GA23" s="107">
        <f>SUMIF('New Plant Bao Plan'!$A:$A,GA4,'New Plant Bao Plan'!$E:$E)</f>
        <v>75000</v>
      </c>
      <c r="GB23" s="107">
        <f>SUMIF('New Plant Bao Plan'!$A:$A,GB4,'New Plant Bao Plan'!$E:$E)</f>
        <v>75000</v>
      </c>
      <c r="GC23" s="107">
        <f>SUMIF('New Plant Bao Plan'!$A:$A,GC4,'New Plant Bao Plan'!$E:$E)</f>
        <v>75000</v>
      </c>
      <c r="GD23" s="107">
        <f>SUMIF('New Plant Bao Plan'!$A:$A,GD4,'New Plant Bao Plan'!$E:$E)</f>
        <v>75000</v>
      </c>
      <c r="GE23" s="107">
        <f>SUMIF('New Plant Bao Plan'!$A:$A,GE4,'New Plant Bao Plan'!$E:$E)</f>
        <v>75000</v>
      </c>
      <c r="GF23" s="107">
        <f>SUMIF('New Plant Bao Plan'!$A:$A,GF4,'New Plant Bao Plan'!$E:$E)</f>
        <v>75000</v>
      </c>
      <c r="GG23" s="107">
        <f>SUMIF('New Plant Bao Plan'!$A:$A,GG4,'New Plant Bao Plan'!$E:$E)</f>
        <v>75000</v>
      </c>
      <c r="GH23" s="107">
        <f>SUMIF('New Plant Bao Plan'!$A:$A,GH4,'New Plant Bao Plan'!$E:$E)</f>
        <v>75000</v>
      </c>
      <c r="GI23" s="107">
        <f>SUMIF('New Plant Bao Plan'!$A:$A,GI4,'New Plant Bao Plan'!$E:$E)</f>
        <v>75000</v>
      </c>
      <c r="GJ23" s="107">
        <f>SUMIF('New Plant Bao Plan'!$A:$A,GJ4,'New Plant Bao Plan'!$E:$E)</f>
        <v>75000</v>
      </c>
      <c r="GK23" s="107">
        <f>SUMIF('New Plant Bao Plan'!$A:$A,GK4,'New Plant Bao Plan'!$E:$E)</f>
        <v>75000</v>
      </c>
      <c r="GL23" s="122">
        <f>SUM(CM23:GK23)</f>
        <v>6135000</v>
      </c>
    </row>
    <row r="24" spans="1:195" x14ac:dyDescent="0.35">
      <c r="A24" s="31"/>
      <c r="B24" s="3"/>
      <c r="C24" s="3"/>
      <c r="D24" s="3"/>
      <c r="E24" s="3"/>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c r="AZ24" s="106"/>
      <c r="BA24" s="106"/>
      <c r="BB24" s="106"/>
      <c r="BC24" s="106"/>
      <c r="BD24" s="106"/>
      <c r="BE24" s="106"/>
      <c r="BF24" s="106"/>
      <c r="BG24" s="106"/>
      <c r="BH24" s="106"/>
      <c r="BI24" s="106"/>
      <c r="BJ24" s="106"/>
      <c r="BK24" s="106"/>
      <c r="BL24" s="106"/>
      <c r="BM24" s="106"/>
      <c r="BN24" s="106"/>
      <c r="BO24" s="106"/>
      <c r="BP24" s="106"/>
      <c r="BQ24" s="106"/>
      <c r="BR24" s="106"/>
      <c r="BS24" s="106"/>
      <c r="BT24" s="106"/>
      <c r="BU24" s="106"/>
      <c r="BV24" s="106"/>
      <c r="BW24" s="106"/>
      <c r="BX24" s="106"/>
      <c r="BY24" s="106"/>
      <c r="BZ24" s="106"/>
      <c r="CA24" s="106"/>
      <c r="CB24" s="106"/>
      <c r="CC24" s="106"/>
      <c r="CD24" s="106"/>
      <c r="CE24" s="106"/>
      <c r="CF24" s="106"/>
      <c r="CG24" s="106"/>
      <c r="CH24" s="106"/>
      <c r="CI24" s="106"/>
      <c r="CJ24" s="106"/>
      <c r="CK24" s="106"/>
      <c r="CL24" s="106"/>
      <c r="CM24" s="106"/>
      <c r="CN24" s="106"/>
      <c r="CO24" s="106"/>
      <c r="CP24" s="106"/>
      <c r="CQ24" s="106"/>
      <c r="CR24" s="106"/>
      <c r="CS24" s="106"/>
      <c r="CT24" s="106"/>
      <c r="CU24" s="106"/>
      <c r="CV24" s="106"/>
      <c r="CW24" s="106"/>
      <c r="CX24" s="106"/>
      <c r="CY24" s="106"/>
      <c r="CZ24" s="106"/>
      <c r="DA24" s="106"/>
      <c r="DB24" s="106"/>
      <c r="DC24" s="106"/>
      <c r="DD24" s="106"/>
      <c r="DE24" s="106"/>
      <c r="DF24" s="106"/>
      <c r="DG24" s="106"/>
      <c r="DH24" s="106"/>
      <c r="DI24" s="106"/>
      <c r="DJ24" s="106"/>
      <c r="DK24" s="106"/>
      <c r="DL24" s="106"/>
      <c r="DM24" s="106"/>
      <c r="DN24" s="106"/>
      <c r="DO24" s="106"/>
      <c r="DP24" s="106"/>
      <c r="DQ24" s="106"/>
      <c r="DR24" s="106"/>
      <c r="DS24" s="106"/>
      <c r="DT24" s="106"/>
      <c r="DU24" s="106"/>
      <c r="DV24" s="106"/>
      <c r="DW24" s="106"/>
      <c r="DX24" s="106"/>
      <c r="DY24" s="106"/>
      <c r="DZ24" s="106"/>
      <c r="EA24" s="106"/>
      <c r="EB24" s="106"/>
      <c r="EC24" s="106"/>
      <c r="ED24" s="106"/>
      <c r="EE24" s="106"/>
      <c r="EF24" s="106"/>
      <c r="EG24" s="106"/>
      <c r="EH24" s="106"/>
      <c r="EI24" s="106"/>
      <c r="EJ24" s="106"/>
      <c r="EK24" s="106"/>
      <c r="EL24" s="106"/>
      <c r="EM24" s="106"/>
      <c r="EN24" s="106"/>
      <c r="EO24" s="106"/>
      <c r="EP24" s="106"/>
      <c r="EQ24" s="106"/>
      <c r="ER24" s="106"/>
      <c r="ES24" s="106"/>
      <c r="ET24" s="106"/>
      <c r="EU24" s="106"/>
      <c r="EV24" s="106"/>
      <c r="EW24" s="106"/>
      <c r="EX24" s="106"/>
      <c r="EY24" s="106"/>
      <c r="EZ24" s="106"/>
      <c r="FA24" s="106"/>
      <c r="FB24" s="106"/>
      <c r="FC24" s="106"/>
      <c r="FD24" s="106"/>
      <c r="FE24" s="106"/>
      <c r="FF24" s="106"/>
      <c r="FG24" s="106"/>
      <c r="FH24" s="106"/>
      <c r="FI24" s="106"/>
      <c r="FJ24" s="106"/>
      <c r="FK24" s="106"/>
      <c r="FL24" s="106"/>
      <c r="FM24" s="106"/>
      <c r="FN24" s="106"/>
      <c r="FO24" s="106"/>
      <c r="FP24" s="106"/>
      <c r="FQ24" s="106"/>
      <c r="FR24" s="106"/>
      <c r="FS24" s="106"/>
      <c r="FT24" s="106"/>
      <c r="FU24" s="106"/>
      <c r="FV24" s="106"/>
      <c r="FW24" s="106"/>
      <c r="FX24" s="106"/>
      <c r="FY24" s="106"/>
      <c r="FZ24" s="106"/>
      <c r="GA24" s="106"/>
      <c r="GB24" s="106"/>
      <c r="GC24" s="106"/>
      <c r="GD24" s="106"/>
      <c r="GE24" s="106"/>
      <c r="GF24" s="106"/>
      <c r="GG24" s="106"/>
      <c r="GH24" s="106"/>
      <c r="GI24" s="106"/>
      <c r="GJ24" s="106"/>
      <c r="GK24" s="106"/>
    </row>
    <row r="25" spans="1:195" s="28" customFormat="1" x14ac:dyDescent="0.35">
      <c r="A25" s="26" t="s">
        <v>12</v>
      </c>
      <c r="B25" s="27">
        <f>SUMIF('Raw Data - Production'!$A:$A,B$4,'Raw Data - Production'!$G:$G)+SUMIF('Raw Data - Production'!$A:$A,B$4,'Raw Data - Production'!$H:$H)+SUMIF('Raw Data - Production'!$A:$A,B$4,'Raw Data - Production'!$I:$I)+SUMIF('Raw Data - Production'!$A:$A,B4,'Raw Data - Production'!$R:$R)</f>
        <v>0</v>
      </c>
      <c r="C25" s="27">
        <f>SUMIF('Raw Data - Production'!$A:$A,C$4,'Raw Data - Production'!$G:$G)+SUMIF('Raw Data - Production'!$A:$A,C$4,'Raw Data - Production'!$H:$H)+SUMIF('Raw Data - Production'!$A:$A,C$4,'Raw Data - Production'!$I:$I)+SUMIF('Raw Data - Production'!$A:$A,C4,'Raw Data - Production'!$R:$R)</f>
        <v>0</v>
      </c>
      <c r="D25" s="27">
        <f>SUMIF('Raw Data - Production'!$A:$A,D$4,'Raw Data - Production'!$G:$G)+SUMIF('Raw Data - Production'!$A:$A,D$4,'Raw Data - Production'!$H:$H)+SUMIF('Raw Data - Production'!$A:$A,D$4,'Raw Data - Production'!$I:$I)+SUMIF('Raw Data - Production'!$A:$A,D4,'Raw Data - Production'!$R:$R)</f>
        <v>0</v>
      </c>
      <c r="E25" s="27">
        <f>SUMIF('Raw Data - Production'!$A:$A,E$4,'Raw Data - Production'!$G:$G)+SUMIF('Raw Data - Production'!$A:$A,E$4,'Raw Data - Production'!$H:$H)+SUMIF('Raw Data - Production'!$A:$A,E$4,'Raw Data - Production'!$I:$I)+SUMIF('Raw Data - Production'!$A:$A,E4,'Raw Data - Production'!$R:$R)</f>
        <v>0</v>
      </c>
      <c r="F25" s="27">
        <f>SUMIF('Raw Data - Production'!$A:$A,F$4,'Raw Data - Production'!$G:$G)+SUMIF('Raw Data - Production'!$A:$A,F$4,'Raw Data - Production'!$H:$H)+SUMIF('Raw Data - Production'!$A:$A,F$4,'Raw Data - Production'!$I:$I)+SUMIF('Raw Data - Production'!$A:$A,F4,'Raw Data - Production'!$R:$R)</f>
        <v>0</v>
      </c>
      <c r="G25" s="27">
        <f>SUMIF('Raw Data - Production'!$A:$A,G$4,'Raw Data - Production'!$G:$G)+SUMIF('Raw Data - Production'!$A:$A,G$4,'Raw Data - Production'!$H:$H)+SUMIF('Raw Data - Production'!$A:$A,G$4,'Raw Data - Production'!$I:$I)+SUMIF('Raw Data - Production'!$A:$A,G4,'Raw Data - Production'!$R:$R)</f>
        <v>0</v>
      </c>
      <c r="H25" s="27">
        <f>SUMIF('Raw Data - Production'!$A:$A,H$4,'Raw Data - Production'!$G:$G)+SUMIF('Raw Data - Production'!$A:$A,H$4,'Raw Data - Production'!$H:$H)+SUMIF('Raw Data - Production'!$A:$A,H$4,'Raw Data - Production'!$I:$I)+SUMIF('Raw Data - Production'!$A:$A,H4,'Raw Data - Production'!$R:$R)</f>
        <v>0</v>
      </c>
      <c r="I25" s="27">
        <f>SUMIF('Raw Data - Production'!$A:$A,I$4,'Raw Data - Production'!$G:$G)+SUMIF('Raw Data - Production'!$A:$A,I$4,'Raw Data - Production'!$H:$H)+SUMIF('Raw Data - Production'!$A:$A,I$4,'Raw Data - Production'!$I:$I)+SUMIF('Raw Data - Production'!$A:$A,I4,'Raw Data - Production'!$R:$R)</f>
        <v>0</v>
      </c>
      <c r="J25" s="27">
        <f>SUMIF('Raw Data - Production'!$A:$A,J$4,'Raw Data - Production'!$G:$G)+SUMIF('Raw Data - Production'!$A:$A,J$4,'Raw Data - Production'!$H:$H)+SUMIF('Raw Data - Production'!$A:$A,J$4,'Raw Data - Production'!$I:$I)+SUMIF('Raw Data - Production'!$A:$A,J4,'Raw Data - Production'!$R:$R)</f>
        <v>0</v>
      </c>
      <c r="K25" s="27">
        <f>SUMIF('Raw Data - Production'!$A:$A,K$4,'Raw Data - Production'!$G:$G)+SUMIF('Raw Data - Production'!$A:$A,K$4,'Raw Data - Production'!$H:$H)+SUMIF('Raw Data - Production'!$A:$A,K$4,'Raw Data - Production'!$I:$I)+SUMIF('Raw Data - Production'!$A:$A,K4,'Raw Data - Production'!$R:$R)</f>
        <v>0</v>
      </c>
      <c r="L25" s="27">
        <f>SUMIF('Raw Data - Production'!$A:$A,L$4,'Raw Data - Production'!$G:$G)+SUMIF('Raw Data - Production'!$A:$A,L$4,'Raw Data - Production'!$H:$H)+SUMIF('Raw Data - Production'!$A:$A,L$4,'Raw Data - Production'!$I:$I)+SUMIF('Raw Data - Production'!$A:$A,L4,'Raw Data - Production'!$R:$R)</f>
        <v>0</v>
      </c>
      <c r="M25" s="27">
        <f>SUMIF('Raw Data - Production'!$A:$A,M$4,'Raw Data - Production'!$G:$G)+SUMIF('Raw Data - Production'!$A:$A,M$4,'Raw Data - Production'!$H:$H)+SUMIF('Raw Data - Production'!$A:$A,M$4,'Raw Data - Production'!$I:$I)+SUMIF('Raw Data - Production'!$A:$A,M4,'Raw Data - Production'!$R:$R)</f>
        <v>0</v>
      </c>
      <c r="N25" s="27">
        <f>SUMIF('Raw Data - Production'!$A:$A,N$4,'Raw Data - Production'!$G:$G)+SUMIF('Raw Data - Production'!$A:$A,N$4,'Raw Data - Production'!$H:$H)+SUMIF('Raw Data - Production'!$A:$A,N$4,'Raw Data - Production'!$I:$I)+SUMIF('Raw Data - Production'!$A:$A,N4,'Raw Data - Production'!$R:$R)</f>
        <v>0</v>
      </c>
      <c r="O25" s="27">
        <f>SUMIF('Raw Data - Production'!$A:$A,O$4,'Raw Data - Production'!$G:$G)+SUMIF('Raw Data - Production'!$A:$A,O$4,'Raw Data - Production'!$H:$H)+SUMIF('Raw Data - Production'!$A:$A,O$4,'Raw Data - Production'!$I:$I)+SUMIF('Raw Data - Production'!$A:$A,O4,'Raw Data - Production'!$R:$R)</f>
        <v>0</v>
      </c>
      <c r="P25" s="27">
        <f>SUMIF('Raw Data - Production'!$A:$A,P$4,'Raw Data - Production'!$G:$G)+SUMIF('Raw Data - Production'!$A:$A,P$4,'Raw Data - Production'!$H:$H)+SUMIF('Raw Data - Production'!$A:$A,P$4,'Raw Data - Production'!$I:$I)+SUMIF('Raw Data - Production'!$A:$A,P4,'Raw Data - Production'!$R:$R)</f>
        <v>0</v>
      </c>
      <c r="Q25" s="27">
        <f>SUMIF('Raw Data - Production'!$A:$A,Q$4,'Raw Data - Production'!$G:$G)+SUMIF('Raw Data - Production'!$A:$A,Q$4,'Raw Data - Production'!$H:$H)+SUMIF('Raw Data - Production'!$A:$A,Q$4,'Raw Data - Production'!$I:$I)+SUMIF('Raw Data - Production'!$A:$A,Q4,'Raw Data - Production'!$R:$R)</f>
        <v>0</v>
      </c>
      <c r="R25" s="27">
        <f>SUMIF('Raw Data - Production'!$A:$A,R$4,'Raw Data - Production'!$G:$G)+SUMIF('Raw Data - Production'!$A:$A,R$4,'Raw Data - Production'!$H:$H)+SUMIF('Raw Data - Production'!$A:$A,R$4,'Raw Data - Production'!$I:$I)+SUMIF('Raw Data - Production'!$A:$A,R4,'Raw Data - Production'!$R:$R)</f>
        <v>0</v>
      </c>
      <c r="S25" s="27">
        <f>SUMIF('Raw Data - Production'!$A:$A,S$4,'Raw Data - Production'!$G:$G)+SUMIF('Raw Data - Production'!$A:$A,S$4,'Raw Data - Production'!$H:$H)+SUMIF('Raw Data - Production'!$A:$A,S$4,'Raw Data - Production'!$I:$I)+SUMIF('Raw Data - Production'!$A:$A,S4,'Raw Data - Production'!$R:$R)</f>
        <v>0</v>
      </c>
      <c r="T25" s="27">
        <f>SUMIF('Raw Data - Production'!$A:$A,T$4,'Raw Data - Production'!$G:$G)+SUMIF('Raw Data - Production'!$A:$A,T$4,'Raw Data - Production'!$H:$H)+SUMIF('Raw Data - Production'!$A:$A,T$4,'Raw Data - Production'!$I:$I)+SUMIF('Raw Data - Production'!$A:$A,T4,'Raw Data - Production'!$R:$R)</f>
        <v>0</v>
      </c>
      <c r="U25" s="27">
        <f>SUMIF('Raw Data - Production'!$A:$A,U$4,'Raw Data - Production'!$G:$G)+SUMIF('Raw Data - Production'!$A:$A,U$4,'Raw Data - Production'!$H:$H)+SUMIF('Raw Data - Production'!$A:$A,U$4,'Raw Data - Production'!$I:$I)+SUMIF('Raw Data - Production'!$A:$A,U4,'Raw Data - Production'!$R:$R)</f>
        <v>0</v>
      </c>
      <c r="V25" s="27">
        <f>SUMIF('Raw Data - Production'!$A:$A,V$4,'Raw Data - Production'!$G:$G)+SUMIF('Raw Data - Production'!$A:$A,V$4,'Raw Data - Production'!$H:$H)+SUMIF('Raw Data - Production'!$A:$A,V$4,'Raw Data - Production'!$I:$I)+SUMIF('Raw Data - Production'!$A:$A,V4,'Raw Data - Production'!$R:$R)</f>
        <v>0</v>
      </c>
      <c r="W25" s="27">
        <f>SUMIF('Raw Data - Production'!$A:$A,W$4,'Raw Data - Production'!$G:$G)+SUMIF('Raw Data - Production'!$A:$A,W$4,'Raw Data - Production'!$H:$H)+SUMIF('Raw Data - Production'!$A:$A,W$4,'Raw Data - Production'!$I:$I)+SUMIF('Raw Data - Production'!$A:$A,W4,'Raw Data - Production'!$R:$R)</f>
        <v>0</v>
      </c>
      <c r="X25" s="27">
        <f>SUMIF('Raw Data - Production'!$A:$A,X$4,'Raw Data - Production'!$G:$G)+SUMIF('Raw Data - Production'!$A:$A,X$4,'Raw Data - Production'!$H:$H)+SUMIF('Raw Data - Production'!$A:$A,X$4,'Raw Data - Production'!$I:$I)+SUMIF('Raw Data - Production'!$A:$A,X4,'Raw Data - Production'!$R:$R)</f>
        <v>0</v>
      </c>
      <c r="Y25" s="27">
        <f>SUMIF('Raw Data - Production'!$A:$A,Y$4,'Raw Data - Production'!$G:$G)+SUMIF('Raw Data - Production'!$A:$A,Y$4,'Raw Data - Production'!$H:$H)+SUMIF('Raw Data - Production'!$A:$A,Y$4,'Raw Data - Production'!$I:$I)+SUMIF('Raw Data - Production'!$A:$A,Y4,'Raw Data - Production'!$R:$R)</f>
        <v>0</v>
      </c>
      <c r="Z25" s="27">
        <f>SUMIF('Raw Data - Production'!$A:$A,Z$4,'Raw Data - Production'!$G:$G)+SUMIF('Raw Data - Production'!$A:$A,Z$4,'Raw Data - Production'!$H:$H)+SUMIF('Raw Data - Production'!$A:$A,Z$4,'Raw Data - Production'!$I:$I)+SUMIF('Raw Data - Production'!$A:$A,Z4,'Raw Data - Production'!$R:$R)</f>
        <v>0</v>
      </c>
      <c r="AA25" s="27">
        <f>SUMIF('Raw Data - Production'!$A:$A,AA$4,'Raw Data - Production'!$G:$G)+SUMIF('Raw Data - Production'!$A:$A,AA$4,'Raw Data - Production'!$H:$H)+SUMIF('Raw Data - Production'!$A:$A,AA$4,'Raw Data - Production'!$I:$I)+SUMIF('Raw Data - Production'!$A:$A,AA4,'Raw Data - Production'!$R:$R)</f>
        <v>0</v>
      </c>
      <c r="AB25" s="27">
        <f>SUMIF('Raw Data - Production'!$A:$A,AB$4,'Raw Data - Production'!$G:$G)+SUMIF('Raw Data - Production'!$A:$A,AB$4,'Raw Data - Production'!$H:$H)+SUMIF('Raw Data - Production'!$A:$A,AB$4,'Raw Data - Production'!$I:$I)+SUMIF('Raw Data - Production'!$A:$A,AB4,'Raw Data - Production'!$R:$R)</f>
        <v>0</v>
      </c>
      <c r="AC25" s="27">
        <f>SUMIF('Raw Data - Production'!$A:$A,AC$4,'Raw Data - Production'!$G:$G)+SUMIF('Raw Data - Production'!$A:$A,AC$4,'Raw Data - Production'!$H:$H)+SUMIF('Raw Data - Production'!$A:$A,AC$4,'Raw Data - Production'!$I:$I)+SUMIF('Raw Data - Production'!$A:$A,AC4,'Raw Data - Production'!$R:$R)</f>
        <v>0</v>
      </c>
      <c r="AD25" s="27">
        <f>SUMIF('Raw Data - Production'!$A:$A,AD$4,'Raw Data - Production'!$G:$G)+SUMIF('Raw Data - Production'!$A:$A,AD$4,'Raw Data - Production'!$H:$H)+SUMIF('Raw Data - Production'!$A:$A,AD$4,'Raw Data - Production'!$I:$I)+SUMIF('Raw Data - Production'!$A:$A,AD4,'Raw Data - Production'!$R:$R)</f>
        <v>0</v>
      </c>
      <c r="AE25" s="27">
        <f>SUMIF('Raw Data - Production'!$A:$A,AE$4,'Raw Data - Production'!$G:$G)+SUMIF('Raw Data - Production'!$A:$A,AE$4,'Raw Data - Production'!$H:$H)+SUMIF('Raw Data - Production'!$A:$A,AE$4,'Raw Data - Production'!$I:$I)+SUMIF('Raw Data - Production'!$A:$A,AE4,'Raw Data - Production'!$R:$R)</f>
        <v>0</v>
      </c>
      <c r="AF25" s="27">
        <f>SUMIF('Raw Data - Production'!$A:$A,AF$4,'Raw Data - Production'!$G:$G)+SUMIF('Raw Data - Production'!$A:$A,AF$4,'Raw Data - Production'!$H:$H)+SUMIF('Raw Data - Production'!$A:$A,AF$4,'Raw Data - Production'!$I:$I)+SUMIF('Raw Data - Production'!$A:$A,AF4,'Raw Data - Production'!$R:$R)</f>
        <v>0</v>
      </c>
      <c r="AG25" s="27">
        <f>SUMIF('Raw Data - Production'!$A:$A,AG$4,'Raw Data - Production'!$G:$G)+SUMIF('Raw Data - Production'!$A:$A,AG$4,'Raw Data - Production'!$H:$H)+SUMIF('Raw Data - Production'!$A:$A,AG$4,'Raw Data - Production'!$I:$I)+SUMIF('Raw Data - Production'!$A:$A,AG4,'Raw Data - Production'!$R:$R)</f>
        <v>0</v>
      </c>
      <c r="AH25" s="27">
        <f>SUMIF('Raw Data - Production'!$A:$A,AH$4,'Raw Data - Production'!$G:$G)+SUMIF('Raw Data - Production'!$A:$A,AH$4,'Raw Data - Production'!$H:$H)+SUMIF('Raw Data - Production'!$A:$A,AH$4,'Raw Data - Production'!$I:$I)+SUMIF('Raw Data - Production'!$A:$A,AH4,'Raw Data - Production'!$R:$R)</f>
        <v>192</v>
      </c>
      <c r="AI25" s="27">
        <f>SUMIF('Raw Data - Production'!$A:$A,AI$4,'Raw Data - Production'!$G:$G)+SUMIF('Raw Data - Production'!$A:$A,AI$4,'Raw Data - Production'!$H:$H)+SUMIF('Raw Data - Production'!$A:$A,AI$4,'Raw Data - Production'!$I:$I)+SUMIF('Raw Data - Production'!$A:$A,AI4,'Raw Data - Production'!$R:$R)</f>
        <v>0</v>
      </c>
      <c r="AJ25" s="27">
        <f>SUMIF('Raw Data - Production'!$A:$A,AJ$4,'Raw Data - Production'!$G:$G)+SUMIF('Raw Data - Production'!$A:$A,AJ$4,'Raw Data - Production'!$H:$H)+SUMIF('Raw Data - Production'!$A:$A,AJ$4,'Raw Data - Production'!$I:$I)+SUMIF('Raw Data - Production'!$A:$A,AJ4,'Raw Data - Production'!$R:$R)</f>
        <v>0</v>
      </c>
      <c r="AK25" s="27">
        <f>SUMIF('Raw Data - Production'!$A:$A,AK$4,'Raw Data - Production'!$G:$G)+SUMIF('Raw Data - Production'!$A:$A,AK$4,'Raw Data - Production'!$H:$H)+SUMIF('Raw Data - Production'!$A:$A,AK$4,'Raw Data - Production'!$I:$I)+SUMIF('Raw Data - Production'!$A:$A,AK4,'Raw Data - Production'!$R:$R)</f>
        <v>4120</v>
      </c>
      <c r="AL25" s="27">
        <f>SUMIF('Raw Data - Production'!$A:$A,AL$4,'Raw Data - Production'!$G:$G)+SUMIF('Raw Data - Production'!$A:$A,AL$4,'Raw Data - Production'!$H:$H)+SUMIF('Raw Data - Production'!$A:$A,AL$4,'Raw Data - Production'!$I:$I)+SUMIF('Raw Data - Production'!$A:$A,AL4,'Raw Data - Production'!$R:$R)</f>
        <v>14072.4</v>
      </c>
      <c r="AM25" s="27">
        <f>SUMIF('Raw Data - Production'!$A:$A,AM$4,'Raw Data - Production'!$G:$G)+SUMIF('Raw Data - Production'!$A:$A,AM$4,'Raw Data - Production'!$H:$H)+SUMIF('Raw Data - Production'!$A:$A,AM$4,'Raw Data - Production'!$I:$I)+SUMIF('Raw Data - Production'!$A:$A,AM4,'Raw Data - Production'!$R:$R)</f>
        <v>0</v>
      </c>
      <c r="AN25" s="27">
        <f>SUMIF('Raw Data - Production'!$A:$A,AN$4,'Raw Data - Production'!$G:$G)+SUMIF('Raw Data - Production'!$A:$A,AN$4,'Raw Data - Production'!$H:$H)+SUMIF('Raw Data - Production'!$A:$A,AN$4,'Raw Data - Production'!$I:$I)+SUMIF('Raw Data - Production'!$A:$A,AN4,'Raw Data - Production'!$R:$R)</f>
        <v>0</v>
      </c>
      <c r="AO25" s="27">
        <f>SUMIF('Raw Data - Production'!$A:$A,AO$4,'Raw Data - Production'!$G:$G)+SUMIF('Raw Data - Production'!$A:$A,AO$4,'Raw Data - Production'!$H:$H)+SUMIF('Raw Data - Production'!$A:$A,AO$4,'Raw Data - Production'!$I:$I)+SUMIF('Raw Data - Production'!$A:$A,AO4,'Raw Data - Production'!$R:$R)</f>
        <v>10527.8</v>
      </c>
      <c r="AP25" s="27">
        <f>SUMIF('Raw Data - Production'!$A:$A,AP$4,'Raw Data - Production'!$G:$G)+SUMIF('Raw Data - Production'!$A:$A,AP$4,'Raw Data - Production'!$H:$H)+SUMIF('Raw Data - Production'!$A:$A,AP$4,'Raw Data - Production'!$I:$I)+SUMIF('Raw Data - Production'!$A:$A,AP4,'Raw Data - Production'!$R:$R)</f>
        <v>6825</v>
      </c>
      <c r="AQ25" s="27">
        <f>SUMIF('Raw Data - Production'!$A:$A,AQ$4,'Raw Data - Production'!$G:$G)+SUMIF('Raw Data - Production'!$A:$A,AQ$4,'Raw Data - Production'!$H:$H)+SUMIF('Raw Data - Production'!$A:$A,AQ$4,'Raw Data - Production'!$I:$I)+SUMIF('Raw Data - Production'!$A:$A,AQ4,'Raw Data - Production'!$R:$R)</f>
        <v>20829.400000000001</v>
      </c>
      <c r="AR25" s="27">
        <f>SUMIF('Raw Data - Production'!$A:$A,AR$4,'Raw Data - Production'!$G:$G)+SUMIF('Raw Data - Production'!$A:$A,AR$4,'Raw Data - Production'!$H:$H)+SUMIF('Raw Data - Production'!$A:$A,AR$4,'Raw Data - Production'!$I:$I)+SUMIF('Raw Data - Production'!$A:$A,AR4,'Raw Data - Production'!$R:$R)</f>
        <v>13286.6</v>
      </c>
      <c r="AS25" s="27">
        <f>SUMIF('Raw Data - Production'!$A:$A,AS$4,'Raw Data - Production'!$G:$G)+SUMIF('Raw Data - Production'!$A:$A,AS$4,'Raw Data - Production'!$H:$H)+SUMIF('Raw Data - Production'!$A:$A,AS$4,'Raw Data - Production'!$I:$I)+SUMIF('Raw Data - Production'!$A:$A,AS4,'Raw Data - Production'!$R:$R)</f>
        <v>0</v>
      </c>
      <c r="AT25" s="27">
        <f>SUMIF('Raw Data - Production'!$A:$A,AT$4,'Raw Data - Production'!$G:$G)+SUMIF('Raw Data - Production'!$A:$A,AT$4,'Raw Data - Production'!$H:$H)+SUMIF('Raw Data - Production'!$A:$A,AT$4,'Raw Data - Production'!$I:$I)+SUMIF('Raw Data - Production'!$A:$A,AT4,'Raw Data - Production'!$R:$R)</f>
        <v>0</v>
      </c>
      <c r="AU25" s="27">
        <f>SUMIF('Raw Data - Production'!$A:$A,AU$4,'Raw Data - Production'!$G:$G)+SUMIF('Raw Data - Production'!$A:$A,AU$4,'Raw Data - Production'!$H:$H)+SUMIF('Raw Data - Production'!$A:$A,AU$4,'Raw Data - Production'!$I:$I)+SUMIF('Raw Data - Production'!$A:$A,AU4,'Raw Data - Production'!$R:$R)</f>
        <v>0</v>
      </c>
      <c r="AV25" s="27">
        <f>SUMIF('Raw Data - Production'!$A:$A,AV$4,'Raw Data - Production'!$G:$G)+SUMIF('Raw Data - Production'!$A:$A,AV$4,'Raw Data - Production'!$H:$H)+SUMIF('Raw Data - Production'!$A:$A,AV$4,'Raw Data - Production'!$I:$I)+SUMIF('Raw Data - Production'!$A:$A,AV4,'Raw Data - Production'!$R:$R)</f>
        <v>22277.200000000001</v>
      </c>
      <c r="AW25" s="27">
        <f>SUMIF('Raw Data - Production'!$A:$A,AW$4,'Raw Data - Production'!$G:$G)+SUMIF('Raw Data - Production'!$A:$A,AW$4,'Raw Data - Production'!$H:$H)+SUMIF('Raw Data - Production'!$A:$A,AW$4,'Raw Data - Production'!$I:$I)+SUMIF('Raw Data - Production'!$A:$A,AW4,'Raw Data - Production'!$R:$R)</f>
        <v>0</v>
      </c>
      <c r="AX25" s="27">
        <f>SUMIF('Raw Data - Production'!$A:$A,AX$4,'Raw Data - Production'!$G:$G)+SUMIF('Raw Data - Production'!$A:$A,AX$4,'Raw Data - Production'!$H:$H)+SUMIF('Raw Data - Production'!$A:$A,AX$4,'Raw Data - Production'!$I:$I)+SUMIF('Raw Data - Production'!$A:$A,AX4,'Raw Data - Production'!$R:$R)</f>
        <v>0</v>
      </c>
      <c r="AY25" s="27">
        <f>SUMIF('Raw Data - Production'!$A:$A,AY$4,'Raw Data - Production'!$G:$G)+SUMIF('Raw Data - Production'!$A:$A,AY$4,'Raw Data - Production'!$H:$H)+SUMIF('Raw Data - Production'!$A:$A,AY$4,'Raw Data - Production'!$I:$I)+SUMIF('Raw Data - Production'!$A:$A,AY4,'Raw Data - Production'!$R:$R)</f>
        <v>0</v>
      </c>
      <c r="AZ25" s="27">
        <f>SUMIF('Raw Data - Production'!$A:$A,AZ$4,'Raw Data - Production'!$G:$G)+SUMIF('Raw Data - Production'!$A:$A,AZ$4,'Raw Data - Production'!$H:$H)+SUMIF('Raw Data - Production'!$A:$A,AZ$4,'Raw Data - Production'!$I:$I)+SUMIF('Raw Data - Production'!$A:$A,AZ4,'Raw Data - Production'!$R:$R)</f>
        <v>384</v>
      </c>
      <c r="BA25" s="27">
        <f>SUMIF('Raw Data - Production'!$A:$A,BA$4,'Raw Data - Production'!$G:$G)+SUMIF('Raw Data - Production'!$A:$A,BA$4,'Raw Data - Production'!$H:$H)+SUMIF('Raw Data - Production'!$A:$A,BA$4,'Raw Data - Production'!$I:$I)+SUMIF('Raw Data - Production'!$A:$A,BA4,'Raw Data - Production'!$R:$R)</f>
        <v>10224.799999999999</v>
      </c>
      <c r="BB25" s="27">
        <f>SUMIF('Raw Data - Production'!$A:$A,BB$4,'Raw Data - Production'!$G:$G)+SUMIF('Raw Data - Production'!$A:$A,BB$4,'Raw Data - Production'!$H:$H)+SUMIF('Raw Data - Production'!$A:$A,BB$4,'Raw Data - Production'!$I:$I)+SUMIF('Raw Data - Production'!$A:$A,BB4,'Raw Data - Production'!$R:$R)</f>
        <v>0</v>
      </c>
      <c r="BC25" s="27">
        <f>SUMIF('Raw Data - Production'!$A:$A,BC$4,'Raw Data - Production'!$G:$G)+SUMIF('Raw Data - Production'!$A:$A,BC$4,'Raw Data - Production'!$H:$H)+SUMIF('Raw Data - Production'!$A:$A,BC$4,'Raw Data - Production'!$I:$I)+SUMIF('Raw Data - Production'!$A:$A,BC4,'Raw Data - Production'!$R:$R)</f>
        <v>0</v>
      </c>
      <c r="BD25" s="27">
        <f>SUMIF('Raw Data - Production'!$A:$A,BD$4,'Raw Data - Production'!$G:$G)+SUMIF('Raw Data - Production'!$A:$A,BD$4,'Raw Data - Production'!$H:$H)+SUMIF('Raw Data - Production'!$A:$A,BD$4,'Raw Data - Production'!$I:$I)+SUMIF('Raw Data - Production'!$A:$A,BD4,'Raw Data - Production'!$R:$R)</f>
        <v>7519.8</v>
      </c>
      <c r="BE25" s="27">
        <f>SUMIF('Raw Data - Production'!$A:$A,BE$4,'Raw Data - Production'!$G:$G)+SUMIF('Raw Data - Production'!$A:$A,BE$4,'Raw Data - Production'!$H:$H)+SUMIF('Raw Data - Production'!$A:$A,BE$4,'Raw Data - Production'!$I:$I)+SUMIF('Raw Data - Production'!$A:$A,BE4,'Raw Data - Production'!$R:$R)</f>
        <v>10896.8</v>
      </c>
      <c r="BF25" s="27">
        <f>SUMIF('Raw Data - Production'!$A:$A,BF$4,'Raw Data - Production'!$G:$G)+SUMIF('Raw Data - Production'!$A:$A,BF$4,'Raw Data - Production'!$H:$H)+SUMIF('Raw Data - Production'!$A:$A,BF$4,'Raw Data - Production'!$I:$I)+SUMIF('Raw Data - Production'!$A:$A,BF4,'Raw Data - Production'!$R:$R)</f>
        <v>10755.8</v>
      </c>
      <c r="BG25" s="27">
        <f>SUMIF('Raw Data - Production'!$A:$A,BG$4,'Raw Data - Production'!$G:$G)+SUMIF('Raw Data - Production'!$A:$A,BG$4,'Raw Data - Production'!$H:$H)+SUMIF('Raw Data - Production'!$A:$A,BG$4,'Raw Data - Production'!$I:$I)+SUMIF('Raw Data - Production'!$A:$A,BG4,'Raw Data - Production'!$R:$R)</f>
        <v>0</v>
      </c>
      <c r="BH25" s="27">
        <f>SUMIF('Raw Data - Production'!$A:$A,BH$4,'Raw Data - Production'!$G:$G)+SUMIF('Raw Data - Production'!$A:$A,BH$4,'Raw Data - Production'!$H:$H)+SUMIF('Raw Data - Production'!$A:$A,BH$4,'Raw Data - Production'!$I:$I)+SUMIF('Raw Data - Production'!$A:$A,BH4,'Raw Data - Production'!$R:$R)</f>
        <v>0</v>
      </c>
      <c r="BI25" s="27">
        <f>SUMIF('Raw Data - Production'!$A:$A,BI$4,'Raw Data - Production'!$G:$G)+SUMIF('Raw Data - Production'!$A:$A,BI$4,'Raw Data - Production'!$H:$H)+SUMIF('Raw Data - Production'!$A:$A,BI$4,'Raw Data - Production'!$I:$I)+SUMIF('Raw Data - Production'!$A:$A,BI4,'Raw Data - Production'!$R:$R)</f>
        <v>0</v>
      </c>
      <c r="BJ25" s="27">
        <f>SUMIF('Raw Data - Production'!$A:$A,BJ$4,'Raw Data - Production'!$G:$G)+SUMIF('Raw Data - Production'!$A:$A,BJ$4,'Raw Data - Production'!$H:$H)+SUMIF('Raw Data - Production'!$A:$A,BJ$4,'Raw Data - Production'!$I:$I)+SUMIF('Raw Data - Production'!$A:$A,BJ4,'Raw Data - Production'!$R:$R)</f>
        <v>1489.6</v>
      </c>
      <c r="BK25" s="27">
        <f>SUMIF('Raw Data - Production'!$A:$A,BK$4,'Raw Data - Production'!$G:$G)+SUMIF('Raw Data - Production'!$A:$A,BK$4,'Raw Data - Production'!$H:$H)+SUMIF('Raw Data - Production'!$A:$A,BK$4,'Raw Data - Production'!$I:$I)+SUMIF('Raw Data - Production'!$A:$A,BK4,'Raw Data - Production'!$R:$R)</f>
        <v>6447.2</v>
      </c>
      <c r="BL25" s="27">
        <f>SUMIF('Raw Data - Production'!$A:$A,BL$4,'Raw Data - Production'!$G:$G)+SUMIF('Raw Data - Production'!$A:$A,BL$4,'Raw Data - Production'!$H:$H)+SUMIF('Raw Data - Production'!$A:$A,BL$4,'Raw Data - Production'!$I:$I)+SUMIF('Raw Data - Production'!$A:$A,BL4,'Raw Data - Production'!$R:$R)</f>
        <v>0</v>
      </c>
      <c r="BM25" s="27">
        <f>SUMIF('Raw Data - Production'!$A:$A,BM$4,'Raw Data - Production'!$G:$G)+SUMIF('Raw Data - Production'!$A:$A,BM$4,'Raw Data - Production'!$H:$H)+SUMIF('Raw Data - Production'!$A:$A,BM$4,'Raw Data - Production'!$I:$I)+SUMIF('Raw Data - Production'!$A:$A,BM4,'Raw Data - Production'!$R:$R)</f>
        <v>10098.6</v>
      </c>
      <c r="BN25" s="27">
        <f>SUMIF('Raw Data - Production'!$A:$A,BN$4,'Raw Data - Production'!$G:$G)+SUMIF('Raw Data - Production'!$A:$A,BN$4,'Raw Data - Production'!$H:$H)+SUMIF('Raw Data - Production'!$A:$A,BN$4,'Raw Data - Production'!$I:$I)+SUMIF('Raw Data - Production'!$A:$A,BN4,'Raw Data - Production'!$R:$R)</f>
        <v>12483.6</v>
      </c>
      <c r="BO25" s="27">
        <f>SUMIF('Raw Data - Production'!$A:$A,BO$4,'Raw Data - Production'!$G:$G)+SUMIF('Raw Data - Production'!$A:$A,BO$4,'Raw Data - Production'!$H:$H)+SUMIF('Raw Data - Production'!$A:$A,BO$4,'Raw Data - Production'!$I:$I)+SUMIF('Raw Data - Production'!$A:$A,BO4,'Raw Data - Production'!$R:$R)</f>
        <v>18829.599999999999</v>
      </c>
      <c r="BP25" s="27">
        <f>SUMIF('Raw Data - Production'!$A:$A,BP$4,'Raw Data - Production'!$G:$G)+SUMIF('Raw Data - Production'!$A:$A,BP$4,'Raw Data - Production'!$H:$H)+SUMIF('Raw Data - Production'!$A:$A,BP$4,'Raw Data - Production'!$I:$I)+SUMIF('Raw Data - Production'!$A:$A,BP4,'Raw Data - Production'!$R:$R)</f>
        <v>6294.2</v>
      </c>
      <c r="BQ25" s="27">
        <f>SUMIF('Raw Data - Production'!$A:$A,BQ$4,'Raw Data - Production'!$G:$G)+SUMIF('Raw Data - Production'!$A:$A,BQ$4,'Raw Data - Production'!$H:$H)+SUMIF('Raw Data - Production'!$A:$A,BQ$4,'Raw Data - Production'!$I:$I)+SUMIF('Raw Data - Production'!$A:$A,BQ4,'Raw Data - Production'!$R:$R)</f>
        <v>0</v>
      </c>
      <c r="BR25" s="27">
        <f>SUMIF('Raw Data - Production'!$A:$A,BR$4,'Raw Data - Production'!$G:$G)+SUMIF('Raw Data - Production'!$A:$A,BR$4,'Raw Data - Production'!$H:$H)+SUMIF('Raw Data - Production'!$A:$A,BR$4,'Raw Data - Production'!$I:$I)+SUMIF('Raw Data - Production'!$A:$A,BR4,'Raw Data - Production'!$R:$R)</f>
        <v>14957.4</v>
      </c>
      <c r="BS25" s="27">
        <f>SUMIF('Raw Data - Production'!$A:$A,BS$4,'Raw Data - Production'!$G:$G)+SUMIF('Raw Data - Production'!$A:$A,BS$4,'Raw Data - Production'!$H:$H)+SUMIF('Raw Data - Production'!$A:$A,BS$4,'Raw Data - Production'!$I:$I)+SUMIF('Raw Data - Production'!$A:$A,BS4,'Raw Data - Production'!$R:$R)</f>
        <v>18819.400000000001</v>
      </c>
      <c r="BT25" s="27">
        <f>SUMIF('Raw Data - Production'!$A:$A,BT$4,'Raw Data - Production'!$G:$G)+SUMIF('Raw Data - Production'!$A:$A,BT$4,'Raw Data - Production'!$H:$H)+SUMIF('Raw Data - Production'!$A:$A,BT$4,'Raw Data - Production'!$I:$I)+SUMIF('Raw Data - Production'!$A:$A,BT4,'Raw Data - Production'!$R:$R)</f>
        <v>14582.6</v>
      </c>
      <c r="BU25" s="27">
        <f>SUMIF('Raw Data - Production'!$A:$A,BU$4,'Raw Data - Production'!$G:$G)+SUMIF('Raw Data - Production'!$A:$A,BU$4,'Raw Data - Production'!$H:$H)+SUMIF('Raw Data - Production'!$A:$A,BU$4,'Raw Data - Production'!$I:$I)+SUMIF('Raw Data - Production'!$A:$A,BU4,'Raw Data - Production'!$R:$R)</f>
        <v>0</v>
      </c>
      <c r="BV25" s="27">
        <f>SUMIF('Raw Data - Production'!$A:$A,BV$4,'Raw Data - Production'!$G:$G)+SUMIF('Raw Data - Production'!$A:$A,BV$4,'Raw Data - Production'!$H:$H)+SUMIF('Raw Data - Production'!$A:$A,BV$4,'Raw Data - Production'!$I:$I)+SUMIF('Raw Data - Production'!$A:$A,BV4,'Raw Data - Production'!$R:$R)</f>
        <v>7818</v>
      </c>
      <c r="BW25" s="27">
        <f>SUMIF('Raw Data - Production'!$A:$A,BW$4,'Raw Data - Production'!$G:$G)+SUMIF('Raw Data - Production'!$A:$A,BW$4,'Raw Data - Production'!$H:$H)+SUMIF('Raw Data - Production'!$A:$A,BW$4,'Raw Data - Production'!$I:$I)+SUMIF('Raw Data - Production'!$A:$A,BW4,'Raw Data - Production'!$R:$R)</f>
        <v>24829.4</v>
      </c>
      <c r="BX25" s="27">
        <f>SUMIF('Raw Data - Production'!$A:$A,BX$4,'Raw Data - Production'!$G:$G)+SUMIF('Raw Data - Production'!$A:$A,BX$4,'Raw Data - Production'!$H:$H)+SUMIF('Raw Data - Production'!$A:$A,BX$4,'Raw Data - Production'!$I:$I)+SUMIF('Raw Data - Production'!$A:$A,BX4,'Raw Data - Production'!$R:$R)</f>
        <v>21958.6</v>
      </c>
      <c r="BY25" s="27">
        <f>SUMIF('Raw Data - Production'!$A:$A,BY$4,'Raw Data - Production'!$G:$G)+SUMIF('Raw Data - Production'!$A:$A,BY$4,'Raw Data - Production'!$H:$H)+SUMIF('Raw Data - Production'!$A:$A,BY$4,'Raw Data - Production'!$I:$I)+SUMIF('Raw Data - Production'!$A:$A,BY4,'Raw Data - Production'!$R:$R)</f>
        <v>33060.400000000001</v>
      </c>
      <c r="BZ25" s="27">
        <f>SUMIF('Raw Data - Production'!$A:$A,BZ$4,'Raw Data - Production'!$G:$G)+SUMIF('Raw Data - Production'!$A:$A,BZ$4,'Raw Data - Production'!$H:$H)+SUMIF('Raw Data - Production'!$A:$A,BZ$4,'Raw Data - Production'!$I:$I)+SUMIF('Raw Data - Production'!$A:$A,BZ4,'Raw Data - Production'!$R:$R)</f>
        <v>0</v>
      </c>
      <c r="CA25" s="27">
        <f>SUMIF('Raw Data - Production'!$A:$A,CA$4,'Raw Data - Production'!$G:$G)+SUMIF('Raw Data - Production'!$A:$A,CA$4,'Raw Data - Production'!$H:$H)+SUMIF('Raw Data - Production'!$A:$A,CA$4,'Raw Data - Production'!$I:$I)+SUMIF('Raw Data - Production'!$A:$A,CA4,'Raw Data - Production'!$R:$R)</f>
        <v>0</v>
      </c>
      <c r="CB25" s="27">
        <f>SUMIF('Raw Data - Production'!$A:$A,CB$4,'Raw Data - Production'!$G:$G)+SUMIF('Raw Data - Production'!$A:$A,CB$4,'Raw Data - Production'!$H:$H)+SUMIF('Raw Data - Production'!$A:$A,CB$4,'Raw Data - Production'!$I:$I)+SUMIF('Raw Data - Production'!$A:$A,CB4,'Raw Data - Production'!$R:$R)</f>
        <v>0</v>
      </c>
      <c r="CC25" s="27">
        <f>SUMIF('Raw Data - Production'!$A:$A,CC$4,'Raw Data - Production'!$G:$G)+SUMIF('Raw Data - Production'!$A:$A,CC$4,'Raw Data - Production'!$H:$H)+SUMIF('Raw Data - Production'!$A:$A,CC$4,'Raw Data - Production'!$I:$I)+SUMIF('Raw Data - Production'!$A:$A,CC4,'Raw Data - Production'!$R:$R)</f>
        <v>0</v>
      </c>
      <c r="CD25" s="27">
        <f>SUMIF('Raw Data - Production'!$A:$A,CD$4,'Raw Data - Production'!$G:$G)+SUMIF('Raw Data - Production'!$A:$A,CD$4,'Raw Data - Production'!$H:$H)+SUMIF('Raw Data - Production'!$A:$A,CD$4,'Raw Data - Production'!$I:$I)+SUMIF('Raw Data - Production'!$A:$A,CD4,'Raw Data - Production'!$R:$R)</f>
        <v>0</v>
      </c>
      <c r="CE25" s="27">
        <f>SUMIF('Raw Data - Production'!$A:$A,CE$4,'Raw Data - Production'!$G:$G)+SUMIF('Raw Data - Production'!$A:$A,CE$4,'Raw Data - Production'!$H:$H)+SUMIF('Raw Data - Production'!$A:$A,CE$4,'Raw Data - Production'!$I:$I)+SUMIF('Raw Data - Production'!$A:$A,CE4,'Raw Data - Production'!$R:$R)</f>
        <v>0</v>
      </c>
      <c r="CF25" s="27">
        <f>SUMIF('Raw Data - Production'!$A:$A,CF$4,'Raw Data - Production'!$G:$G)+SUMIF('Raw Data - Production'!$A:$A,CF$4,'Raw Data - Production'!$H:$H)+SUMIF('Raw Data - Production'!$A:$A,CF$4,'Raw Data - Production'!$I:$I)+SUMIF('Raw Data - Production'!$A:$A,CF4,'Raw Data - Production'!$R:$R)</f>
        <v>0</v>
      </c>
      <c r="CG25" s="27">
        <f>SUMIF('Raw Data - Production'!$A:$A,CG$4,'Raw Data - Production'!$G:$G)+SUMIF('Raw Data - Production'!$A:$A,CG$4,'Raw Data - Production'!$H:$H)+SUMIF('Raw Data - Production'!$A:$A,CG$4,'Raw Data - Production'!$I:$I)+SUMIF('Raw Data - Production'!$A:$A,CG4,'Raw Data - Production'!$R:$R)</f>
        <v>32653</v>
      </c>
      <c r="CH25" s="27">
        <f>SUMIF('Raw Data - Production'!$A:$A,CH$4,'Raw Data - Production'!$G:$G)+SUMIF('Raw Data - Production'!$A:$A,CH$4,'Raw Data - Production'!$H:$H)+SUMIF('Raw Data - Production'!$A:$A,CH$4,'Raw Data - Production'!$I:$I)+SUMIF('Raw Data - Production'!$A:$A,CH4,'Raw Data - Production'!$R:$R)</f>
        <v>27076.799999999999</v>
      </c>
      <c r="CI25" s="27">
        <f>SUMIF('Raw Data - Production'!$A:$A,CI$4,'Raw Data - Production'!$G:$G)+SUMIF('Raw Data - Production'!$A:$A,CI$4,'Raw Data - Production'!$H:$H)+SUMIF('Raw Data - Production'!$A:$A,CI$4,'Raw Data - Production'!$I:$I)+SUMIF('Raw Data - Production'!$A:$A,CI4,'Raw Data - Production'!$R:$R)</f>
        <v>22675.3</v>
      </c>
      <c r="CJ25" s="27">
        <f>SUMIF('Raw Data - Production'!$A:$A,CJ$4,'Raw Data - Production'!$G:$G)+SUMIF('Raw Data - Production'!$A:$A,CJ$4,'Raw Data - Production'!$H:$H)+SUMIF('Raw Data - Production'!$A:$A,CJ$4,'Raw Data - Production'!$I:$I)+SUMIF('Raw Data - Production'!$A:$A,CJ4,'Raw Data - Production'!$R:$R)</f>
        <v>0</v>
      </c>
      <c r="CK25" s="27">
        <f>SUMIF('Raw Data - Production'!$A:$A,CK$4,'Raw Data - Production'!$G:$G)+SUMIF('Raw Data - Production'!$A:$A,CK$4,'Raw Data - Production'!$H:$H)+SUMIF('Raw Data - Production'!$A:$A,CK$4,'Raw Data - Production'!$I:$I)+SUMIF('Raw Data - Production'!$A:$A,CK4,'Raw Data - Production'!$R:$R)</f>
        <v>26563.7</v>
      </c>
      <c r="CL25" s="27">
        <f>SUMIF('Raw Data - Production'!$A:$A,CL$4,'Raw Data - Production'!$G:$G)+SUMIF('Raw Data - Production'!$A:$A,CL$4,'Raw Data - Production'!$H:$H)+SUMIF('Raw Data - Production'!$A:$A,CL$4,'Raw Data - Production'!$I:$I)+SUMIF('Raw Data - Production'!$A:$A,CL4,'Raw Data - Production'!$R:$R)</f>
        <v>30378.799999999999</v>
      </c>
      <c r="CM25" s="27">
        <f>SUMIF('Raw Data - Production'!$A:$A,CM$4,'Raw Data - Production'!$G:$G)+SUMIF('Raw Data - Production'!$A:$A,CM$4,'Raw Data - Production'!$H:$H)+SUMIF('Raw Data - Production'!$A:$A,CM$4,'Raw Data - Production'!$I:$I)+SUMIF('Raw Data - Production'!$A:$A,CM4,'Raw Data - Production'!$R:$R)</f>
        <v>41785.1</v>
      </c>
      <c r="CN25" s="27">
        <f>SUMIF('Raw Data - Production'!$A:$A,CN$4,'Raw Data - Production'!$G:$G)+SUMIF('Raw Data - Production'!$A:$A,CN$4,'Raw Data - Production'!$H:$H)+SUMIF('Raw Data - Production'!$A:$A,CN$4,'Raw Data - Production'!$I:$I)+SUMIF('Raw Data - Production'!$A:$A,CN4,'Raw Data - Production'!$R:$R)</f>
        <v>0</v>
      </c>
      <c r="CO25" s="27">
        <f>SUMIF('Raw Data - Production'!$A:$A,CO$4,'Raw Data - Production'!$G:$G)+SUMIF('Raw Data - Production'!$A:$A,CO$4,'Raw Data - Production'!$H:$H)+SUMIF('Raw Data - Production'!$A:$A,CO$4,'Raw Data - Production'!$I:$I)+SUMIF('Raw Data - Production'!$A:$A,CO4,'Raw Data - Production'!$R:$R)</f>
        <v>0</v>
      </c>
      <c r="CP25" s="27">
        <f>SUMIF('Raw Data - Production'!$A:$A,CP$4,'Raw Data - Production'!$G:$G)+SUMIF('Raw Data - Production'!$A:$A,CP$4,'Raw Data - Production'!$H:$H)+SUMIF('Raw Data - Production'!$A:$A,CP$4,'Raw Data - Production'!$I:$I)+SUMIF('Raw Data - Production'!$A:$A,CP4,'Raw Data - Production'!$R:$R)</f>
        <v>49680.2</v>
      </c>
      <c r="CQ25" s="27">
        <f>SUMIF('Raw Data - Production'!$A:$A,CQ$4,'Raw Data - Production'!$G:$G)+SUMIF('Raw Data - Production'!$A:$A,CQ$4,'Raw Data - Production'!$H:$H)+SUMIF('Raw Data - Production'!$A:$A,CQ$4,'Raw Data - Production'!$I:$I)+SUMIF('Raw Data - Production'!$A:$A,CQ4,'Raw Data - Production'!$R:$R)</f>
        <v>37224</v>
      </c>
      <c r="CR25" s="27">
        <f>SUMIF('Raw Data - Production'!$A:$A,CR$4,'Raw Data - Production'!$G:$G)+SUMIF('Raw Data - Production'!$A:$A,CR$4,'Raw Data - Production'!$H:$H)+SUMIF('Raw Data - Production'!$A:$A,CR$4,'Raw Data - Production'!$I:$I)+SUMIF('Raw Data - Production'!$A:$A,CR4,'Raw Data - Production'!$R:$R)</f>
        <v>38270</v>
      </c>
      <c r="CS25" s="27">
        <f>SUMIF('Raw Data - Production'!$A:$A,CS$4,'Raw Data - Production'!$G:$G)+SUMIF('Raw Data - Production'!$A:$A,CS$4,'Raw Data - Production'!$H:$H)+SUMIF('Raw Data - Production'!$A:$A,CS$4,'Raw Data - Production'!$I:$I)+SUMIF('Raw Data - Production'!$A:$A,CS4,'Raw Data - Production'!$R:$R)</f>
        <v>38215.4</v>
      </c>
      <c r="CT25" s="27">
        <f>SUMIF('Raw Data - Production'!$A:$A,CT$4,'Raw Data - Production'!$G:$G)+SUMIF('Raw Data - Production'!$A:$A,CT$4,'Raw Data - Production'!$H:$H)+SUMIF('Raw Data - Production'!$A:$A,CT$4,'Raw Data - Production'!$I:$I)+SUMIF('Raw Data - Production'!$A:$A,CT4,'Raw Data - Production'!$R:$R)</f>
        <v>0</v>
      </c>
      <c r="CU25" s="27">
        <f>SUMIF('Raw Data - Production'!$A:$A,CU$4,'Raw Data - Production'!$G:$G)+SUMIF('Raw Data - Production'!$A:$A,CU$4,'Raw Data - Production'!$H:$H)+SUMIF('Raw Data - Production'!$A:$A,CU$4,'Raw Data - Production'!$I:$I)+SUMIF('Raw Data - Production'!$A:$A,CU4,'Raw Data - Production'!$R:$R)</f>
        <v>51938</v>
      </c>
      <c r="CV25" s="27">
        <f>SUMIF('Raw Data - Production'!$A:$A,CV$4,'Raw Data - Production'!$G:$G)+SUMIF('Raw Data - Production'!$A:$A,CV$4,'Raw Data - Production'!$H:$H)+SUMIF('Raw Data - Production'!$A:$A,CV$4,'Raw Data - Production'!$I:$I)+SUMIF('Raw Data - Production'!$A:$A,CV4,'Raw Data - Production'!$R:$R)</f>
        <v>45468.2</v>
      </c>
      <c r="CW25" s="27">
        <f>SUMIF('Raw Data - Production'!$A:$A,CW$4,'Raw Data - Production'!$G:$G)+SUMIF('Raw Data - Production'!$A:$A,CW$4,'Raw Data - Production'!$H:$H)+SUMIF('Raw Data - Production'!$A:$A,CW$4,'Raw Data - Production'!$I:$I)+SUMIF('Raw Data - Production'!$A:$A,CW4,'Raw Data - Production'!$R:$R)</f>
        <v>41774.6</v>
      </c>
      <c r="CX25" s="27">
        <f>SUMIF('Raw Data - Production'!$A:$A,CX$4,'Raw Data - Production'!$G:$G)+SUMIF('Raw Data - Production'!$A:$A,CX$4,'Raw Data - Production'!$H:$H)+SUMIF('Raw Data - Production'!$A:$A,CX$4,'Raw Data - Production'!$I:$I)+SUMIF('Raw Data - Production'!$A:$A,CX4,'Raw Data - Production'!$R:$R)</f>
        <v>0</v>
      </c>
      <c r="CY25" s="27">
        <f>SUMIF('Raw Data - Production'!$A:$A,CY$4,'Raw Data - Production'!$G:$G)+SUMIF('Raw Data - Production'!$A:$A,CY$4,'Raw Data - Production'!$H:$H)+SUMIF('Raw Data - Production'!$A:$A,CY$4,'Raw Data - Production'!$I:$I)+SUMIF('Raw Data - Production'!$A:$A,CY4,'Raw Data - Production'!$R:$R)</f>
        <v>0</v>
      </c>
      <c r="CZ25" s="27">
        <f>SUMIF('Raw Data - Production'!$A:$A,CZ$4,'Raw Data - Production'!$G:$G)+SUMIF('Raw Data - Production'!$A:$A,CZ$4,'Raw Data - Production'!$H:$H)+SUMIF('Raw Data - Production'!$A:$A,CZ$4,'Raw Data - Production'!$I:$I)+SUMIF('Raw Data - Production'!$A:$A,CZ4,'Raw Data - Production'!$R:$R)</f>
        <v>48016.2</v>
      </c>
      <c r="DA25" s="27">
        <f>SUMIF('Raw Data - Production'!$A:$A,DA$4,'Raw Data - Production'!$G:$G)+SUMIF('Raw Data - Production'!$A:$A,DA$4,'Raw Data - Production'!$H:$H)+SUMIF('Raw Data - Production'!$A:$A,DA$4,'Raw Data - Production'!$I:$I)+SUMIF('Raw Data - Production'!$A:$A,DA4,'Raw Data - Production'!$R:$R)</f>
        <v>5954.2</v>
      </c>
      <c r="DB25" s="27">
        <f>SUMIF('Raw Data - Production'!$A:$A,DB$4,'Raw Data - Production'!$G:$G)+SUMIF('Raw Data - Production'!$A:$A,DB$4,'Raw Data - Production'!$H:$H)+SUMIF('Raw Data - Production'!$A:$A,DB$4,'Raw Data - Production'!$I:$I)+SUMIF('Raw Data - Production'!$A:$A,DB4,'Raw Data - Production'!$R:$R)</f>
        <v>0</v>
      </c>
      <c r="DC25" s="27">
        <f>SUMIF('Raw Data - Production'!$A:$A,DC$4,'Raw Data - Production'!$G:$G)+SUMIF('Raw Data - Production'!$A:$A,DC$4,'Raw Data - Production'!$H:$H)+SUMIF('Raw Data - Production'!$A:$A,DC$4,'Raw Data - Production'!$I:$I)+SUMIF('Raw Data - Production'!$A:$A,DC4,'Raw Data - Production'!$R:$R)</f>
        <v>0</v>
      </c>
      <c r="DD25" s="27">
        <f>SUMIF('Raw Data - Production'!$A:$A,DD$4,'Raw Data - Production'!$G:$G)+SUMIF('Raw Data - Production'!$A:$A,DD$4,'Raw Data - Production'!$H:$H)+SUMIF('Raw Data - Production'!$A:$A,DD$4,'Raw Data - Production'!$I:$I)+SUMIF('Raw Data - Production'!$A:$A,DD4,'Raw Data - Production'!$R:$R)</f>
        <v>0</v>
      </c>
      <c r="DE25" s="27">
        <f>SUMIF('Raw Data - Production'!$A:$A,DE$4,'Raw Data - Production'!$G:$G)+SUMIF('Raw Data - Production'!$A:$A,DE$4,'Raw Data - Production'!$H:$H)+SUMIF('Raw Data - Production'!$A:$A,DE$4,'Raw Data - Production'!$I:$I)+SUMIF('Raw Data - Production'!$A:$A,DE4,'Raw Data - Production'!$R:$R)</f>
        <v>61981.4</v>
      </c>
      <c r="DF25" s="27">
        <f>SUMIF('Raw Data - Production'!$A:$A,DF$4,'Raw Data - Production'!$G:$G)+SUMIF('Raw Data - Production'!$A:$A,DF$4,'Raw Data - Production'!$H:$H)+SUMIF('Raw Data - Production'!$A:$A,DF$4,'Raw Data - Production'!$I:$I)+SUMIF('Raw Data - Production'!$A:$A,DF4,'Raw Data - Production'!$R:$R)</f>
        <v>39087.699999999997</v>
      </c>
      <c r="DG25" s="27">
        <f>SUMIF('Raw Data - Production'!$A:$A,DG$4,'Raw Data - Production'!$G:$G)+SUMIF('Raw Data - Production'!$A:$A,DG$4,'Raw Data - Production'!$H:$H)+SUMIF('Raw Data - Production'!$A:$A,DG$4,'Raw Data - Production'!$I:$I)+SUMIF('Raw Data - Production'!$A:$A,DG4,'Raw Data - Production'!$R:$R)</f>
        <v>41724.199999999997</v>
      </c>
      <c r="DH25" s="27">
        <f>SUMIF('Raw Data - Production'!$A:$A,DH$4,'Raw Data - Production'!$G:$G)+SUMIF('Raw Data - Production'!$A:$A,DH$4,'Raw Data - Production'!$H:$H)+SUMIF('Raw Data - Production'!$A:$A,DH$4,'Raw Data - Production'!$I:$I)+SUMIF('Raw Data - Production'!$A:$A,DH4,'Raw Data - Production'!$R:$R)</f>
        <v>8048.2</v>
      </c>
      <c r="DI25" s="27">
        <f>SUMIF('Raw Data - Production'!$A:$A,DI$4,'Raw Data - Production'!$G:$G)+SUMIF('Raw Data - Production'!$A:$A,DI$4,'Raw Data - Production'!$H:$H)+SUMIF('Raw Data - Production'!$A:$A,DI$4,'Raw Data - Production'!$I:$I)+SUMIF('Raw Data - Production'!$A:$A,DI4,'Raw Data - Production'!$R:$R)</f>
        <v>0</v>
      </c>
      <c r="DJ25" s="27">
        <f>SUMIF('Raw Data - Production'!$A:$A,DJ$4,'Raw Data - Production'!$G:$G)+SUMIF('Raw Data - Production'!$A:$A,DJ$4,'Raw Data - Production'!$H:$H)+SUMIF('Raw Data - Production'!$A:$A,DJ$4,'Raw Data - Production'!$I:$I)+SUMIF('Raw Data - Production'!$A:$A,DJ4,'Raw Data - Production'!$R:$R)</f>
        <v>49946</v>
      </c>
      <c r="DK25" s="27">
        <f>SUMIF('Raw Data - Production'!$A:$A,DK$4,'Raw Data - Production'!$G:$G)+SUMIF('Raw Data - Production'!$A:$A,DK$4,'Raw Data - Production'!$H:$H)+SUMIF('Raw Data - Production'!$A:$A,DK$4,'Raw Data - Production'!$I:$I)+SUMIF('Raw Data - Production'!$A:$A,DK4,'Raw Data - Production'!$R:$R)</f>
        <v>43223.6</v>
      </c>
      <c r="DL25" s="27">
        <f>SUMIF('Raw Data - Production'!$A:$A,DL$4,'Raw Data - Production'!$G:$G)+SUMIF('Raw Data - Production'!$A:$A,DL$4,'Raw Data - Production'!$H:$H)+SUMIF('Raw Data - Production'!$A:$A,DL$4,'Raw Data - Production'!$I:$I)+SUMIF('Raw Data - Production'!$A:$A,DL4,'Raw Data - Production'!$R:$R)</f>
        <v>1995</v>
      </c>
      <c r="DM25" s="27">
        <f>SUMIF('Raw Data - Production'!$A:$A,DM$4,'Raw Data - Production'!$G:$G)+SUMIF('Raw Data - Production'!$A:$A,DM$4,'Raw Data - Production'!$H:$H)+SUMIF('Raw Data - Production'!$A:$A,DM$4,'Raw Data - Production'!$I:$I)</f>
        <v>0</v>
      </c>
      <c r="DN25" s="27">
        <f>SUMIF('Raw Data - Production'!$A:$A,DN$4,'Raw Data - Production'!$G:$G)+SUMIF('Raw Data - Production'!$A:$A,DN$4,'Raw Data - Production'!$H:$H)+SUMIF('Raw Data - Production'!$A:$A,DN$4,'Raw Data - Production'!$I:$I)</f>
        <v>0</v>
      </c>
      <c r="DO25" s="27">
        <f>SUMIF('Raw Data - Production'!$A:$A,DO$4,'Raw Data - Production'!$G:$G)+SUMIF('Raw Data - Production'!$A:$A,DO$4,'Raw Data - Production'!$H:$H)+SUMIF('Raw Data - Production'!$A:$A,DO$4,'Raw Data - Production'!$I:$I)</f>
        <v>0</v>
      </c>
      <c r="DP25" s="27">
        <f>SUMIF('Raw Data - Production'!$A:$A,DP$4,'Raw Data - Production'!$G:$G)+SUMIF('Raw Data - Production'!$A:$A,DP$4,'Raw Data - Production'!$H:$H)+SUMIF('Raw Data - Production'!$A:$A,DP$4,'Raw Data - Production'!$I:$I)</f>
        <v>0</v>
      </c>
      <c r="DQ25" s="27">
        <f>SUMIF('Raw Data - Production'!$A:$A,DQ$4,'Raw Data - Production'!$G:$G)+SUMIF('Raw Data - Production'!$A:$A,DQ$4,'Raw Data - Production'!$H:$H)+SUMIF('Raw Data - Production'!$A:$A,DQ$4,'Raw Data - Production'!$I:$I)</f>
        <v>0</v>
      </c>
      <c r="DR25" s="27">
        <f>SUMIF('Raw Data - Production'!$A:$A,DR$4,'Raw Data - Production'!$G:$G)+SUMIF('Raw Data - Production'!$A:$A,DR$4,'Raw Data - Production'!$H:$H)+SUMIF('Raw Data - Production'!$A:$A,DR$4,'Raw Data - Production'!$I:$I)</f>
        <v>0</v>
      </c>
      <c r="DS25" s="27">
        <f>SUMIF('Raw Data - Production'!$A:$A,DS$4,'Raw Data - Production'!$G:$G)+SUMIF('Raw Data - Production'!$A:$A,DS$4,'Raw Data - Production'!$H:$H)+SUMIF('Raw Data - Production'!$A:$A,DS$4,'Raw Data - Production'!$I:$I)</f>
        <v>0</v>
      </c>
      <c r="DT25" s="27">
        <f>SUMIF('Raw Data - Production'!$A:$A,DT$4,'Raw Data - Production'!$G:$G)+SUMIF('Raw Data - Production'!$A:$A,DT$4,'Raw Data - Production'!$H:$H)+SUMIF('Raw Data - Production'!$A:$A,DT$4,'Raw Data - Production'!$I:$I)</f>
        <v>0</v>
      </c>
      <c r="DU25" s="27">
        <f>SUMIF('Raw Data - Production'!$A:$A,DU$4,'Raw Data - Production'!$G:$G)+SUMIF('Raw Data - Production'!$A:$A,DU$4,'Raw Data - Production'!$H:$H)+SUMIF('Raw Data - Production'!$A:$A,DU$4,'Raw Data - Production'!$I:$I)</f>
        <v>0</v>
      </c>
      <c r="DV25" s="27">
        <f>SUMIF('Raw Data - Production'!$A:$A,DV$4,'Raw Data - Production'!$G:$G)+SUMIF('Raw Data - Production'!$A:$A,DV$4,'Raw Data - Production'!$H:$H)+SUMIF('Raw Data - Production'!$A:$A,DV$4,'Raw Data - Production'!$I:$I)</f>
        <v>0</v>
      </c>
      <c r="DW25" s="27">
        <f>SUMIF('Raw Data - Production'!$A:$A,DW$4,'Raw Data - Production'!$G:$G)+SUMIF('Raw Data - Production'!$A:$A,DW$4,'Raw Data - Production'!$H:$H)+SUMIF('Raw Data - Production'!$A:$A,DW$4,'Raw Data - Production'!$I:$I)</f>
        <v>0</v>
      </c>
      <c r="DX25" s="27">
        <f>SUMIF('Raw Data - Production'!$A:$A,DX$4,'Raw Data - Production'!$G:$G)+SUMIF('Raw Data - Production'!$A:$A,DX$4,'Raw Data - Production'!$H:$H)+SUMIF('Raw Data - Production'!$A:$A,DX$4,'Raw Data - Production'!$I:$I)</f>
        <v>0</v>
      </c>
      <c r="DY25" s="27">
        <f>SUMIF('Raw Data - Production'!$A:$A,DY$4,'Raw Data - Production'!$G:$G)+SUMIF('Raw Data - Production'!$A:$A,DY$4,'Raw Data - Production'!$H:$H)+SUMIF('Raw Data - Production'!$A:$A,DY$4,'Raw Data - Production'!$I:$I)</f>
        <v>0</v>
      </c>
      <c r="DZ25" s="27">
        <f>SUMIF('Raw Data - Production'!$A:$A,DZ$4,'Raw Data - Production'!$G:$G)+SUMIF('Raw Data - Production'!$A:$A,DZ$4,'Raw Data - Production'!$H:$H)+SUMIF('Raw Data - Production'!$A:$A,DZ$4,'Raw Data - Production'!$I:$I)</f>
        <v>0</v>
      </c>
      <c r="EA25" s="27">
        <f>SUMIF('Raw Data - Production'!$A:$A,EA$4,'Raw Data - Production'!$G:$G)+SUMIF('Raw Data - Production'!$A:$A,EA$4,'Raw Data - Production'!$H:$H)+SUMIF('Raw Data - Production'!$A:$A,EA$4,'Raw Data - Production'!$I:$I)</f>
        <v>0</v>
      </c>
      <c r="EB25" s="27">
        <f>SUMIF('Raw Data - Production'!$A:$A,EB$4,'Raw Data - Production'!$G:$G)+SUMIF('Raw Data - Production'!$A:$A,EB$4,'Raw Data - Production'!$H:$H)+SUMIF('Raw Data - Production'!$A:$A,EB$4,'Raw Data - Production'!$I:$I)</f>
        <v>0</v>
      </c>
      <c r="EC25" s="27">
        <f>SUMIF('Raw Data - Production'!$A:$A,EC$4,'Raw Data - Production'!$G:$G)+SUMIF('Raw Data - Production'!$A:$A,EC$4,'Raw Data - Production'!$H:$H)+SUMIF('Raw Data - Production'!$A:$A,EC$4,'Raw Data - Production'!$I:$I)</f>
        <v>0</v>
      </c>
      <c r="ED25" s="27">
        <f>SUMIF('Raw Data - Production'!$A:$A,ED$4,'Raw Data - Production'!$G:$G)+SUMIF('Raw Data - Production'!$A:$A,ED$4,'Raw Data - Production'!$H:$H)+SUMIF('Raw Data - Production'!$A:$A,ED$4,'Raw Data - Production'!$I:$I)</f>
        <v>0</v>
      </c>
      <c r="EE25" s="27">
        <f>SUMIF('Raw Data - Production'!$A:$A,EE$4,'Raw Data - Production'!$G:$G)+SUMIF('Raw Data - Production'!$A:$A,EE$4,'Raw Data - Production'!$H:$H)+SUMIF('Raw Data - Production'!$A:$A,EE$4,'Raw Data - Production'!$I:$I)</f>
        <v>0</v>
      </c>
      <c r="EF25" s="27">
        <f>SUMIF('Raw Data - Production'!$A:$A,EF$4,'Raw Data - Production'!$G:$G)+SUMIF('Raw Data - Production'!$A:$A,EF$4,'Raw Data - Production'!$H:$H)+SUMIF('Raw Data - Production'!$A:$A,EF$4,'Raw Data - Production'!$I:$I)</f>
        <v>0</v>
      </c>
      <c r="EG25" s="27">
        <f>SUMIF('Raw Data - Production'!$A:$A,EG$4,'Raw Data - Production'!$G:$G)+SUMIF('Raw Data - Production'!$A:$A,EG$4,'Raw Data - Production'!$H:$H)+SUMIF('Raw Data - Production'!$A:$A,EG$4,'Raw Data - Production'!$I:$I)</f>
        <v>0</v>
      </c>
      <c r="EH25" s="27">
        <f>SUMIF('Raw Data - Production'!$A:$A,EH$4,'Raw Data - Production'!$G:$G)+SUMIF('Raw Data - Production'!$A:$A,EH$4,'Raw Data - Production'!$H:$H)+SUMIF('Raw Data - Production'!$A:$A,EH$4,'Raw Data - Production'!$I:$I)</f>
        <v>0</v>
      </c>
      <c r="EI25" s="27">
        <f>SUMIF('Raw Data - Production'!$A:$A,EI$4,'Raw Data - Production'!$G:$G)+SUMIF('Raw Data - Production'!$A:$A,EI$4,'Raw Data - Production'!$H:$H)+SUMIF('Raw Data - Production'!$A:$A,EI$4,'Raw Data - Production'!$I:$I)</f>
        <v>0</v>
      </c>
      <c r="EJ25" s="27">
        <f>SUMIF('Raw Data - Production'!$A:$A,EJ$4,'Raw Data - Production'!$G:$G)+SUMIF('Raw Data - Production'!$A:$A,EJ$4,'Raw Data - Production'!$H:$H)+SUMIF('Raw Data - Production'!$A:$A,EJ$4,'Raw Data - Production'!$I:$I)</f>
        <v>0</v>
      </c>
      <c r="EK25" s="27">
        <f>SUMIF('Raw Data - Production'!$A:$A,EK$4,'Raw Data - Production'!$G:$G)+SUMIF('Raw Data - Production'!$A:$A,EK$4,'Raw Data - Production'!$H:$H)+SUMIF('Raw Data - Production'!$A:$A,EK$4,'Raw Data - Production'!$I:$I)</f>
        <v>0</v>
      </c>
      <c r="EL25" s="27">
        <f>SUMIF('Raw Data - Production'!$A:$A,EL$4,'Raw Data - Production'!$G:$G)+SUMIF('Raw Data - Production'!$A:$A,EL$4,'Raw Data - Production'!$H:$H)+SUMIF('Raw Data - Production'!$A:$A,EL$4,'Raw Data - Production'!$I:$I)</f>
        <v>0</v>
      </c>
      <c r="EM25" s="27">
        <f>SUMIF('Raw Data - Production'!$A:$A,EM$4,'Raw Data - Production'!$G:$G)+SUMIF('Raw Data - Production'!$A:$A,EM$4,'Raw Data - Production'!$H:$H)+SUMIF('Raw Data - Production'!$A:$A,EM$4,'Raw Data - Production'!$I:$I)</f>
        <v>0</v>
      </c>
      <c r="EN25" s="27">
        <f>SUMIF('Raw Data - Production'!$A:$A,EN$4,'Raw Data - Production'!$G:$G)+SUMIF('Raw Data - Production'!$A:$A,EN$4,'Raw Data - Production'!$H:$H)+SUMIF('Raw Data - Production'!$A:$A,EN$4,'Raw Data - Production'!$I:$I)</f>
        <v>0</v>
      </c>
      <c r="EO25" s="27">
        <f>SUMIF('Raw Data - Production'!$A:$A,EO$4,'Raw Data - Production'!$G:$G)+SUMIF('Raw Data - Production'!$A:$A,EO$4,'Raw Data - Production'!$H:$H)+SUMIF('Raw Data - Production'!$A:$A,EO$4,'Raw Data - Production'!$I:$I)</f>
        <v>0</v>
      </c>
      <c r="EP25" s="27">
        <f>SUMIF('Raw Data - Production'!$A:$A,EP$4,'Raw Data - Production'!$G:$G)+SUMIF('Raw Data - Production'!$A:$A,EP$4,'Raw Data - Production'!$H:$H)+SUMIF('Raw Data - Production'!$A:$A,EP$4,'Raw Data - Production'!$I:$I)</f>
        <v>0</v>
      </c>
      <c r="EQ25" s="27">
        <f>SUMIF('Raw Data - Production'!$A:$A,EQ$4,'Raw Data - Production'!$G:$G)+SUMIF('Raw Data - Production'!$A:$A,EQ$4,'Raw Data - Production'!$H:$H)+SUMIF('Raw Data - Production'!$A:$A,EQ$4,'Raw Data - Production'!$I:$I)</f>
        <v>0</v>
      </c>
      <c r="ER25" s="27">
        <f>SUMIF('Raw Data - Production'!$A:$A,ER$4,'Raw Data - Production'!$G:$G)+SUMIF('Raw Data - Production'!$A:$A,ER$4,'Raw Data - Production'!$H:$H)+SUMIF('Raw Data - Production'!$A:$A,ER$4,'Raw Data - Production'!$I:$I)</f>
        <v>0</v>
      </c>
      <c r="ES25" s="27">
        <f>SUMIF('Raw Data - Production'!$A:$A,ES$4,'Raw Data - Production'!$G:$G)+SUMIF('Raw Data - Production'!$A:$A,ES$4,'Raw Data - Production'!$H:$H)+SUMIF('Raw Data - Production'!$A:$A,ES$4,'Raw Data - Production'!$I:$I)</f>
        <v>0</v>
      </c>
      <c r="ET25" s="27">
        <f>SUMIF('Raw Data - Production'!$A:$A,ET$4,'Raw Data - Production'!$G:$G)+SUMIF('Raw Data - Production'!$A:$A,ET$4,'Raw Data - Production'!$H:$H)+SUMIF('Raw Data - Production'!$A:$A,ET$4,'Raw Data - Production'!$I:$I)</f>
        <v>0</v>
      </c>
      <c r="EU25" s="27">
        <f>SUMIF('Raw Data - Production'!$A:$A,EU$4,'Raw Data - Production'!$G:$G)+SUMIF('Raw Data - Production'!$A:$A,EU$4,'Raw Data - Production'!$H:$H)+SUMIF('Raw Data - Production'!$A:$A,EU$4,'Raw Data - Production'!$I:$I)</f>
        <v>0</v>
      </c>
      <c r="EV25" s="27">
        <f>SUMIF('Raw Data - Production'!$A:$A,EV$4,'Raw Data - Production'!$G:$G)+SUMIF('Raw Data - Production'!$A:$A,EV$4,'Raw Data - Production'!$H:$H)+SUMIF('Raw Data - Production'!$A:$A,EV$4,'Raw Data - Production'!$I:$I)</f>
        <v>0</v>
      </c>
      <c r="EW25" s="27">
        <f>SUMIF('Raw Data - Production'!$A:$A,EW$4,'Raw Data - Production'!$G:$G)+SUMIF('Raw Data - Production'!$A:$A,EW$4,'Raw Data - Production'!$H:$H)+SUMIF('Raw Data - Production'!$A:$A,EW$4,'Raw Data - Production'!$I:$I)</f>
        <v>0</v>
      </c>
      <c r="EX25" s="27">
        <f>SUMIF('Raw Data - Production'!$A:$A,EX$4,'Raw Data - Production'!$G:$G)+SUMIF('Raw Data - Production'!$A:$A,EX$4,'Raw Data - Production'!$H:$H)+SUMIF('Raw Data - Production'!$A:$A,EX$4,'Raw Data - Production'!$I:$I)</f>
        <v>0</v>
      </c>
      <c r="EY25" s="27">
        <f>SUMIF('Raw Data - Production'!$A:$A,EY$4,'Raw Data - Production'!$G:$G)+SUMIF('Raw Data - Production'!$A:$A,EY$4,'Raw Data - Production'!$H:$H)+SUMIF('Raw Data - Production'!$A:$A,EY$4,'Raw Data - Production'!$I:$I)</f>
        <v>0</v>
      </c>
      <c r="EZ25" s="27">
        <f>SUMIF('Raw Data - Production'!$A:$A,EZ$4,'Raw Data - Production'!$G:$G)+SUMIF('Raw Data - Production'!$A:$A,EZ$4,'Raw Data - Production'!$H:$H)+SUMIF('Raw Data - Production'!$A:$A,EZ$4,'Raw Data - Production'!$I:$I)</f>
        <v>0</v>
      </c>
      <c r="FA25" s="27">
        <f>SUMIF('Raw Data - Production'!$A:$A,FA$4,'Raw Data - Production'!$G:$G)+SUMIF('Raw Data - Production'!$A:$A,FA$4,'Raw Data - Production'!$H:$H)+SUMIF('Raw Data - Production'!$A:$A,FA$4,'Raw Data - Production'!$I:$I)</f>
        <v>0</v>
      </c>
      <c r="FB25" s="27">
        <f>SUMIF('Raw Data - Production'!$A:$A,FB$4,'Raw Data - Production'!$G:$G)+SUMIF('Raw Data - Production'!$A:$A,FB$4,'Raw Data - Production'!$H:$H)+SUMIF('Raw Data - Production'!$A:$A,FB$4,'Raw Data - Production'!$I:$I)</f>
        <v>0</v>
      </c>
      <c r="FC25" s="27">
        <f>SUMIF('Raw Data - Production'!$A:$A,FC$4,'Raw Data - Production'!$G:$G)+SUMIF('Raw Data - Production'!$A:$A,FC$4,'Raw Data - Production'!$H:$H)+SUMIF('Raw Data - Production'!$A:$A,FC$4,'Raw Data - Production'!$I:$I)</f>
        <v>0</v>
      </c>
      <c r="FD25" s="27">
        <f>SUMIF('Raw Data - Production'!$A:$A,FD$4,'Raw Data - Production'!$G:$G)+SUMIF('Raw Data - Production'!$A:$A,FD$4,'Raw Data - Production'!$H:$H)+SUMIF('Raw Data - Production'!$A:$A,FD$4,'Raw Data - Production'!$I:$I)</f>
        <v>0</v>
      </c>
      <c r="FE25" s="27">
        <f>SUMIF('Raw Data - Production'!$A:$A,FE$4,'Raw Data - Production'!$G:$G)+SUMIF('Raw Data - Production'!$A:$A,FE$4,'Raw Data - Production'!$H:$H)+SUMIF('Raw Data - Production'!$A:$A,FE$4,'Raw Data - Production'!$I:$I)</f>
        <v>0</v>
      </c>
      <c r="FF25" s="27">
        <f>SUMIF('Raw Data - Production'!$A:$A,FF$4,'Raw Data - Production'!$G:$G)+SUMIF('Raw Data - Production'!$A:$A,FF$4,'Raw Data - Production'!$H:$H)+SUMIF('Raw Data - Production'!$A:$A,FF$4,'Raw Data - Production'!$I:$I)</f>
        <v>0</v>
      </c>
      <c r="FG25" s="27">
        <f>SUMIF('Raw Data - Production'!$A:$A,FG$4,'Raw Data - Production'!$G:$G)+SUMIF('Raw Data - Production'!$A:$A,FG$4,'Raw Data - Production'!$H:$H)+SUMIF('Raw Data - Production'!$A:$A,FG$4,'Raw Data - Production'!$I:$I)</f>
        <v>0</v>
      </c>
      <c r="FH25" s="27">
        <f>SUMIF('Raw Data - Production'!$A:$A,FH$4,'Raw Data - Production'!$G:$G)+SUMIF('Raw Data - Production'!$A:$A,FH$4,'Raw Data - Production'!$H:$H)+SUMIF('Raw Data - Production'!$A:$A,FH$4,'Raw Data - Production'!$I:$I)</f>
        <v>0</v>
      </c>
      <c r="FI25" s="27">
        <f>SUMIF('Raw Data - Production'!$A:$A,FI$4,'Raw Data - Production'!$G:$G)+SUMIF('Raw Data - Production'!$A:$A,FI$4,'Raw Data - Production'!$H:$H)+SUMIF('Raw Data - Production'!$A:$A,FI$4,'Raw Data - Production'!$I:$I)</f>
        <v>0</v>
      </c>
      <c r="FJ25" s="27">
        <f>SUMIF('Raw Data - Production'!$A:$A,FJ$4,'Raw Data - Production'!$G:$G)+SUMIF('Raw Data - Production'!$A:$A,FJ$4,'Raw Data - Production'!$H:$H)+SUMIF('Raw Data - Production'!$A:$A,FJ$4,'Raw Data - Production'!$I:$I)</f>
        <v>0</v>
      </c>
      <c r="FK25" s="27">
        <f>SUMIF('Raw Data - Production'!$A:$A,FK$4,'Raw Data - Production'!$G:$G)+SUMIF('Raw Data - Production'!$A:$A,FK$4,'Raw Data - Production'!$H:$H)+SUMIF('Raw Data - Production'!$A:$A,FK$4,'Raw Data - Production'!$I:$I)</f>
        <v>0</v>
      </c>
      <c r="FL25" s="27">
        <f>SUMIF('Raw Data - Production'!$A:$A,FL$4,'Raw Data - Production'!$G:$G)+SUMIF('Raw Data - Production'!$A:$A,FL$4,'Raw Data - Production'!$H:$H)+SUMIF('Raw Data - Production'!$A:$A,FL$4,'Raw Data - Production'!$I:$I)</f>
        <v>0</v>
      </c>
      <c r="FM25" s="27">
        <f>SUMIF('Raw Data - Production'!$A:$A,FM$4,'Raw Data - Production'!$G:$G)+SUMIF('Raw Data - Production'!$A:$A,FM$4,'Raw Data - Production'!$H:$H)+SUMIF('Raw Data - Production'!$A:$A,FM$4,'Raw Data - Production'!$I:$I)</f>
        <v>0</v>
      </c>
      <c r="FN25" s="27">
        <f>SUMIF('Raw Data - Production'!$A:$A,FN$4,'Raw Data - Production'!$G:$G)+SUMIF('Raw Data - Production'!$A:$A,FN$4,'Raw Data - Production'!$H:$H)+SUMIF('Raw Data - Production'!$A:$A,FN$4,'Raw Data - Production'!$I:$I)</f>
        <v>0</v>
      </c>
      <c r="FO25" s="27">
        <f>SUMIF('Raw Data - Production'!$A:$A,FO$4,'Raw Data - Production'!$G:$G)+SUMIF('Raw Data - Production'!$A:$A,FO$4,'Raw Data - Production'!$H:$H)+SUMIF('Raw Data - Production'!$A:$A,FO$4,'Raw Data - Production'!$I:$I)</f>
        <v>0</v>
      </c>
      <c r="FP25" s="27">
        <f>SUMIF('Raw Data - Production'!$A:$A,FP$4,'Raw Data - Production'!$G:$G)+SUMIF('Raw Data - Production'!$A:$A,FP$4,'Raw Data - Production'!$H:$H)+SUMIF('Raw Data - Production'!$A:$A,FP$4,'Raw Data - Production'!$I:$I)</f>
        <v>0</v>
      </c>
      <c r="FQ25" s="27">
        <f>SUMIF('Raw Data - Production'!$A:$A,FQ$4,'Raw Data - Production'!$G:$G)+SUMIF('Raw Data - Production'!$A:$A,FQ$4,'Raw Data - Production'!$H:$H)+SUMIF('Raw Data - Production'!$A:$A,FQ$4,'Raw Data - Production'!$I:$I)</f>
        <v>0</v>
      </c>
      <c r="FR25" s="27">
        <f>SUMIF('Raw Data - Production'!$A:$A,FR$4,'Raw Data - Production'!$G:$G)+SUMIF('Raw Data - Production'!$A:$A,FR$4,'Raw Data - Production'!$H:$H)+SUMIF('Raw Data - Production'!$A:$A,FR$4,'Raw Data - Production'!$I:$I)</f>
        <v>0</v>
      </c>
      <c r="FS25" s="27">
        <f>SUMIF('Raw Data - Production'!$A:$A,FS$4,'Raw Data - Production'!$G:$G)+SUMIF('Raw Data - Production'!$A:$A,FS$4,'Raw Data - Production'!$H:$H)+SUMIF('Raw Data - Production'!$A:$A,FS$4,'Raw Data - Production'!$I:$I)</f>
        <v>0</v>
      </c>
      <c r="FT25" s="27">
        <f>SUMIF('Raw Data - Production'!$A:$A,FT$4,'Raw Data - Production'!$G:$G)+SUMIF('Raw Data - Production'!$A:$A,FT$4,'Raw Data - Production'!$H:$H)+SUMIF('Raw Data - Production'!$A:$A,FT$4,'Raw Data - Production'!$I:$I)</f>
        <v>0</v>
      </c>
      <c r="FU25" s="27">
        <f>SUMIF('Raw Data - Production'!$A:$A,FU$4,'Raw Data - Production'!$G:$G)+SUMIF('Raw Data - Production'!$A:$A,FU$4,'Raw Data - Production'!$H:$H)+SUMIF('Raw Data - Production'!$A:$A,FU$4,'Raw Data - Production'!$I:$I)</f>
        <v>0</v>
      </c>
      <c r="FV25" s="27">
        <f>SUMIF('Raw Data - Production'!$A:$A,FV$4,'Raw Data - Production'!$G:$G)+SUMIF('Raw Data - Production'!$A:$A,FV$4,'Raw Data - Production'!$H:$H)+SUMIF('Raw Data - Production'!$A:$A,FV$4,'Raw Data - Production'!$I:$I)</f>
        <v>0</v>
      </c>
      <c r="FW25" s="27">
        <f>SUMIF('Raw Data - Production'!$A:$A,FW$4,'Raw Data - Production'!$G:$G)+SUMIF('Raw Data - Production'!$A:$A,FW$4,'Raw Data - Production'!$H:$H)+SUMIF('Raw Data - Production'!$A:$A,FW$4,'Raw Data - Production'!$I:$I)</f>
        <v>0</v>
      </c>
      <c r="FX25" s="27">
        <f>SUMIF('Raw Data - Production'!$A:$A,FX$4,'Raw Data - Production'!$G:$G)+SUMIF('Raw Data - Production'!$A:$A,FX$4,'Raw Data - Production'!$H:$H)+SUMIF('Raw Data - Production'!$A:$A,FX$4,'Raw Data - Production'!$I:$I)</f>
        <v>0</v>
      </c>
      <c r="FY25" s="27">
        <f>SUMIF('Raw Data - Production'!$A:$A,FY$4,'Raw Data - Production'!$G:$G)+SUMIF('Raw Data - Production'!$A:$A,FY$4,'Raw Data - Production'!$H:$H)+SUMIF('Raw Data - Production'!$A:$A,FY$4,'Raw Data - Production'!$I:$I)</f>
        <v>0</v>
      </c>
      <c r="FZ25" s="27">
        <f>SUMIF('Raw Data - Production'!$A:$A,FZ$4,'Raw Data - Production'!$G:$G)+SUMIF('Raw Data - Production'!$A:$A,FZ$4,'Raw Data - Production'!$H:$H)+SUMIF('Raw Data - Production'!$A:$A,FZ$4,'Raw Data - Production'!$I:$I)</f>
        <v>0</v>
      </c>
      <c r="GA25" s="27">
        <f>SUMIF('Raw Data - Production'!$A:$A,GA$4,'Raw Data - Production'!$G:$G)+SUMIF('Raw Data - Production'!$A:$A,GA$4,'Raw Data - Production'!$H:$H)+SUMIF('Raw Data - Production'!$A:$A,GA$4,'Raw Data - Production'!$I:$I)</f>
        <v>0</v>
      </c>
      <c r="GB25" s="27">
        <f>SUMIF('Raw Data - Production'!$A:$A,GB$4,'Raw Data - Production'!$G:$G)+SUMIF('Raw Data - Production'!$A:$A,GB$4,'Raw Data - Production'!$H:$H)+SUMIF('Raw Data - Production'!$A:$A,GB$4,'Raw Data - Production'!$I:$I)</f>
        <v>0</v>
      </c>
      <c r="GC25" s="27">
        <f>SUMIF('Raw Data - Production'!$A:$A,GC$4,'Raw Data - Production'!$G:$G)+SUMIF('Raw Data - Production'!$A:$A,GC$4,'Raw Data - Production'!$H:$H)+SUMIF('Raw Data - Production'!$A:$A,GC$4,'Raw Data - Production'!$I:$I)</f>
        <v>0</v>
      </c>
      <c r="GD25" s="27">
        <f>SUMIF('Raw Data - Production'!$A:$A,GD$4,'Raw Data - Production'!$G:$G)+SUMIF('Raw Data - Production'!$A:$A,GD$4,'Raw Data - Production'!$H:$H)+SUMIF('Raw Data - Production'!$A:$A,GD$4,'Raw Data - Production'!$I:$I)</f>
        <v>0</v>
      </c>
      <c r="GE25" s="27">
        <f>SUMIF('Raw Data - Production'!$A:$A,GE$4,'Raw Data - Production'!$G:$G)+SUMIF('Raw Data - Production'!$A:$A,GE$4,'Raw Data - Production'!$H:$H)+SUMIF('Raw Data - Production'!$A:$A,GE$4,'Raw Data - Production'!$I:$I)</f>
        <v>0</v>
      </c>
      <c r="GF25" s="27">
        <f>SUMIF('Raw Data - Production'!$A:$A,GF$4,'Raw Data - Production'!$G:$G)+SUMIF('Raw Data - Production'!$A:$A,GF$4,'Raw Data - Production'!$H:$H)+SUMIF('Raw Data - Production'!$A:$A,GF$4,'Raw Data - Production'!$I:$I)</f>
        <v>0</v>
      </c>
      <c r="GG25" s="27">
        <f>SUMIF('Raw Data - Production'!$A:$A,GG$4,'Raw Data - Production'!$G:$G)+SUMIF('Raw Data - Production'!$A:$A,GG$4,'Raw Data - Production'!$H:$H)+SUMIF('Raw Data - Production'!$A:$A,GG$4,'Raw Data - Production'!$I:$I)</f>
        <v>0</v>
      </c>
      <c r="GH25" s="27">
        <f>SUMIF('Raw Data - Production'!$A:$A,GH$4,'Raw Data - Production'!$G:$G)+SUMIF('Raw Data - Production'!$A:$A,GH$4,'Raw Data - Production'!$H:$H)+SUMIF('Raw Data - Production'!$A:$A,GH$4,'Raw Data - Production'!$I:$I)</f>
        <v>0</v>
      </c>
      <c r="GI25" s="27">
        <f>SUMIF('Raw Data - Production'!$A:$A,GI$4,'Raw Data - Production'!$G:$G)+SUMIF('Raw Data - Production'!$A:$A,GI$4,'Raw Data - Production'!$H:$H)+SUMIF('Raw Data - Production'!$A:$A,GI$4,'Raw Data - Production'!$I:$I)</f>
        <v>0</v>
      </c>
      <c r="GJ25" s="27">
        <f>SUMIF('Raw Data - Production'!$A:$A,GJ$4,'Raw Data - Production'!$G:$G)+SUMIF('Raw Data - Production'!$A:$A,GJ$4,'Raw Data - Production'!$H:$H)+SUMIF('Raw Data - Production'!$A:$A,GJ$4,'Raw Data - Production'!$I:$I)</f>
        <v>0</v>
      </c>
      <c r="GK25" s="27">
        <f>SUMIF('Raw Data - Production'!$A:$A,GK$4,'Raw Data - Production'!$G:$G)+SUMIF('Raw Data - Production'!$A:$A,GK$4,'Raw Data - Production'!$H:$H)+SUMIF('Raw Data - Production'!$A:$A,GK$4,'Raw Data - Production'!$I:$I)</f>
        <v>0</v>
      </c>
      <c r="GL25" s="27">
        <f>SUM(F25:GK25)</f>
        <v>1107259.7999999998</v>
      </c>
    </row>
    <row r="26" spans="1:195" s="28" customFormat="1" x14ac:dyDescent="0.35">
      <c r="A26" s="26" t="s">
        <v>22</v>
      </c>
      <c r="B26" s="27">
        <f>SUMIF('Raw Data - Packing'!$A:$A,B4,'Raw Data - Packing'!$F:$F)</f>
        <v>0</v>
      </c>
      <c r="C26" s="27">
        <f>SUMIF('Raw Data - Packing'!$A:$A,C4,'Raw Data - Packing'!$F:$F)</f>
        <v>0</v>
      </c>
      <c r="D26" s="27">
        <f>SUMIF('Raw Data - Packing'!$A:$A,D4,'Raw Data - Packing'!$F:$F)</f>
        <v>0</v>
      </c>
      <c r="E26" s="27">
        <f>SUMIF('Raw Data - Packing'!$A:$A,E4,'Raw Data - Packing'!$F:$F)</f>
        <v>0</v>
      </c>
      <c r="F26" s="27">
        <f>SUMIF('Raw Data - Packing'!$A:$A,F4,'Raw Data - Packing'!$F:$F)</f>
        <v>0</v>
      </c>
      <c r="G26" s="27">
        <f>SUMIF('Raw Data - Packing'!$A:$A,G4,'Raw Data - Packing'!$F:$F)</f>
        <v>0</v>
      </c>
      <c r="H26" s="27">
        <f>SUMIF('Raw Data - Packing'!$A:$A,H4,'Raw Data - Packing'!$F:$F)</f>
        <v>0</v>
      </c>
      <c r="I26" s="27">
        <f>SUMIF('Raw Data - Packing'!$A:$A,I4,'Raw Data - Packing'!$F:$F)</f>
        <v>0</v>
      </c>
      <c r="J26" s="27">
        <f>SUMIF('Raw Data - Packing'!$A:$A,J4,'Raw Data - Packing'!$F:$F)</f>
        <v>0</v>
      </c>
      <c r="K26" s="27">
        <f>SUMIF('Raw Data - Packing'!$A:$A,K4,'Raw Data - Packing'!$F:$F)</f>
        <v>0</v>
      </c>
      <c r="L26" s="27">
        <f>SUMIF('Raw Data - Packing'!$A:$A,L4,'Raw Data - Packing'!$F:$F)</f>
        <v>0</v>
      </c>
      <c r="M26" s="27">
        <f>SUMIF('Raw Data - Packing'!$A:$A,M4,'Raw Data - Packing'!$F:$F)</f>
        <v>0</v>
      </c>
      <c r="N26" s="27">
        <f>SUMIF('Raw Data - Packing'!$A:$A,N4,'Raw Data - Packing'!$F:$F)</f>
        <v>0</v>
      </c>
      <c r="O26" s="27">
        <f>SUMIF('Raw Data - Packing'!$A:$A,O4,'Raw Data - Packing'!$F:$F)</f>
        <v>0</v>
      </c>
      <c r="P26" s="27">
        <f>SUMIF('Raw Data - Packing'!$A:$A,P4,'Raw Data - Packing'!$F:$F)</f>
        <v>0</v>
      </c>
      <c r="Q26" s="27">
        <f>SUMIF('Raw Data - Packing'!$A:$A,Q4,'Raw Data - Packing'!$F:$F)</f>
        <v>0</v>
      </c>
      <c r="R26" s="27">
        <f>SUMIF('Raw Data - Packing'!$A:$A,R4,'Raw Data - Packing'!$F:$F)</f>
        <v>0</v>
      </c>
      <c r="S26" s="27">
        <f>SUMIF('Raw Data - Packing'!$A:$A,S4,'Raw Data - Packing'!$F:$F)</f>
        <v>0</v>
      </c>
      <c r="T26" s="27">
        <f>SUMIF('Raw Data - Packing'!$A:$A,T4,'Raw Data - Packing'!$F:$F)</f>
        <v>0</v>
      </c>
      <c r="U26" s="27">
        <f>SUMIF('Raw Data - Packing'!$A:$A,U4,'Raw Data - Packing'!$F:$F)</f>
        <v>0</v>
      </c>
      <c r="V26" s="27">
        <f>SUMIF('Raw Data - Packing'!$A:$A,V4,'Raw Data - Packing'!$F:$F)</f>
        <v>0</v>
      </c>
      <c r="W26" s="27">
        <f>SUMIF('Raw Data - Packing'!$A:$A,W4,'Raw Data - Packing'!$F:$F)</f>
        <v>0</v>
      </c>
      <c r="X26" s="27">
        <f>SUMIF('Raw Data - Packing'!$A:$A,X4,'Raw Data - Packing'!$F:$F)</f>
        <v>0</v>
      </c>
      <c r="Y26" s="27">
        <f>SUMIF('Raw Data - Packing'!$A:$A,Y4,'Raw Data - Packing'!$F:$F)</f>
        <v>0</v>
      </c>
      <c r="Z26" s="27">
        <f>SUMIF('Raw Data - Packing'!$A:$A,Z4,'Raw Data - Packing'!$F:$F)</f>
        <v>0</v>
      </c>
      <c r="AA26" s="27">
        <f>SUMIF('Raw Data - Packing'!$A:$A,AA4,'Raw Data - Packing'!$F:$F)</f>
        <v>0</v>
      </c>
      <c r="AB26" s="27">
        <f>SUMIF('Raw Data - Packing'!$A:$A,AB4,'Raw Data - Packing'!$F:$F)</f>
        <v>0</v>
      </c>
      <c r="AC26" s="27">
        <f>SUMIF('Raw Data - Packing'!$A:$A,AC4,'Raw Data - Packing'!$F:$F)</f>
        <v>0</v>
      </c>
      <c r="AD26" s="27">
        <f>SUMIF('Raw Data - Packing'!$A:$A,AD4,'Raw Data - Packing'!$F:$F)</f>
        <v>0</v>
      </c>
      <c r="AE26" s="27">
        <f>SUMIF('Raw Data - Packing'!$A:$A,AE4,'Raw Data - Packing'!$F:$F)</f>
        <v>0</v>
      </c>
      <c r="AF26" s="27">
        <f>SUMIF('Raw Data - Packing'!$A:$A,AF4,'Raw Data - Packing'!$F:$F)</f>
        <v>0</v>
      </c>
      <c r="AG26" s="27">
        <f>SUMIF('Raw Data - Packing'!$A:$A,AG4,'Raw Data - Packing'!$F:$F)</f>
        <v>0</v>
      </c>
      <c r="AH26" s="27">
        <f>SUMIF('Raw Data - Packing'!$A:$A,AH4,'Raw Data - Packing'!$F:$F)</f>
        <v>0</v>
      </c>
      <c r="AI26" s="27">
        <f>SUMIF('Raw Data - Packing'!$A:$A,AI4,'Raw Data - Packing'!$F:$F)</f>
        <v>0</v>
      </c>
      <c r="AJ26" s="27">
        <f>SUMIF('Raw Data - Packing'!$A:$A,AJ4,'Raw Data - Packing'!$F:$F)</f>
        <v>0</v>
      </c>
      <c r="AK26" s="27">
        <f>SUMIF('Raw Data - Packing'!$A:$A,AK4,'Raw Data - Packing'!$F:$F)</f>
        <v>0</v>
      </c>
      <c r="AL26" s="27">
        <f>SUMIF('Raw Data - Packing'!$A:$A,AL4,'Raw Data - Packing'!$F:$F)</f>
        <v>0</v>
      </c>
      <c r="AM26" s="27">
        <f>SUMIF('Raw Data - Packing'!$A:$A,AM4,'Raw Data - Packing'!$F:$F)</f>
        <v>0</v>
      </c>
      <c r="AN26" s="27">
        <f>SUMIF('Raw Data - Packing'!$A:$A,AN4,'Raw Data - Packing'!$F:$F)</f>
        <v>0</v>
      </c>
      <c r="AO26" s="27">
        <f>SUMIF('Raw Data - Packing'!$A:$A,AO4,'Raw Data - Packing'!$F:$F)</f>
        <v>4320</v>
      </c>
      <c r="AP26" s="27">
        <f>SUMIF('Raw Data - Packing'!$A:$A,AP4,'Raw Data - Packing'!$F:$F)</f>
        <v>0</v>
      </c>
      <c r="AQ26" s="27">
        <f>SUMIF('Raw Data - Packing'!$A:$A,AQ4,'Raw Data - Packing'!$F:$F)</f>
        <v>8640</v>
      </c>
      <c r="AR26" s="27">
        <f>SUMIF('Raw Data - Packing'!$A:$A,AR4,'Raw Data - Packing'!$F:$F)</f>
        <v>13664</v>
      </c>
      <c r="AS26" s="27">
        <f>SUMIF('Raw Data - Packing'!$A:$A,AS4,'Raw Data - Packing'!$F:$F)</f>
        <v>0</v>
      </c>
      <c r="AT26" s="27">
        <f>SUMIF('Raw Data - Packing'!$A:$A,AT4,'Raw Data - Packing'!$F:$F)</f>
        <v>2112</v>
      </c>
      <c r="AU26" s="27">
        <f>SUMIF('Raw Data - Packing'!$A:$A,AU4,'Raw Data - Packing'!$F:$F)</f>
        <v>0</v>
      </c>
      <c r="AV26" s="27">
        <f>SUMIF('Raw Data - Packing'!$A:$A,AV4,'Raw Data - Packing'!$F:$F)</f>
        <v>2656</v>
      </c>
      <c r="AW26" s="27">
        <f>SUMIF('Raw Data - Packing'!$A:$A,AW4,'Raw Data - Packing'!$F:$F)</f>
        <v>3760</v>
      </c>
      <c r="AX26" s="27">
        <f>SUMIF('Raw Data - Packing'!$A:$A,AX4,'Raw Data - Packing'!$F:$F)</f>
        <v>416</v>
      </c>
      <c r="AY26" s="27">
        <f>SUMIF('Raw Data - Packing'!$A:$A,AY4,'Raw Data - Packing'!$F:$F)</f>
        <v>12100</v>
      </c>
      <c r="AZ26" s="27">
        <f>SUMIF('Raw Data - Packing'!$A:$A,AZ4,'Raw Data - Packing'!$F:$F)</f>
        <v>3650</v>
      </c>
      <c r="BA26" s="27">
        <f>SUMIF('Raw Data - Packing'!$A:$A,BA4,'Raw Data - Packing'!$F:$F)</f>
        <v>0</v>
      </c>
      <c r="BB26" s="27">
        <f>SUMIF('Raw Data - Packing'!$A:$A,BB4,'Raw Data - Packing'!$F:$F)</f>
        <v>0</v>
      </c>
      <c r="BC26" s="27">
        <f>SUMIF('Raw Data - Packing'!$A:$A,BC4,'Raw Data - Packing'!$F:$F)</f>
        <v>0</v>
      </c>
      <c r="BD26" s="27">
        <f>SUMIF('Raw Data - Packing'!$A:$A,BD4,'Raw Data - Packing'!$F:$F)</f>
        <v>0</v>
      </c>
      <c r="BE26" s="27">
        <f>SUMIF('Raw Data - Packing'!$A:$A,BE4,'Raw Data - Packing'!$F:$F)</f>
        <v>0</v>
      </c>
      <c r="BF26" s="27">
        <f>SUMIF('Raw Data - Packing'!$A:$A,BF4,'Raw Data - Packing'!$F:$F)</f>
        <v>13888</v>
      </c>
      <c r="BG26" s="27">
        <f>SUMIF('Raw Data - Packing'!$A:$A,BG4,'Raw Data - Packing'!$F:$F)</f>
        <v>0</v>
      </c>
      <c r="BH26" s="27">
        <f>SUMIF('Raw Data - Packing'!$A:$A,BH4,'Raw Data - Packing'!$F:$F)</f>
        <v>12514</v>
      </c>
      <c r="BI26" s="27">
        <f>SUMIF('Raw Data - Packing'!$A:$A,BI4,'Raw Data - Packing'!$F:$F)</f>
        <v>0</v>
      </c>
      <c r="BJ26" s="27">
        <f>SUMIF('Raw Data - Packing'!$A:$A,BJ4,'Raw Data - Packing'!$F:$F)</f>
        <v>1312</v>
      </c>
      <c r="BK26" s="27">
        <f>SUMIF('Raw Data - Packing'!$A:$A,BK4,'Raw Data - Packing'!$F:$F)</f>
        <v>10816</v>
      </c>
      <c r="BL26" s="27">
        <f>SUMIF('Raw Data - Packing'!$A:$A,BL4,'Raw Data - Packing'!$F:$F)</f>
        <v>3840</v>
      </c>
      <c r="BM26" s="27">
        <f>SUMIF('Raw Data - Packing'!$A:$A,BM4,'Raw Data - Packing'!$F:$F)</f>
        <v>5920</v>
      </c>
      <c r="BN26" s="27">
        <f>SUMIF('Raw Data - Packing'!$A:$A,BN4,'Raw Data - Packing'!$F:$F)</f>
        <v>7712</v>
      </c>
      <c r="BO26" s="27">
        <f>SUMIF('Raw Data - Packing'!$A:$A,BO4,'Raw Data - Packing'!$F:$F)</f>
        <v>12512</v>
      </c>
      <c r="BP26" s="27">
        <f>SUMIF('Raw Data - Packing'!$A:$A,BP4,'Raw Data - Packing'!$F:$F)</f>
        <v>1920</v>
      </c>
      <c r="BQ26" s="27">
        <f>SUMIF('Raw Data - Packing'!$A:$A,BQ4,'Raw Data - Packing'!$F:$F)</f>
        <v>0</v>
      </c>
      <c r="BR26" s="27">
        <f>SUMIF('Raw Data - Packing'!$A:$A,BR4,'Raw Data - Packing'!$F:$F)</f>
        <v>14304</v>
      </c>
      <c r="BS26" s="27">
        <f>SUMIF('Raw Data - Packing'!$A:$A,BS4,'Raw Data - Packing'!$F:$F)</f>
        <v>15104</v>
      </c>
      <c r="BT26" s="27">
        <f>SUMIF('Raw Data - Packing'!$A:$A,BT4,'Raw Data - Packing'!$F:$F)</f>
        <v>11392</v>
      </c>
      <c r="BU26" s="27">
        <f>SUMIF('Raw Data - Packing'!$A:$A,BU4,'Raw Data - Packing'!$F:$F)</f>
        <v>0</v>
      </c>
      <c r="BV26" s="27">
        <f>SUMIF('Raw Data - Packing'!$A:$A,BV4,'Raw Data - Packing'!$F:$F)</f>
        <v>8470</v>
      </c>
      <c r="BW26" s="27">
        <f>SUMIF('Raw Data - Packing'!$A:$A,BW4,'Raw Data - Packing'!$F:$F)</f>
        <v>8640</v>
      </c>
      <c r="BX26" s="27">
        <f>SUMIF('Raw Data - Packing'!$A:$A,BX4,'Raw Data - Packing'!$F:$F)</f>
        <v>9216</v>
      </c>
      <c r="BY26" s="27">
        <f>SUMIF('Raw Data - Packing'!$A:$A,BY4,'Raw Data - Packing'!$F:$F)</f>
        <v>26775</v>
      </c>
      <c r="BZ26" s="27">
        <f>SUMIF('Raw Data - Packing'!$A:$A,BZ4,'Raw Data - Packing'!$F:$F)</f>
        <v>0</v>
      </c>
      <c r="CA26" s="27">
        <f>SUMIF('Raw Data - Packing'!$A:$A,CA4,'Raw Data - Packing'!$F:$F)</f>
        <v>10080</v>
      </c>
      <c r="CB26" s="27">
        <f>SUMIF('Raw Data - Packing'!$A:$A,CB4,'Raw Data - Packing'!$F:$F)</f>
        <v>0</v>
      </c>
      <c r="CC26" s="27">
        <f>SUMIF('Raw Data - Packing'!$A:$A,CC4,'Raw Data - Packing'!$F:$F)</f>
        <v>0</v>
      </c>
      <c r="CD26" s="27">
        <f>SUMIF('Raw Data - Packing'!$A:$A,CD4,'Raw Data - Packing'!$F:$F)</f>
        <v>6160</v>
      </c>
      <c r="CE26" s="27">
        <f>SUMIF('Raw Data - Packing'!$A:$A,CE4,'Raw Data - Packing'!$F:$F)</f>
        <v>0</v>
      </c>
      <c r="CF26" s="27">
        <f>SUMIF('Raw Data - Packing'!$A:$A,CF4,'Raw Data - Packing'!$F:$F)</f>
        <v>0</v>
      </c>
      <c r="CG26" s="27">
        <f>SUMIF('Raw Data - Packing'!$A:$A,CG4,'Raw Data - Packing'!$F:$F)</f>
        <v>21440</v>
      </c>
      <c r="CH26" s="27">
        <f>SUMIF('Raw Data - Packing'!$A:$A,CH4,'Raw Data - Packing'!$F:$F)</f>
        <v>32704</v>
      </c>
      <c r="CI26" s="27">
        <f>SUMIF('Raw Data - Packing'!$A:$A,CI4,'Raw Data - Packing'!$F:$F)</f>
        <v>24288</v>
      </c>
      <c r="CJ26" s="27">
        <f>SUMIF('Raw Data - Packing'!$A:$A,CJ4,'Raw Data - Packing'!$F:$F)</f>
        <v>1888</v>
      </c>
      <c r="CK26" s="27">
        <f>SUMIF('Raw Data - Packing'!$A:$A,CK4,'Raw Data - Packing'!$F:$F)</f>
        <v>19392</v>
      </c>
      <c r="CL26" s="27">
        <f>SUMIF('Raw Data - Packing'!$A:$A,CL4,'Raw Data - Packing'!$F:$F)</f>
        <v>26944</v>
      </c>
      <c r="CM26" s="27">
        <f>SUMIF('Raw Data - Packing'!$A:$A,CM4,'Raw Data - Packing'!$F:$F)</f>
        <v>22560</v>
      </c>
      <c r="CN26" s="27">
        <f>SUMIF('Raw Data - Packing'!$A:$A,CN4,'Raw Data - Packing'!$F:$F)</f>
        <v>8512</v>
      </c>
      <c r="CO26" s="27">
        <f>SUMIF('Raw Data - Packing'!$A:$A,CO4,'Raw Data - Packing'!$F:$F)</f>
        <v>0</v>
      </c>
      <c r="CP26" s="27">
        <f>SUMIF('Raw Data - Packing'!$A:$A,CP4,'Raw Data - Packing'!$F:$F)</f>
        <v>21600</v>
      </c>
      <c r="CQ26" s="27">
        <f>SUMIF('Raw Data - Packing'!$A:$A,CQ4,'Raw Data - Packing'!$F:$F)</f>
        <v>25920</v>
      </c>
      <c r="CR26" s="27">
        <f>SUMIF('Raw Data - Packing'!$A:$A,CR4,'Raw Data - Packing'!$F:$F)</f>
        <v>21600</v>
      </c>
      <c r="CS26" s="27">
        <f>SUMIF('Raw Data - Packing'!$A:$A,CS4,'Raw Data - Packing'!$F:$F)</f>
        <v>30240</v>
      </c>
      <c r="CT26" s="27">
        <f>SUMIF('Raw Data - Packing'!$A:$A,CT4,'Raw Data - Packing'!$F:$F)</f>
        <v>0</v>
      </c>
      <c r="CU26" s="27">
        <f>SUMIF('Raw Data - Packing'!$A:$A,CU4,'Raw Data - Packing'!$F:$F)</f>
        <v>30336</v>
      </c>
      <c r="CV26" s="27">
        <f>SUMIF('Raw Data - Packing'!$A:$A,CV4,'Raw Data - Packing'!$F:$F)</f>
        <v>40550</v>
      </c>
      <c r="CW26" s="27">
        <f>SUMIF('Raw Data - Packing'!$A:$A,CW4,'Raw Data - Packing'!$F:$F)</f>
        <v>28800</v>
      </c>
      <c r="CX26" s="27">
        <f>SUMIF('Raw Data - Packing'!$A:$A,CX4,'Raw Data - Packing'!$F:$F)</f>
        <v>18332</v>
      </c>
      <c r="CY26" s="27">
        <f>SUMIF('Raw Data - Packing'!$A:$A,CY4,'Raw Data - Packing'!$F:$F)</f>
        <v>0</v>
      </c>
      <c r="CZ26" s="27">
        <f>SUMIF('Raw Data - Packing'!$A:$A,CZ4,'Raw Data - Packing'!$F:$F)</f>
        <v>21600</v>
      </c>
      <c r="DA26" s="27">
        <f>SUMIF('Raw Data - Packing'!$A:$A,DA4,'Raw Data - Packing'!$F:$F)</f>
        <v>22880</v>
      </c>
      <c r="DB26" s="27">
        <f>SUMIF('Raw Data - Packing'!$A:$A,DB4,'Raw Data - Packing'!$F:$F)</f>
        <v>8576</v>
      </c>
      <c r="DC26" s="27">
        <f>SUMIF('Raw Data - Packing'!$A:$A,DC4,'Raw Data - Packing'!$F:$F)</f>
        <v>0</v>
      </c>
      <c r="DD26" s="27">
        <f>SUMIF('Raw Data - Packing'!$A:$A,DD4,'Raw Data - Packing'!$F:$F)</f>
        <v>0</v>
      </c>
      <c r="DE26" s="27">
        <f>SUMIF('Raw Data - Packing'!$A:$A,DE4,'Raw Data - Packing'!$F:$F)</f>
        <v>30240</v>
      </c>
      <c r="DF26" s="27">
        <f>SUMIF('Raw Data - Packing'!$A:$A,DF4,'Raw Data - Packing'!$F:$F)</f>
        <v>24576</v>
      </c>
      <c r="DG26" s="27">
        <f>SUMIF('Raw Data - Packing'!$A:$A,DG4,'Raw Data - Packing'!$F:$F)</f>
        <v>11200</v>
      </c>
      <c r="DH26" s="27">
        <f>SUMIF('Raw Data - Packing'!$A:$A,DH4,'Raw Data - Packing'!$F:$F)</f>
        <v>33992</v>
      </c>
      <c r="DI26" s="27">
        <f>SUMIF('Raw Data - Packing'!$A:$A,DI4,'Raw Data - Packing'!$F:$F)</f>
        <v>22960</v>
      </c>
      <c r="DJ26" s="27">
        <f>SUMIF('Raw Data - Packing'!$A:$A,DJ4,'Raw Data - Packing'!$F:$F)</f>
        <v>11200</v>
      </c>
      <c r="DK26" s="27">
        <f>SUMIF('Raw Data - Packing'!$A:$A,DK4,'Raw Data - Packing'!$F:$F)</f>
        <v>23344</v>
      </c>
      <c r="DL26" s="27">
        <f>SUMIF('Raw Data - Packing'!$A:$A,DL4,'Raw Data - Packing'!$F:$F)</f>
        <v>0</v>
      </c>
      <c r="DM26" s="27">
        <f>SUMIF('Raw Data - Packing'!$A:$A,DM4,'Raw Data - Packing'!$F:$F)</f>
        <v>7560</v>
      </c>
      <c r="DN26" s="27">
        <f>SUMIF('Raw Data - Packing'!$A:$A,DN4,'Raw Data - Packing'!$F:$F)</f>
        <v>0</v>
      </c>
      <c r="DO26" s="27">
        <f>SUMIF('Raw Data - Packing'!$A:$A,DO4,'Raw Data - Packing'!$F:$F)</f>
        <v>0</v>
      </c>
      <c r="DP26" s="27">
        <f>SUMIF('Raw Data - Packing'!$A:$A,DP4,'Raw Data - Packing'!$F:$F)</f>
        <v>0</v>
      </c>
      <c r="DQ26" s="27">
        <f>SUMIF('Raw Data - Packing'!$A:$A,DQ4,'Raw Data - Packing'!$F:$F)</f>
        <v>0</v>
      </c>
      <c r="DR26" s="27">
        <f>SUMIF('Raw Data - Packing'!$A:$A,DR4,'Raw Data - Packing'!$F:$F)</f>
        <v>0</v>
      </c>
      <c r="DS26" s="27">
        <f>SUMIF('Raw Data - Packing'!$A:$A,DS4,'Raw Data - Packing'!$F:$F)</f>
        <v>0</v>
      </c>
      <c r="DT26" s="27">
        <f>SUMIF('Raw Data - Packing'!$A:$A,DT4,'Raw Data - Packing'!$F:$F)</f>
        <v>0</v>
      </c>
      <c r="DU26" s="27">
        <f>SUMIF('Raw Data - Packing'!$A:$A,DU4,'Raw Data - Packing'!$F:$F)</f>
        <v>0</v>
      </c>
      <c r="DV26" s="27">
        <f>SUMIF('Raw Data - Packing'!$A:$A,DV4,'Raw Data - Packing'!$F:$F)</f>
        <v>0</v>
      </c>
      <c r="DW26" s="27">
        <f>SUMIF('Raw Data - Packing'!$A:$A,DW4,'Raw Data - Packing'!$F:$F)</f>
        <v>0</v>
      </c>
      <c r="DX26" s="27">
        <f>SUMIF('Raw Data - Packing'!$A:$A,DX4,'Raw Data - Packing'!$F:$F)</f>
        <v>0</v>
      </c>
      <c r="DY26" s="27">
        <f>SUMIF('Raw Data - Packing'!$A:$A,DY4,'Raw Data - Packing'!$F:$F)</f>
        <v>0</v>
      </c>
      <c r="DZ26" s="27">
        <f>SUMIF('Raw Data - Packing'!$A:$A,DZ4,'Raw Data - Packing'!$F:$F)</f>
        <v>0</v>
      </c>
      <c r="EA26" s="27">
        <f>SUMIF('Raw Data - Packing'!$A:$A,EA4,'Raw Data - Packing'!$F:$F)</f>
        <v>0</v>
      </c>
      <c r="EB26" s="27">
        <f>SUMIF('Raw Data - Packing'!$A:$A,EB4,'Raw Data - Packing'!$F:$F)</f>
        <v>0</v>
      </c>
      <c r="EC26" s="27">
        <f>SUMIF('Raw Data - Packing'!$A:$A,EC4,'Raw Data - Packing'!$F:$F)</f>
        <v>0</v>
      </c>
      <c r="ED26" s="27">
        <f>SUMIF('Raw Data - Packing'!$A:$A,ED4,'Raw Data - Packing'!$F:$F)</f>
        <v>0</v>
      </c>
      <c r="EE26" s="27">
        <f>SUMIF('Raw Data - Packing'!$A:$A,EE4,'Raw Data - Packing'!$F:$F)</f>
        <v>0</v>
      </c>
      <c r="EF26" s="27">
        <f>SUMIF('Raw Data - Packing'!$A:$A,EF4,'Raw Data - Packing'!$F:$F)</f>
        <v>0</v>
      </c>
      <c r="EG26" s="27">
        <f>SUMIF('Raw Data - Packing'!$A:$A,EG4,'Raw Data - Packing'!$F:$F)</f>
        <v>0</v>
      </c>
      <c r="EH26" s="27">
        <f>SUMIF('Raw Data - Packing'!$A:$A,EH4,'Raw Data - Packing'!$F:$F)</f>
        <v>0</v>
      </c>
      <c r="EI26" s="27">
        <f>SUMIF('Raw Data - Packing'!$A:$A,EI4,'Raw Data - Packing'!$F:$F)</f>
        <v>0</v>
      </c>
      <c r="EJ26" s="27">
        <f>SUMIF('Raw Data - Packing'!$A:$A,EJ4,'Raw Data - Packing'!$F:$F)</f>
        <v>0</v>
      </c>
      <c r="EK26" s="27">
        <f>SUMIF('Raw Data - Packing'!$A:$A,EK4,'Raw Data - Packing'!$F:$F)</f>
        <v>0</v>
      </c>
      <c r="EL26" s="27">
        <f>SUMIF('Raw Data - Packing'!$A:$A,EL4,'Raw Data - Packing'!$F:$F)</f>
        <v>0</v>
      </c>
      <c r="EM26" s="27">
        <f>SUMIF('Raw Data - Packing'!$A:$A,EM4,'Raw Data - Packing'!$F:$F)</f>
        <v>0</v>
      </c>
      <c r="EN26" s="27">
        <f>SUMIF('Raw Data - Packing'!$A:$A,EN4,'Raw Data - Packing'!$F:$F)</f>
        <v>0</v>
      </c>
      <c r="EO26" s="27">
        <f>SUMIF('Raw Data - Packing'!$A:$A,EO4,'Raw Data - Packing'!$F:$F)</f>
        <v>0</v>
      </c>
      <c r="EP26" s="27">
        <f>SUMIF('Raw Data - Packing'!$A:$A,EP4,'Raw Data - Packing'!$F:$F)</f>
        <v>0</v>
      </c>
      <c r="EQ26" s="27">
        <f>SUMIF('Raw Data - Packing'!$A:$A,EQ4,'Raw Data - Packing'!$F:$F)</f>
        <v>0</v>
      </c>
      <c r="ER26" s="27">
        <f>SUMIF('Raw Data - Packing'!$A:$A,ER4,'Raw Data - Packing'!$F:$F)</f>
        <v>0</v>
      </c>
      <c r="ES26" s="27">
        <f>SUMIF('Raw Data - Packing'!$A:$A,ES4,'Raw Data - Packing'!$F:$F)</f>
        <v>0</v>
      </c>
      <c r="ET26" s="27">
        <f>SUMIF('Raw Data - Packing'!$A:$A,ET4,'Raw Data - Packing'!$F:$F)</f>
        <v>0</v>
      </c>
      <c r="EU26" s="27">
        <f>SUMIF('Raw Data - Packing'!$A:$A,EU4,'Raw Data - Packing'!$F:$F)</f>
        <v>0</v>
      </c>
      <c r="EV26" s="27">
        <f>SUMIF('Raw Data - Packing'!$A:$A,EV4,'Raw Data - Packing'!$F:$F)</f>
        <v>0</v>
      </c>
      <c r="EW26" s="27">
        <f>SUMIF('Raw Data - Packing'!$A:$A,EW4,'Raw Data - Packing'!$F:$F)</f>
        <v>0</v>
      </c>
      <c r="EX26" s="27">
        <f>SUMIF('Raw Data - Packing'!$A:$A,EX4,'Raw Data - Packing'!$F:$F)</f>
        <v>0</v>
      </c>
      <c r="EY26" s="27">
        <f>SUMIF('Raw Data - Packing'!$A:$A,EY4,'Raw Data - Packing'!$F:$F)</f>
        <v>0</v>
      </c>
      <c r="EZ26" s="27">
        <f>SUMIF('Raw Data - Packing'!$A:$A,EZ4,'Raw Data - Packing'!$F:$F)</f>
        <v>0</v>
      </c>
      <c r="FA26" s="27">
        <f>SUMIF('Raw Data - Packing'!$A:$A,FA4,'Raw Data - Packing'!$F:$F)</f>
        <v>0</v>
      </c>
      <c r="FB26" s="27">
        <f>SUMIF('Raw Data - Packing'!$A:$A,FB4,'Raw Data - Packing'!$F:$F)</f>
        <v>0</v>
      </c>
      <c r="FC26" s="27">
        <f>SUMIF('Raw Data - Packing'!$A:$A,FC4,'Raw Data - Packing'!$F:$F)</f>
        <v>0</v>
      </c>
      <c r="FD26" s="27">
        <f>SUMIF('Raw Data - Packing'!$A:$A,FD4,'Raw Data - Packing'!$F:$F)</f>
        <v>0</v>
      </c>
      <c r="FE26" s="27">
        <f>SUMIF('Raw Data - Packing'!$A:$A,FE4,'Raw Data - Packing'!$F:$F)</f>
        <v>0</v>
      </c>
      <c r="FF26" s="27">
        <f>SUMIF('Raw Data - Packing'!$A:$A,FF4,'Raw Data - Packing'!$F:$F)</f>
        <v>0</v>
      </c>
      <c r="FG26" s="27">
        <f>SUMIF('Raw Data - Packing'!$A:$A,FG4,'Raw Data - Packing'!$F:$F)</f>
        <v>0</v>
      </c>
      <c r="FH26" s="27">
        <f>SUMIF('Raw Data - Packing'!$A:$A,FH4,'Raw Data - Packing'!$F:$F)</f>
        <v>0</v>
      </c>
      <c r="FI26" s="27">
        <f>SUMIF('Raw Data - Packing'!$A:$A,FI4,'Raw Data - Packing'!$F:$F)</f>
        <v>0</v>
      </c>
      <c r="FJ26" s="27">
        <f>SUMIF('Raw Data - Packing'!$A:$A,FJ4,'Raw Data - Packing'!$F:$F)</f>
        <v>0</v>
      </c>
      <c r="FK26" s="27">
        <f>SUMIF('Raw Data - Packing'!$A:$A,FK4,'Raw Data - Packing'!$F:$F)</f>
        <v>0</v>
      </c>
      <c r="FL26" s="27">
        <f>SUMIF('Raw Data - Packing'!$A:$A,FL4,'Raw Data - Packing'!$F:$F)</f>
        <v>0</v>
      </c>
      <c r="FM26" s="27">
        <f>SUMIF('Raw Data - Packing'!$A:$A,FM4,'Raw Data - Packing'!$F:$F)</f>
        <v>0</v>
      </c>
      <c r="FN26" s="27">
        <f>SUMIF('Raw Data - Packing'!$A:$A,FN4,'Raw Data - Packing'!$F:$F)</f>
        <v>0</v>
      </c>
      <c r="FO26" s="27">
        <f>SUMIF('Raw Data - Packing'!$A:$A,FO4,'Raw Data - Packing'!$F:$F)</f>
        <v>0</v>
      </c>
      <c r="FP26" s="27">
        <f>SUMIF('Raw Data - Packing'!$A:$A,FP4,'Raw Data - Packing'!$F:$F)</f>
        <v>0</v>
      </c>
      <c r="FQ26" s="27">
        <f>SUMIF('Raw Data - Packing'!$A:$A,FQ4,'Raw Data - Packing'!$F:$F)</f>
        <v>0</v>
      </c>
      <c r="FR26" s="27">
        <f>SUMIF('Raw Data - Packing'!$A:$A,FR4,'Raw Data - Packing'!$F:$F)</f>
        <v>0</v>
      </c>
      <c r="FS26" s="27">
        <f>SUMIF('Raw Data - Packing'!$A:$A,FS4,'Raw Data - Packing'!$F:$F)</f>
        <v>0</v>
      </c>
      <c r="FT26" s="27">
        <f>SUMIF('Raw Data - Packing'!$A:$A,FT4,'Raw Data - Packing'!$F:$F)</f>
        <v>0</v>
      </c>
      <c r="FU26" s="27">
        <f>SUMIF('Raw Data - Packing'!$A:$A,FU4,'Raw Data - Packing'!$F:$F)</f>
        <v>0</v>
      </c>
      <c r="FV26" s="27">
        <f>SUMIF('Raw Data - Packing'!$A:$A,FV4,'Raw Data - Packing'!$F:$F)</f>
        <v>0</v>
      </c>
      <c r="FW26" s="27">
        <f>SUMIF('Raw Data - Packing'!$A:$A,FW4,'Raw Data - Packing'!$F:$F)</f>
        <v>0</v>
      </c>
      <c r="FX26" s="27">
        <f>SUMIF('Raw Data - Packing'!$A:$A,FX4,'Raw Data - Packing'!$F:$F)</f>
        <v>0</v>
      </c>
      <c r="FY26" s="27">
        <f>SUMIF('Raw Data - Packing'!$A:$A,FY4,'Raw Data - Packing'!$F:$F)</f>
        <v>0</v>
      </c>
      <c r="FZ26" s="27">
        <f>SUMIF('Raw Data - Packing'!$A:$A,FZ4,'Raw Data - Packing'!$F:$F)</f>
        <v>0</v>
      </c>
      <c r="GA26" s="27">
        <f>SUMIF('Raw Data - Packing'!$A:$A,GA4,'Raw Data - Packing'!$F:$F)</f>
        <v>0</v>
      </c>
      <c r="GB26" s="27">
        <f>SUMIF('Raw Data - Packing'!$A:$A,GB4,'Raw Data - Packing'!$F:$F)</f>
        <v>0</v>
      </c>
      <c r="GC26" s="27">
        <f>SUMIF('Raw Data - Packing'!$A:$A,GC4,'Raw Data - Packing'!$F:$F)</f>
        <v>0</v>
      </c>
      <c r="GD26" s="27">
        <f>SUMIF('Raw Data - Packing'!$A:$A,GD4,'Raw Data - Packing'!$F:$F)</f>
        <v>0</v>
      </c>
      <c r="GE26" s="27">
        <f>SUMIF('Raw Data - Packing'!$A:$A,GE4,'Raw Data - Packing'!$F:$F)</f>
        <v>0</v>
      </c>
      <c r="GF26" s="27">
        <f>SUMIF('Raw Data - Packing'!$A:$A,GF4,'Raw Data - Packing'!$F:$F)</f>
        <v>0</v>
      </c>
      <c r="GG26" s="27">
        <f>SUMIF('Raw Data - Packing'!$A:$A,GG4,'Raw Data - Packing'!$F:$F)</f>
        <v>0</v>
      </c>
      <c r="GH26" s="27">
        <f>SUMIF('Raw Data - Packing'!$A:$A,GH4,'Raw Data - Packing'!$F:$F)</f>
        <v>0</v>
      </c>
      <c r="GI26" s="27">
        <f>SUMIF('Raw Data - Packing'!$A:$A,GI4,'Raw Data - Packing'!$F:$F)</f>
        <v>0</v>
      </c>
      <c r="GJ26" s="27">
        <f>SUMIF('Raw Data - Packing'!$A:$A,GJ4,'Raw Data - Packing'!$F:$F)</f>
        <v>0</v>
      </c>
      <c r="GK26" s="27">
        <f>SUMIF('Raw Data - Packing'!$A:$A,GK4,'Raw Data - Packing'!$F:$F)</f>
        <v>0</v>
      </c>
      <c r="GL26" s="27">
        <f>SUM(F26:GK26)</f>
        <v>825127</v>
      </c>
    </row>
    <row r="27" spans="1:195" x14ac:dyDescent="0.35">
      <c r="A27" s="31"/>
      <c r="B27" s="3"/>
      <c r="C27" s="3"/>
      <c r="D27" s="3"/>
      <c r="E27" s="3"/>
    </row>
    <row r="28" spans="1:195" ht="15" thickBot="1" x14ac:dyDescent="0.4">
      <c r="A28" s="3"/>
      <c r="B28" s="3"/>
      <c r="C28" s="3"/>
      <c r="D28" s="3"/>
      <c r="E28" s="3"/>
    </row>
    <row r="29" spans="1:195" s="114" customFormat="1" x14ac:dyDescent="0.35">
      <c r="A29" s="112" t="s">
        <v>231</v>
      </c>
      <c r="B29" s="113">
        <f>+B25-B22</f>
        <v>0</v>
      </c>
      <c r="C29" s="113">
        <f t="shared" ref="C29:BN29" si="131">+C25-C22</f>
        <v>0</v>
      </c>
      <c r="D29" s="113">
        <f t="shared" si="131"/>
        <v>0</v>
      </c>
      <c r="E29" s="113">
        <f t="shared" si="131"/>
        <v>0</v>
      </c>
      <c r="F29" s="113">
        <f t="shared" si="131"/>
        <v>-11880</v>
      </c>
      <c r="G29" s="113">
        <f t="shared" si="131"/>
        <v>-11880</v>
      </c>
      <c r="H29" s="113">
        <f t="shared" si="131"/>
        <v>-11880</v>
      </c>
      <c r="I29" s="113">
        <f t="shared" si="131"/>
        <v>-11880</v>
      </c>
      <c r="J29" s="113">
        <f t="shared" si="131"/>
        <v>-11880</v>
      </c>
      <c r="K29" s="113">
        <f t="shared" si="131"/>
        <v>-11880</v>
      </c>
      <c r="L29" s="113">
        <f t="shared" si="131"/>
        <v>-11880</v>
      </c>
      <c r="M29" s="113">
        <f t="shared" si="131"/>
        <v>-11880</v>
      </c>
      <c r="N29" s="113">
        <f t="shared" si="131"/>
        <v>-11880</v>
      </c>
      <c r="O29" s="113">
        <f t="shared" si="131"/>
        <v>-11880</v>
      </c>
      <c r="P29" s="113">
        <f t="shared" si="131"/>
        <v>-11880</v>
      </c>
      <c r="Q29" s="113">
        <f t="shared" si="131"/>
        <v>-11880</v>
      </c>
      <c r="R29" s="113">
        <f t="shared" si="131"/>
        <v>-11880</v>
      </c>
      <c r="S29" s="113">
        <f t="shared" si="131"/>
        <v>-11880</v>
      </c>
      <c r="T29" s="113">
        <f t="shared" si="131"/>
        <v>-11880</v>
      </c>
      <c r="U29" s="113">
        <f t="shared" si="131"/>
        <v>-11880</v>
      </c>
      <c r="V29" s="113">
        <f t="shared" si="131"/>
        <v>-11880</v>
      </c>
      <c r="W29" s="113">
        <f t="shared" si="131"/>
        <v>-11880</v>
      </c>
      <c r="X29" s="113">
        <f t="shared" si="131"/>
        <v>-11880</v>
      </c>
      <c r="Y29" s="113">
        <f t="shared" si="131"/>
        <v>-11880</v>
      </c>
      <c r="Z29" s="113">
        <f t="shared" si="131"/>
        <v>-11880</v>
      </c>
      <c r="AA29" s="113">
        <f t="shared" si="131"/>
        <v>-11880</v>
      </c>
      <c r="AB29" s="113">
        <f t="shared" si="131"/>
        <v>-11880</v>
      </c>
      <c r="AC29" s="113">
        <f t="shared" si="131"/>
        <v>-11880</v>
      </c>
      <c r="AD29" s="113">
        <f t="shared" si="131"/>
        <v>-25987.5</v>
      </c>
      <c r="AE29" s="113">
        <f t="shared" si="131"/>
        <v>-25987.5</v>
      </c>
      <c r="AF29" s="113">
        <f t="shared" si="131"/>
        <v>-25987.5</v>
      </c>
      <c r="AG29" s="113">
        <f t="shared" si="131"/>
        <v>-25987.5</v>
      </c>
      <c r="AH29" s="113">
        <f t="shared" si="131"/>
        <v>-25795.5</v>
      </c>
      <c r="AI29" s="113">
        <f t="shared" si="131"/>
        <v>-25987.5</v>
      </c>
      <c r="AJ29" s="113">
        <f t="shared" si="131"/>
        <v>-25987.5</v>
      </c>
      <c r="AK29" s="113">
        <f t="shared" si="131"/>
        <v>-21867.5</v>
      </c>
      <c r="AL29" s="113">
        <f t="shared" si="131"/>
        <v>-11915.1</v>
      </c>
      <c r="AM29" s="113">
        <f t="shared" si="131"/>
        <v>-25987.5</v>
      </c>
      <c r="AN29" s="113">
        <f t="shared" si="131"/>
        <v>-25987.5</v>
      </c>
      <c r="AO29" s="113">
        <f t="shared" si="131"/>
        <v>-15459.7</v>
      </c>
      <c r="AP29" s="113">
        <f t="shared" si="131"/>
        <v>-19162.5</v>
      </c>
      <c r="AQ29" s="113">
        <f t="shared" si="131"/>
        <v>-5158.0999999999985</v>
      </c>
      <c r="AR29" s="113">
        <f t="shared" si="131"/>
        <v>-12700.9</v>
      </c>
      <c r="AS29" s="113">
        <f t="shared" si="131"/>
        <v>-25987.5</v>
      </c>
      <c r="AT29" s="113">
        <f t="shared" si="131"/>
        <v>-25987.5</v>
      </c>
      <c r="AU29" s="113">
        <f t="shared" si="131"/>
        <v>-25987.5</v>
      </c>
      <c r="AV29" s="113">
        <f t="shared" si="131"/>
        <v>-3710.2999999999993</v>
      </c>
      <c r="AW29" s="113">
        <f t="shared" si="131"/>
        <v>-25987.5</v>
      </c>
      <c r="AX29" s="113">
        <f t="shared" si="131"/>
        <v>-64350</v>
      </c>
      <c r="AY29" s="113">
        <f t="shared" si="131"/>
        <v>-64350</v>
      </c>
      <c r="AZ29" s="113">
        <f t="shared" si="131"/>
        <v>-63966</v>
      </c>
      <c r="BA29" s="113">
        <f t="shared" si="131"/>
        <v>-54125.2</v>
      </c>
      <c r="BB29" s="113">
        <f t="shared" si="131"/>
        <v>-64350</v>
      </c>
      <c r="BC29" s="113">
        <f t="shared" si="131"/>
        <v>-64350</v>
      </c>
      <c r="BD29" s="113">
        <f t="shared" si="131"/>
        <v>-56830.2</v>
      </c>
      <c r="BE29" s="113">
        <f t="shared" si="131"/>
        <v>-53453.2</v>
      </c>
      <c r="BF29" s="113">
        <f t="shared" si="131"/>
        <v>-53594.2</v>
      </c>
      <c r="BG29" s="113">
        <f t="shared" si="131"/>
        <v>-64350</v>
      </c>
      <c r="BH29" s="113">
        <f t="shared" si="131"/>
        <v>-64350</v>
      </c>
      <c r="BI29" s="113">
        <f t="shared" si="131"/>
        <v>-64350</v>
      </c>
      <c r="BJ29" s="113">
        <f t="shared" si="131"/>
        <v>-62860.4</v>
      </c>
      <c r="BK29" s="113">
        <f t="shared" si="131"/>
        <v>-57902.8</v>
      </c>
      <c r="BL29" s="113">
        <f t="shared" si="131"/>
        <v>-64350</v>
      </c>
      <c r="BM29" s="113">
        <f t="shared" si="131"/>
        <v>-54251.4</v>
      </c>
      <c r="BN29" s="113">
        <f t="shared" si="131"/>
        <v>-51866.400000000001</v>
      </c>
      <c r="BO29" s="113">
        <f t="shared" ref="BO29:DJ29" si="132">+BO25-BO22</f>
        <v>-45520.4</v>
      </c>
      <c r="BP29" s="113">
        <f t="shared" si="132"/>
        <v>-58055.8</v>
      </c>
      <c r="BQ29" s="113">
        <f t="shared" si="132"/>
        <v>-64350</v>
      </c>
      <c r="BR29" s="113">
        <f t="shared" si="132"/>
        <v>-76741.350000000006</v>
      </c>
      <c r="BS29" s="113">
        <f t="shared" si="132"/>
        <v>-72879.350000000006</v>
      </c>
      <c r="BT29" s="113">
        <f t="shared" si="132"/>
        <v>-77116.149999999994</v>
      </c>
      <c r="BU29" s="113">
        <f t="shared" si="132"/>
        <v>-91698.75</v>
      </c>
      <c r="BV29" s="113">
        <f t="shared" si="132"/>
        <v>-83880.75</v>
      </c>
      <c r="BW29" s="113">
        <f t="shared" si="132"/>
        <v>-66869.350000000006</v>
      </c>
      <c r="BX29" s="113">
        <f t="shared" si="132"/>
        <v>-69740.149999999994</v>
      </c>
      <c r="BY29" s="113">
        <f t="shared" si="132"/>
        <v>-58638.35</v>
      </c>
      <c r="BZ29" s="113">
        <f t="shared" si="132"/>
        <v>-91698.75</v>
      </c>
      <c r="CA29" s="113">
        <f t="shared" si="132"/>
        <v>-91698.75</v>
      </c>
      <c r="CB29" s="113">
        <f t="shared" si="132"/>
        <v>-91698.75</v>
      </c>
      <c r="CC29" s="113">
        <f t="shared" si="132"/>
        <v>-91698.75</v>
      </c>
      <c r="CD29" s="113">
        <f t="shared" si="132"/>
        <v>-91698.75</v>
      </c>
      <c r="CE29" s="113">
        <f t="shared" si="132"/>
        <v>-91698.75</v>
      </c>
      <c r="CF29" s="113">
        <f t="shared" si="132"/>
        <v>-91698.75</v>
      </c>
      <c r="CG29" s="113">
        <f t="shared" si="132"/>
        <v>-59045.75</v>
      </c>
      <c r="CH29" s="113">
        <f t="shared" si="132"/>
        <v>-64621.95</v>
      </c>
      <c r="CI29" s="113">
        <f t="shared" si="132"/>
        <v>-69023.45</v>
      </c>
      <c r="CJ29" s="113">
        <f t="shared" si="132"/>
        <v>-91698.75</v>
      </c>
      <c r="CK29" s="113">
        <f t="shared" si="132"/>
        <v>-65135.05</v>
      </c>
      <c r="CL29" s="113">
        <f t="shared" si="132"/>
        <v>-61319.95</v>
      </c>
      <c r="CM29" s="113">
        <f t="shared" si="132"/>
        <v>-49913.65</v>
      </c>
      <c r="CN29" s="113">
        <f t="shared" si="132"/>
        <v>-91698.75</v>
      </c>
      <c r="CO29" s="113">
        <f t="shared" si="132"/>
        <v>-91698.75</v>
      </c>
      <c r="CP29" s="113">
        <f t="shared" si="132"/>
        <v>-66149.8</v>
      </c>
      <c r="CQ29" s="113">
        <f t="shared" si="132"/>
        <v>-78606</v>
      </c>
      <c r="CR29" s="113">
        <f t="shared" si="132"/>
        <v>-77560</v>
      </c>
      <c r="CS29" s="113">
        <f t="shared" si="132"/>
        <v>-77614.600000000006</v>
      </c>
      <c r="CT29" s="113">
        <f t="shared" si="132"/>
        <v>-115830</v>
      </c>
      <c r="CU29" s="113">
        <f t="shared" si="132"/>
        <v>-63892</v>
      </c>
      <c r="CV29" s="113">
        <f t="shared" si="132"/>
        <v>-70361.8</v>
      </c>
      <c r="CW29" s="113">
        <f t="shared" si="132"/>
        <v>-74055.399999999994</v>
      </c>
      <c r="CX29" s="113">
        <f t="shared" si="132"/>
        <v>-115830</v>
      </c>
      <c r="CY29" s="113">
        <f t="shared" si="132"/>
        <v>-115830</v>
      </c>
      <c r="CZ29" s="113">
        <f t="shared" si="132"/>
        <v>-67813.8</v>
      </c>
      <c r="DA29" s="113">
        <f t="shared" si="132"/>
        <v>-109875.8</v>
      </c>
      <c r="DB29" s="113">
        <f t="shared" si="132"/>
        <v>-115830</v>
      </c>
      <c r="DC29" s="113">
        <f t="shared" si="132"/>
        <v>-115830</v>
      </c>
      <c r="DD29" s="113">
        <f t="shared" si="132"/>
        <v>-115830</v>
      </c>
      <c r="DE29" s="113">
        <f t="shared" si="132"/>
        <v>-53848.6</v>
      </c>
      <c r="DF29" s="113">
        <f t="shared" si="132"/>
        <v>-76742.3</v>
      </c>
      <c r="DG29" s="113">
        <f t="shared" si="132"/>
        <v>-74105.8</v>
      </c>
      <c r="DH29" s="113">
        <f t="shared" si="132"/>
        <v>-107781.8</v>
      </c>
      <c r="DI29" s="113">
        <f t="shared" si="132"/>
        <v>-115830</v>
      </c>
      <c r="DJ29" s="113">
        <f t="shared" si="132"/>
        <v>-58644.625</v>
      </c>
      <c r="DK29" s="113"/>
      <c r="DL29" s="113"/>
      <c r="DM29" s="113"/>
      <c r="DN29" s="113"/>
      <c r="DO29" s="113"/>
      <c r="DP29" s="113"/>
      <c r="DQ29" s="113"/>
      <c r="DR29" s="113"/>
      <c r="DS29" s="113"/>
      <c r="DT29" s="113"/>
      <c r="DU29" s="113"/>
      <c r="DV29" s="113"/>
      <c r="DW29" s="113"/>
      <c r="DX29" s="113"/>
      <c r="DY29" s="113"/>
      <c r="DZ29" s="113"/>
      <c r="EA29" s="113"/>
      <c r="EB29" s="113"/>
      <c r="EC29" s="113"/>
      <c r="ED29" s="113"/>
      <c r="EE29" s="113"/>
      <c r="EF29" s="113"/>
      <c r="EG29" s="113"/>
      <c r="EH29" s="113"/>
      <c r="EI29" s="113"/>
      <c r="EJ29" s="113"/>
      <c r="EK29" s="113"/>
      <c r="EL29" s="113"/>
      <c r="EM29" s="113"/>
      <c r="EN29" s="113"/>
      <c r="EO29" s="113"/>
      <c r="EP29" s="113"/>
      <c r="EQ29" s="113"/>
      <c r="ER29" s="113"/>
      <c r="ES29" s="113"/>
      <c r="ET29" s="113"/>
      <c r="EU29" s="113"/>
      <c r="EV29" s="113"/>
      <c r="EW29" s="113"/>
      <c r="EX29" s="113"/>
      <c r="EY29" s="113"/>
      <c r="EZ29" s="113"/>
      <c r="FA29" s="113"/>
      <c r="FB29" s="113"/>
      <c r="FC29" s="113"/>
      <c r="FD29" s="113"/>
      <c r="FE29" s="113"/>
      <c r="FF29" s="113"/>
      <c r="FG29" s="113"/>
      <c r="FH29" s="113"/>
      <c r="FI29" s="113"/>
      <c r="FJ29" s="113"/>
      <c r="FK29" s="113"/>
      <c r="FL29" s="113"/>
      <c r="FM29" s="113"/>
      <c r="FN29" s="113"/>
      <c r="FO29" s="113"/>
      <c r="FP29" s="113"/>
      <c r="FQ29" s="113"/>
      <c r="FR29" s="113"/>
      <c r="FS29" s="113"/>
      <c r="FT29" s="113"/>
      <c r="FU29" s="113"/>
      <c r="FV29" s="113"/>
      <c r="FW29" s="113"/>
      <c r="FX29" s="113"/>
      <c r="FY29" s="113"/>
      <c r="FZ29" s="113"/>
      <c r="GA29" s="113"/>
      <c r="GB29" s="113"/>
      <c r="GC29" s="113"/>
      <c r="GD29" s="113"/>
      <c r="GE29" s="113"/>
      <c r="GF29" s="113"/>
      <c r="GG29" s="113"/>
      <c r="GH29" s="113"/>
      <c r="GI29" s="113"/>
      <c r="GJ29" s="113"/>
      <c r="GK29" s="113"/>
      <c r="GL29" s="119">
        <f>SUM(B29:GK29)</f>
        <v>-5655789.4249999989</v>
      </c>
    </row>
    <row r="30" spans="1:195" s="116" customFormat="1" x14ac:dyDescent="0.35">
      <c r="A30" s="115" t="s">
        <v>232</v>
      </c>
      <c r="B30" s="70">
        <f>+B26-B22</f>
        <v>0</v>
      </c>
      <c r="C30" s="70">
        <f t="shared" ref="C30:BN30" si="133">+C26-C22</f>
        <v>0</v>
      </c>
      <c r="D30" s="70">
        <f t="shared" si="133"/>
        <v>0</v>
      </c>
      <c r="E30" s="70">
        <f t="shared" si="133"/>
        <v>0</v>
      </c>
      <c r="F30" s="70">
        <f t="shared" si="133"/>
        <v>-11880</v>
      </c>
      <c r="G30" s="70">
        <f t="shared" si="133"/>
        <v>-11880</v>
      </c>
      <c r="H30" s="70">
        <f t="shared" si="133"/>
        <v>-11880</v>
      </c>
      <c r="I30" s="70">
        <f t="shared" si="133"/>
        <v>-11880</v>
      </c>
      <c r="J30" s="70">
        <f t="shared" si="133"/>
        <v>-11880</v>
      </c>
      <c r="K30" s="70">
        <f t="shared" si="133"/>
        <v>-11880</v>
      </c>
      <c r="L30" s="70">
        <f t="shared" si="133"/>
        <v>-11880</v>
      </c>
      <c r="M30" s="70">
        <f t="shared" si="133"/>
        <v>-11880</v>
      </c>
      <c r="N30" s="70">
        <f t="shared" si="133"/>
        <v>-11880</v>
      </c>
      <c r="O30" s="70">
        <f t="shared" si="133"/>
        <v>-11880</v>
      </c>
      <c r="P30" s="70">
        <f t="shared" si="133"/>
        <v>-11880</v>
      </c>
      <c r="Q30" s="70">
        <f t="shared" si="133"/>
        <v>-11880</v>
      </c>
      <c r="R30" s="70">
        <f t="shared" si="133"/>
        <v>-11880</v>
      </c>
      <c r="S30" s="70">
        <f t="shared" si="133"/>
        <v>-11880</v>
      </c>
      <c r="T30" s="70">
        <f t="shared" si="133"/>
        <v>-11880</v>
      </c>
      <c r="U30" s="70">
        <f t="shared" si="133"/>
        <v>-11880</v>
      </c>
      <c r="V30" s="70">
        <f t="shared" si="133"/>
        <v>-11880</v>
      </c>
      <c r="W30" s="70">
        <f t="shared" si="133"/>
        <v>-11880</v>
      </c>
      <c r="X30" s="70">
        <f t="shared" si="133"/>
        <v>-11880</v>
      </c>
      <c r="Y30" s="70">
        <f t="shared" si="133"/>
        <v>-11880</v>
      </c>
      <c r="Z30" s="70">
        <f t="shared" si="133"/>
        <v>-11880</v>
      </c>
      <c r="AA30" s="70">
        <f t="shared" si="133"/>
        <v>-11880</v>
      </c>
      <c r="AB30" s="70">
        <f t="shared" si="133"/>
        <v>-11880</v>
      </c>
      <c r="AC30" s="70">
        <f t="shared" si="133"/>
        <v>-11880</v>
      </c>
      <c r="AD30" s="70">
        <f t="shared" si="133"/>
        <v>-25987.5</v>
      </c>
      <c r="AE30" s="70">
        <f t="shared" si="133"/>
        <v>-25987.5</v>
      </c>
      <c r="AF30" s="70">
        <f t="shared" si="133"/>
        <v>-25987.5</v>
      </c>
      <c r="AG30" s="70">
        <f t="shared" si="133"/>
        <v>-25987.5</v>
      </c>
      <c r="AH30" s="70">
        <f t="shared" si="133"/>
        <v>-25987.5</v>
      </c>
      <c r="AI30" s="70">
        <f t="shared" si="133"/>
        <v>-25987.5</v>
      </c>
      <c r="AJ30" s="70">
        <f t="shared" si="133"/>
        <v>-25987.5</v>
      </c>
      <c r="AK30" s="70">
        <f t="shared" si="133"/>
        <v>-25987.5</v>
      </c>
      <c r="AL30" s="70">
        <f t="shared" si="133"/>
        <v>-25987.5</v>
      </c>
      <c r="AM30" s="70">
        <f t="shared" si="133"/>
        <v>-25987.5</v>
      </c>
      <c r="AN30" s="70">
        <f t="shared" si="133"/>
        <v>-25987.5</v>
      </c>
      <c r="AO30" s="70">
        <f t="shared" si="133"/>
        <v>-21667.5</v>
      </c>
      <c r="AP30" s="70">
        <f t="shared" si="133"/>
        <v>-25987.5</v>
      </c>
      <c r="AQ30" s="70">
        <f t="shared" si="133"/>
        <v>-17347.5</v>
      </c>
      <c r="AR30" s="70">
        <f t="shared" si="133"/>
        <v>-12323.5</v>
      </c>
      <c r="AS30" s="70">
        <f t="shared" si="133"/>
        <v>-25987.5</v>
      </c>
      <c r="AT30" s="70">
        <f t="shared" si="133"/>
        <v>-23875.5</v>
      </c>
      <c r="AU30" s="70">
        <f t="shared" si="133"/>
        <v>-25987.5</v>
      </c>
      <c r="AV30" s="70">
        <f t="shared" si="133"/>
        <v>-23331.5</v>
      </c>
      <c r="AW30" s="70">
        <f t="shared" si="133"/>
        <v>-22227.5</v>
      </c>
      <c r="AX30" s="70">
        <f t="shared" si="133"/>
        <v>-63934</v>
      </c>
      <c r="AY30" s="70">
        <f t="shared" si="133"/>
        <v>-52250</v>
      </c>
      <c r="AZ30" s="70">
        <f t="shared" si="133"/>
        <v>-60700</v>
      </c>
      <c r="BA30" s="70">
        <f t="shared" si="133"/>
        <v>-64350</v>
      </c>
      <c r="BB30" s="70">
        <f t="shared" si="133"/>
        <v>-64350</v>
      </c>
      <c r="BC30" s="70">
        <f t="shared" si="133"/>
        <v>-64350</v>
      </c>
      <c r="BD30" s="70">
        <f t="shared" si="133"/>
        <v>-64350</v>
      </c>
      <c r="BE30" s="70">
        <f t="shared" si="133"/>
        <v>-64350</v>
      </c>
      <c r="BF30" s="70">
        <f t="shared" si="133"/>
        <v>-50462</v>
      </c>
      <c r="BG30" s="70">
        <f t="shared" si="133"/>
        <v>-64350</v>
      </c>
      <c r="BH30" s="70">
        <f t="shared" si="133"/>
        <v>-51836</v>
      </c>
      <c r="BI30" s="70">
        <f t="shared" si="133"/>
        <v>-64350</v>
      </c>
      <c r="BJ30" s="70">
        <f t="shared" si="133"/>
        <v>-63038</v>
      </c>
      <c r="BK30" s="70">
        <f t="shared" si="133"/>
        <v>-53534</v>
      </c>
      <c r="BL30" s="70">
        <f t="shared" si="133"/>
        <v>-60510</v>
      </c>
      <c r="BM30" s="70">
        <f t="shared" si="133"/>
        <v>-58430</v>
      </c>
      <c r="BN30" s="70">
        <f t="shared" si="133"/>
        <v>-56638</v>
      </c>
      <c r="BO30" s="70">
        <f t="shared" ref="BO30:DJ30" si="134">+BO26-BO22</f>
        <v>-51838</v>
      </c>
      <c r="BP30" s="70">
        <f t="shared" si="134"/>
        <v>-62430</v>
      </c>
      <c r="BQ30" s="70">
        <f t="shared" si="134"/>
        <v>-64350</v>
      </c>
      <c r="BR30" s="70">
        <f t="shared" si="134"/>
        <v>-77394.75</v>
      </c>
      <c r="BS30" s="70">
        <f t="shared" si="134"/>
        <v>-76594.75</v>
      </c>
      <c r="BT30" s="70">
        <f t="shared" si="134"/>
        <v>-80306.75</v>
      </c>
      <c r="BU30" s="70">
        <f t="shared" si="134"/>
        <v>-91698.75</v>
      </c>
      <c r="BV30" s="70">
        <f t="shared" si="134"/>
        <v>-83228.75</v>
      </c>
      <c r="BW30" s="70">
        <f t="shared" si="134"/>
        <v>-83058.75</v>
      </c>
      <c r="BX30" s="70">
        <f t="shared" si="134"/>
        <v>-82482.75</v>
      </c>
      <c r="BY30" s="70">
        <f t="shared" si="134"/>
        <v>-64923.75</v>
      </c>
      <c r="BZ30" s="70">
        <f t="shared" si="134"/>
        <v>-91698.75</v>
      </c>
      <c r="CA30" s="70">
        <f t="shared" si="134"/>
        <v>-81618.75</v>
      </c>
      <c r="CB30" s="70">
        <f t="shared" si="134"/>
        <v>-91698.75</v>
      </c>
      <c r="CC30" s="70">
        <f t="shared" si="134"/>
        <v>-91698.75</v>
      </c>
      <c r="CD30" s="70">
        <f t="shared" si="134"/>
        <v>-85538.75</v>
      </c>
      <c r="CE30" s="70">
        <f t="shared" si="134"/>
        <v>-91698.75</v>
      </c>
      <c r="CF30" s="70">
        <f t="shared" si="134"/>
        <v>-91698.75</v>
      </c>
      <c r="CG30" s="70">
        <f t="shared" si="134"/>
        <v>-70258.75</v>
      </c>
      <c r="CH30" s="70">
        <f t="shared" si="134"/>
        <v>-58994.75</v>
      </c>
      <c r="CI30" s="70">
        <f t="shared" si="134"/>
        <v>-67410.75</v>
      </c>
      <c r="CJ30" s="70">
        <f t="shared" si="134"/>
        <v>-89810.75</v>
      </c>
      <c r="CK30" s="70">
        <f t="shared" si="134"/>
        <v>-72306.75</v>
      </c>
      <c r="CL30" s="70">
        <f t="shared" si="134"/>
        <v>-64754.75</v>
      </c>
      <c r="CM30" s="70">
        <f t="shared" si="134"/>
        <v>-69138.75</v>
      </c>
      <c r="CN30" s="70">
        <f t="shared" si="134"/>
        <v>-83186.75</v>
      </c>
      <c r="CO30" s="70">
        <f t="shared" si="134"/>
        <v>-91698.75</v>
      </c>
      <c r="CP30" s="70">
        <f t="shared" si="134"/>
        <v>-94230</v>
      </c>
      <c r="CQ30" s="70">
        <f t="shared" si="134"/>
        <v>-89910</v>
      </c>
      <c r="CR30" s="70">
        <f t="shared" si="134"/>
        <v>-94230</v>
      </c>
      <c r="CS30" s="70">
        <f t="shared" si="134"/>
        <v>-85590</v>
      </c>
      <c r="CT30" s="70">
        <f t="shared" si="134"/>
        <v>-115830</v>
      </c>
      <c r="CU30" s="70">
        <f t="shared" si="134"/>
        <v>-85494</v>
      </c>
      <c r="CV30" s="70">
        <f t="shared" si="134"/>
        <v>-75280</v>
      </c>
      <c r="CW30" s="70">
        <f t="shared" si="134"/>
        <v>-87030</v>
      </c>
      <c r="CX30" s="70">
        <f t="shared" si="134"/>
        <v>-97498</v>
      </c>
      <c r="CY30" s="70">
        <f t="shared" si="134"/>
        <v>-115830</v>
      </c>
      <c r="CZ30" s="70">
        <f t="shared" si="134"/>
        <v>-94230</v>
      </c>
      <c r="DA30" s="70">
        <f t="shared" si="134"/>
        <v>-92950</v>
      </c>
      <c r="DB30" s="70">
        <f t="shared" si="134"/>
        <v>-107254</v>
      </c>
      <c r="DC30" s="70">
        <f t="shared" si="134"/>
        <v>-115830</v>
      </c>
      <c r="DD30" s="70">
        <f t="shared" si="134"/>
        <v>-115830</v>
      </c>
      <c r="DE30" s="70">
        <f t="shared" si="134"/>
        <v>-85590</v>
      </c>
      <c r="DF30" s="70">
        <f t="shared" si="134"/>
        <v>-91254</v>
      </c>
      <c r="DG30" s="70">
        <f t="shared" si="134"/>
        <v>-104630</v>
      </c>
      <c r="DH30" s="70">
        <f t="shared" si="134"/>
        <v>-81838</v>
      </c>
      <c r="DI30" s="70">
        <f t="shared" si="134"/>
        <v>-92870</v>
      </c>
      <c r="DJ30" s="70">
        <f t="shared" si="134"/>
        <v>-97390.625</v>
      </c>
      <c r="DK30" s="70"/>
      <c r="DL30" s="70"/>
      <c r="DM30" s="70"/>
      <c r="DN30" s="70"/>
      <c r="DO30" s="70"/>
      <c r="DP30" s="70"/>
      <c r="DQ30" s="70"/>
      <c r="DR30" s="70"/>
      <c r="DS30" s="70"/>
      <c r="DT30" s="70"/>
      <c r="DU30" s="70"/>
      <c r="DV30" s="70"/>
      <c r="DW30" s="70"/>
      <c r="DX30" s="70"/>
      <c r="DY30" s="70"/>
      <c r="DZ30" s="70"/>
      <c r="EA30" s="70"/>
      <c r="EB30" s="70"/>
      <c r="EC30" s="70"/>
      <c r="ED30" s="70"/>
      <c r="EE30" s="70"/>
      <c r="EF30" s="70"/>
      <c r="EG30" s="70"/>
      <c r="EH30" s="70"/>
      <c r="EI30" s="70"/>
      <c r="EJ30" s="70"/>
      <c r="EK30" s="70"/>
      <c r="EL30" s="70"/>
      <c r="EM30" s="70"/>
      <c r="EN30" s="70"/>
      <c r="EO30" s="70"/>
      <c r="EP30" s="70"/>
      <c r="EQ30" s="70"/>
      <c r="ER30" s="70"/>
      <c r="ES30" s="70"/>
      <c r="ET30" s="70"/>
      <c r="EU30" s="70"/>
      <c r="EV30" s="70"/>
      <c r="EW30" s="70"/>
      <c r="EX30" s="70"/>
      <c r="EY30" s="70"/>
      <c r="EZ30" s="70"/>
      <c r="FA30" s="70"/>
      <c r="FB30" s="70"/>
      <c r="FC30" s="70"/>
      <c r="FD30" s="70"/>
      <c r="FE30" s="70"/>
      <c r="FF30" s="70"/>
      <c r="FG30" s="70"/>
      <c r="FH30" s="70"/>
      <c r="FI30" s="70"/>
      <c r="FJ30" s="70"/>
      <c r="FK30" s="70"/>
      <c r="FL30" s="70"/>
      <c r="FM30" s="70"/>
      <c r="FN30" s="70"/>
      <c r="FO30" s="70"/>
      <c r="FP30" s="70"/>
      <c r="FQ30" s="70"/>
      <c r="FR30" s="70"/>
      <c r="FS30" s="70"/>
      <c r="FT30" s="70"/>
      <c r="FU30" s="70"/>
      <c r="FV30" s="70"/>
      <c r="FW30" s="70"/>
      <c r="FX30" s="70"/>
      <c r="FY30" s="70"/>
      <c r="FZ30" s="70"/>
      <c r="GA30" s="70"/>
      <c r="GB30" s="70"/>
      <c r="GC30" s="70"/>
      <c r="GD30" s="70"/>
      <c r="GE30" s="70"/>
      <c r="GF30" s="70"/>
      <c r="GG30" s="70"/>
      <c r="GH30" s="70"/>
      <c r="GI30" s="70"/>
      <c r="GJ30" s="70"/>
      <c r="GK30" s="70"/>
      <c r="GL30" s="70">
        <f>SUM(B30:GK30)</f>
        <v>-5923607.625</v>
      </c>
    </row>
    <row r="31" spans="1:195" s="30" customFormat="1" x14ac:dyDescent="0.35">
      <c r="A31" s="29" t="s">
        <v>233</v>
      </c>
      <c r="B31" s="107"/>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7"/>
      <c r="BT31" s="107"/>
      <c r="BU31" s="107"/>
      <c r="BV31" s="107"/>
      <c r="BW31" s="107"/>
      <c r="BX31" s="107"/>
      <c r="BY31" s="107"/>
      <c r="BZ31" s="107"/>
      <c r="CA31" s="107"/>
      <c r="CB31" s="107"/>
      <c r="CC31" s="107"/>
      <c r="CD31" s="107"/>
      <c r="CE31" s="107"/>
      <c r="CF31" s="107"/>
      <c r="CG31" s="107"/>
      <c r="CH31" s="107"/>
      <c r="CI31" s="107"/>
      <c r="CJ31" s="107"/>
      <c r="CK31" s="107"/>
      <c r="CL31" s="107"/>
      <c r="CM31" s="107"/>
      <c r="CN31" s="107"/>
      <c r="CO31" s="107"/>
      <c r="CP31" s="107">
        <f t="shared" ref="CP31:DJ31" si="135">+CP25-CP23</f>
        <v>49680.2</v>
      </c>
      <c r="CQ31" s="107">
        <f t="shared" si="135"/>
        <v>37224</v>
      </c>
      <c r="CR31" s="107">
        <f t="shared" si="135"/>
        <v>38270</v>
      </c>
      <c r="CS31" s="107">
        <f t="shared" si="135"/>
        <v>38215.4</v>
      </c>
      <c r="CT31" s="107">
        <f t="shared" si="135"/>
        <v>0</v>
      </c>
      <c r="CU31" s="107">
        <f t="shared" si="135"/>
        <v>51938</v>
      </c>
      <c r="CV31" s="107">
        <f t="shared" si="135"/>
        <v>45468.2</v>
      </c>
      <c r="CW31" s="107">
        <f t="shared" si="135"/>
        <v>41774.6</v>
      </c>
      <c r="CX31" s="107">
        <f t="shared" si="135"/>
        <v>0</v>
      </c>
      <c r="CY31" s="107">
        <f t="shared" si="135"/>
        <v>0</v>
      </c>
      <c r="CZ31" s="107">
        <f t="shared" si="135"/>
        <v>48016.2</v>
      </c>
      <c r="DA31" s="107">
        <f t="shared" si="135"/>
        <v>5954.2</v>
      </c>
      <c r="DB31" s="107">
        <f t="shared" si="135"/>
        <v>0</v>
      </c>
      <c r="DC31" s="107">
        <f t="shared" si="135"/>
        <v>0</v>
      </c>
      <c r="DD31" s="107">
        <f t="shared" si="135"/>
        <v>0</v>
      </c>
      <c r="DE31" s="107">
        <f t="shared" si="135"/>
        <v>16981.400000000001</v>
      </c>
      <c r="DF31" s="107">
        <f t="shared" si="135"/>
        <v>-5912.3000000000029</v>
      </c>
      <c r="DG31" s="107">
        <f t="shared" si="135"/>
        <v>-18275.800000000003</v>
      </c>
      <c r="DH31" s="107">
        <f t="shared" si="135"/>
        <v>-51951.8</v>
      </c>
      <c r="DI31" s="107">
        <f t="shared" si="135"/>
        <v>0</v>
      </c>
      <c r="DJ31" s="107">
        <f t="shared" si="135"/>
        <v>-25054</v>
      </c>
      <c r="DK31" s="107"/>
      <c r="DL31" s="107"/>
      <c r="DM31" s="107"/>
      <c r="DN31" s="107"/>
      <c r="DO31" s="107"/>
      <c r="DP31" s="107"/>
      <c r="DQ31" s="107"/>
      <c r="DR31" s="107"/>
      <c r="DS31" s="107"/>
      <c r="DT31" s="107"/>
      <c r="DU31" s="107"/>
      <c r="DV31" s="107"/>
      <c r="DW31" s="107"/>
      <c r="DX31" s="107"/>
      <c r="DY31" s="107"/>
      <c r="DZ31" s="107"/>
      <c r="EA31" s="107"/>
      <c r="EB31" s="107"/>
      <c r="EC31" s="107"/>
      <c r="ED31" s="107"/>
      <c r="EE31" s="107"/>
      <c r="EF31" s="107"/>
      <c r="EG31" s="107"/>
      <c r="EH31" s="107"/>
      <c r="EI31" s="107"/>
      <c r="EJ31" s="107"/>
      <c r="EK31" s="107"/>
      <c r="EL31" s="107"/>
      <c r="EM31" s="107"/>
      <c r="EN31" s="107"/>
      <c r="EO31" s="107"/>
      <c r="EP31" s="107"/>
      <c r="EQ31" s="107"/>
      <c r="ER31" s="107"/>
      <c r="ES31" s="107"/>
      <c r="ET31" s="107"/>
      <c r="EU31" s="107"/>
      <c r="EV31" s="107"/>
      <c r="EW31" s="107"/>
      <c r="EX31" s="107"/>
      <c r="EY31" s="107"/>
      <c r="EZ31" s="107"/>
      <c r="FA31" s="107"/>
      <c r="FB31" s="107"/>
      <c r="FC31" s="107"/>
      <c r="FD31" s="107"/>
      <c r="FE31" s="107"/>
      <c r="FF31" s="107"/>
      <c r="FG31" s="107"/>
      <c r="FH31" s="107"/>
      <c r="FI31" s="107"/>
      <c r="FJ31" s="107"/>
      <c r="FK31" s="107"/>
      <c r="FL31" s="107"/>
      <c r="FM31" s="107"/>
      <c r="FN31" s="107"/>
      <c r="FO31" s="107"/>
      <c r="FP31" s="107"/>
      <c r="FQ31" s="107"/>
      <c r="FR31" s="107"/>
      <c r="FS31" s="107"/>
      <c r="FT31" s="107"/>
      <c r="FU31" s="107"/>
      <c r="FV31" s="107"/>
      <c r="FW31" s="107"/>
      <c r="FX31" s="107"/>
      <c r="FY31" s="107"/>
      <c r="FZ31" s="107"/>
      <c r="GA31" s="107"/>
      <c r="GB31" s="107"/>
      <c r="GC31" s="107"/>
      <c r="GD31" s="107"/>
      <c r="GE31" s="107"/>
      <c r="GF31" s="107"/>
      <c r="GG31" s="107"/>
      <c r="GH31" s="107"/>
      <c r="GI31" s="107"/>
      <c r="GJ31" s="107"/>
      <c r="GK31" s="107"/>
      <c r="GL31" s="120">
        <f>SUM(B31:GK31)</f>
        <v>272328.30000000005</v>
      </c>
    </row>
    <row r="32" spans="1:195" s="110" customFormat="1" ht="15" thickBot="1" x14ac:dyDescent="0.4">
      <c r="A32" s="108" t="s">
        <v>234</v>
      </c>
      <c r="B32" s="109"/>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c r="AA32" s="109"/>
      <c r="AB32" s="109"/>
      <c r="AC32" s="109"/>
      <c r="AD32" s="109"/>
      <c r="AE32" s="109"/>
      <c r="AF32" s="109"/>
      <c r="AG32" s="109"/>
      <c r="AH32" s="109"/>
      <c r="AI32" s="109"/>
      <c r="AJ32" s="109"/>
      <c r="AK32" s="109"/>
      <c r="AL32" s="109"/>
      <c r="AM32" s="109"/>
      <c r="AN32" s="109"/>
      <c r="AO32" s="109"/>
      <c r="AP32" s="109"/>
      <c r="AQ32" s="109"/>
      <c r="AR32" s="109"/>
      <c r="AS32" s="109"/>
      <c r="AT32" s="109"/>
      <c r="AU32" s="109"/>
      <c r="AV32" s="109"/>
      <c r="AW32" s="109"/>
      <c r="AX32" s="109"/>
      <c r="AY32" s="109"/>
      <c r="AZ32" s="109"/>
      <c r="BA32" s="109"/>
      <c r="BB32" s="109"/>
      <c r="BC32" s="109"/>
      <c r="BD32" s="109"/>
      <c r="BE32" s="109"/>
      <c r="BF32" s="109"/>
      <c r="BG32" s="109"/>
      <c r="BH32" s="109"/>
      <c r="BI32" s="109"/>
      <c r="BJ32" s="109"/>
      <c r="BK32" s="109"/>
      <c r="BL32" s="109"/>
      <c r="BM32" s="109"/>
      <c r="BN32" s="109"/>
      <c r="BO32" s="109"/>
      <c r="BP32" s="109"/>
      <c r="BQ32" s="109"/>
      <c r="BR32" s="109"/>
      <c r="BS32" s="109"/>
      <c r="BT32" s="109"/>
      <c r="BU32" s="109"/>
      <c r="BV32" s="109"/>
      <c r="BW32" s="109"/>
      <c r="BX32" s="109"/>
      <c r="BY32" s="109"/>
      <c r="BZ32" s="109"/>
      <c r="CA32" s="109"/>
      <c r="CB32" s="109"/>
      <c r="CC32" s="109"/>
      <c r="CD32" s="109"/>
      <c r="CE32" s="109"/>
      <c r="CF32" s="109"/>
      <c r="CG32" s="109"/>
      <c r="CH32" s="109"/>
      <c r="CI32" s="109"/>
      <c r="CJ32" s="109"/>
      <c r="CK32" s="109"/>
      <c r="CL32" s="109"/>
      <c r="CM32" s="109"/>
      <c r="CN32" s="109"/>
      <c r="CO32" s="109"/>
      <c r="CP32" s="109">
        <f t="shared" ref="CP32:DJ32" si="136">+CP26-CP23</f>
        <v>21600</v>
      </c>
      <c r="CQ32" s="109">
        <f t="shared" si="136"/>
        <v>25920</v>
      </c>
      <c r="CR32" s="109">
        <f t="shared" si="136"/>
        <v>21600</v>
      </c>
      <c r="CS32" s="109">
        <f t="shared" si="136"/>
        <v>30240</v>
      </c>
      <c r="CT32" s="109">
        <f t="shared" si="136"/>
        <v>0</v>
      </c>
      <c r="CU32" s="109">
        <f t="shared" si="136"/>
        <v>30336</v>
      </c>
      <c r="CV32" s="109">
        <f t="shared" si="136"/>
        <v>40550</v>
      </c>
      <c r="CW32" s="109">
        <f t="shared" si="136"/>
        <v>28800</v>
      </c>
      <c r="CX32" s="109">
        <f t="shared" si="136"/>
        <v>18332</v>
      </c>
      <c r="CY32" s="109">
        <f t="shared" si="136"/>
        <v>0</v>
      </c>
      <c r="CZ32" s="109">
        <f t="shared" si="136"/>
        <v>21600</v>
      </c>
      <c r="DA32" s="109">
        <f t="shared" si="136"/>
        <v>22880</v>
      </c>
      <c r="DB32" s="109">
        <f t="shared" si="136"/>
        <v>8576</v>
      </c>
      <c r="DC32" s="109">
        <f t="shared" si="136"/>
        <v>0</v>
      </c>
      <c r="DD32" s="109">
        <f t="shared" si="136"/>
        <v>0</v>
      </c>
      <c r="DE32" s="109">
        <f t="shared" si="136"/>
        <v>-14760</v>
      </c>
      <c r="DF32" s="109">
        <f t="shared" si="136"/>
        <v>-20424</v>
      </c>
      <c r="DG32" s="109">
        <f t="shared" si="136"/>
        <v>-48800</v>
      </c>
      <c r="DH32" s="109">
        <f t="shared" si="136"/>
        <v>-26008</v>
      </c>
      <c r="DI32" s="109">
        <f t="shared" si="136"/>
        <v>22960</v>
      </c>
      <c r="DJ32" s="109">
        <f t="shared" si="136"/>
        <v>-63800</v>
      </c>
      <c r="DK32" s="109"/>
      <c r="DL32" s="109"/>
      <c r="DM32" s="109"/>
      <c r="DN32" s="109"/>
      <c r="DO32" s="109"/>
      <c r="DP32" s="109"/>
      <c r="DQ32" s="109"/>
      <c r="DR32" s="109"/>
      <c r="DS32" s="109"/>
      <c r="DT32" s="109"/>
      <c r="DU32" s="109"/>
      <c r="DV32" s="109"/>
      <c r="DW32" s="109"/>
      <c r="DX32" s="109"/>
      <c r="DY32" s="109"/>
      <c r="DZ32" s="109"/>
      <c r="EA32" s="109"/>
      <c r="EB32" s="109"/>
      <c r="EC32" s="109"/>
      <c r="ED32" s="109"/>
      <c r="EE32" s="109"/>
      <c r="EF32" s="109"/>
      <c r="EG32" s="109"/>
      <c r="EH32" s="109"/>
      <c r="EI32" s="109"/>
      <c r="EJ32" s="109"/>
      <c r="EK32" s="109"/>
      <c r="EL32" s="109"/>
      <c r="EM32" s="109"/>
      <c r="EN32" s="109"/>
      <c r="EO32" s="109"/>
      <c r="EP32" s="109"/>
      <c r="EQ32" s="109"/>
      <c r="ER32" s="109"/>
      <c r="ES32" s="109"/>
      <c r="ET32" s="109"/>
      <c r="EU32" s="109"/>
      <c r="EV32" s="109"/>
      <c r="EW32" s="109"/>
      <c r="EX32" s="109"/>
      <c r="EY32" s="109"/>
      <c r="EZ32" s="109"/>
      <c r="FA32" s="109"/>
      <c r="FB32" s="109"/>
      <c r="FC32" s="109"/>
      <c r="FD32" s="109"/>
      <c r="FE32" s="109"/>
      <c r="FF32" s="109"/>
      <c r="FG32" s="109"/>
      <c r="FH32" s="109"/>
      <c r="FI32" s="109"/>
      <c r="FJ32" s="109"/>
      <c r="FK32" s="109"/>
      <c r="FL32" s="109"/>
      <c r="FM32" s="109"/>
      <c r="FN32" s="109"/>
      <c r="FO32" s="109"/>
      <c r="FP32" s="109"/>
      <c r="FQ32" s="109"/>
      <c r="FR32" s="109"/>
      <c r="FS32" s="109"/>
      <c r="FT32" s="109"/>
      <c r="FU32" s="109"/>
      <c r="FV32" s="109"/>
      <c r="FW32" s="109"/>
      <c r="FX32" s="109"/>
      <c r="FY32" s="109"/>
      <c r="FZ32" s="109"/>
      <c r="GA32" s="109"/>
      <c r="GB32" s="109"/>
      <c r="GC32" s="109"/>
      <c r="GD32" s="109"/>
      <c r="GE32" s="109"/>
      <c r="GF32" s="109"/>
      <c r="GG32" s="109"/>
      <c r="GH32" s="109"/>
      <c r="GI32" s="109"/>
      <c r="GJ32" s="109"/>
      <c r="GK32" s="109"/>
      <c r="GL32" s="109">
        <f>SUM(B32:GK32)</f>
        <v>119602</v>
      </c>
    </row>
    <row r="33" spans="1:195" x14ac:dyDescent="0.35">
      <c r="A33" s="31"/>
      <c r="B33" s="3"/>
      <c r="C33" s="3"/>
      <c r="D33" s="3"/>
      <c r="E33" s="3"/>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c r="AZ33" s="106"/>
      <c r="BA33" s="106"/>
      <c r="BB33" s="106"/>
      <c r="BC33" s="106"/>
      <c r="BD33" s="106"/>
      <c r="BE33" s="106"/>
      <c r="BF33" s="106"/>
      <c r="BG33" s="106"/>
      <c r="BH33" s="106"/>
      <c r="BI33" s="106"/>
      <c r="BJ33" s="106"/>
      <c r="BK33" s="106"/>
      <c r="BL33" s="106"/>
      <c r="BM33" s="106"/>
      <c r="BN33" s="106"/>
      <c r="BO33" s="106"/>
      <c r="BP33" s="106"/>
      <c r="BQ33" s="106"/>
      <c r="BR33" s="106"/>
      <c r="BS33" s="106"/>
      <c r="BT33" s="106"/>
      <c r="BU33" s="106"/>
      <c r="BV33" s="106"/>
      <c r="BW33" s="106"/>
      <c r="BX33" s="106"/>
      <c r="BY33" s="106"/>
      <c r="BZ33" s="106"/>
      <c r="CA33" s="106"/>
      <c r="CB33" s="106"/>
      <c r="CC33" s="106"/>
      <c r="CD33" s="106"/>
      <c r="CE33" s="106"/>
      <c r="CF33" s="106"/>
      <c r="CG33" s="106"/>
      <c r="CH33" s="106"/>
      <c r="CI33" s="106"/>
      <c r="CJ33" s="106"/>
      <c r="CK33" s="106"/>
      <c r="CL33" s="106"/>
      <c r="CM33" s="106"/>
      <c r="CN33" s="106"/>
      <c r="CO33" s="106"/>
      <c r="CP33" s="106"/>
      <c r="CQ33" s="106"/>
      <c r="CR33" s="106"/>
      <c r="CS33" s="106"/>
      <c r="CT33" s="106"/>
      <c r="CU33" s="106"/>
      <c r="CV33" s="106"/>
      <c r="CW33" s="106"/>
      <c r="CX33" s="106"/>
      <c r="CY33" s="106"/>
      <c r="CZ33" s="106"/>
      <c r="DA33" s="106"/>
      <c r="DB33" s="106"/>
      <c r="DC33" s="106"/>
      <c r="DD33" s="106"/>
      <c r="DE33" s="106"/>
      <c r="DF33" s="106"/>
      <c r="DG33" s="106"/>
      <c r="DH33" s="106"/>
      <c r="DI33" s="106"/>
      <c r="DJ33" s="106"/>
      <c r="DK33" s="106"/>
      <c r="DL33" s="106"/>
      <c r="DM33" s="106"/>
      <c r="DN33" s="106"/>
      <c r="DO33" s="106"/>
      <c r="DP33" s="106"/>
      <c r="DQ33" s="106"/>
      <c r="DR33" s="106"/>
      <c r="DS33" s="106"/>
      <c r="DT33" s="106"/>
      <c r="DU33" s="106"/>
      <c r="DV33" s="106"/>
      <c r="DW33" s="106"/>
      <c r="DX33" s="106"/>
      <c r="DY33" s="106"/>
      <c r="DZ33" s="106"/>
      <c r="EA33" s="106"/>
      <c r="EB33" s="106"/>
      <c r="EC33" s="106"/>
      <c r="ED33" s="106"/>
      <c r="EE33" s="106"/>
      <c r="EF33" s="106"/>
      <c r="EG33" s="106"/>
      <c r="EH33" s="106"/>
      <c r="EI33" s="106"/>
      <c r="EJ33" s="106"/>
      <c r="EK33" s="106"/>
      <c r="EL33" s="106"/>
      <c r="EM33" s="106"/>
      <c r="EN33" s="106"/>
      <c r="EO33" s="106"/>
      <c r="EP33" s="106"/>
      <c r="EQ33" s="106"/>
      <c r="ER33" s="106"/>
      <c r="ES33" s="106"/>
      <c r="ET33" s="106"/>
      <c r="EU33" s="106"/>
      <c r="EV33" s="106"/>
      <c r="EW33" s="106"/>
      <c r="EX33" s="106"/>
      <c r="EY33" s="106"/>
      <c r="EZ33" s="106"/>
      <c r="FA33" s="106"/>
      <c r="FB33" s="106"/>
      <c r="FC33" s="106"/>
      <c r="FD33" s="106"/>
      <c r="FE33" s="106"/>
      <c r="FF33" s="106"/>
      <c r="FG33" s="106"/>
      <c r="FH33" s="106"/>
      <c r="FI33" s="106"/>
      <c r="FJ33" s="106"/>
      <c r="FK33" s="106"/>
      <c r="FL33" s="106"/>
      <c r="FM33" s="106"/>
      <c r="FN33" s="106"/>
      <c r="FO33" s="106"/>
      <c r="FP33" s="106"/>
      <c r="FQ33" s="106"/>
      <c r="FR33" s="106"/>
      <c r="FS33" s="106"/>
      <c r="FT33" s="106"/>
      <c r="FU33" s="106"/>
      <c r="FV33" s="106"/>
      <c r="FW33" s="106"/>
      <c r="FX33" s="106"/>
      <c r="FY33" s="106"/>
      <c r="FZ33" s="106"/>
      <c r="GA33" s="106"/>
      <c r="GB33" s="106"/>
      <c r="GC33" s="106"/>
      <c r="GD33" s="106"/>
      <c r="GE33" s="106"/>
      <c r="GF33" s="106"/>
      <c r="GG33" s="106"/>
      <c r="GH33" s="106"/>
      <c r="GI33" s="106"/>
      <c r="GJ33" s="106"/>
      <c r="GK33" s="106"/>
    </row>
    <row r="34" spans="1:195" x14ac:dyDescent="0.35">
      <c r="A34" s="31" t="s">
        <v>229</v>
      </c>
      <c r="B34" s="106">
        <f>SUMIF('Raw Data - Production'!$A:$A,B$4,'Raw Data - Production'!$R:$R)</f>
        <v>0</v>
      </c>
      <c r="C34" s="106">
        <f>SUMIF('Raw Data - Production'!$A:$A,C$4,'Raw Data - Production'!$R:$R)</f>
        <v>0</v>
      </c>
      <c r="D34" s="106">
        <f>SUMIF('Raw Data - Production'!$A:$A,D$4,'Raw Data - Production'!$R:$R)</f>
        <v>0</v>
      </c>
      <c r="E34" s="106">
        <f>SUMIF('Raw Data - Production'!$A:$A,E$4,'Raw Data - Production'!$R:$R)</f>
        <v>0</v>
      </c>
      <c r="F34" s="106">
        <f>SUMIF('Raw Data - Production'!$A:$A,F$4,'Raw Data - Production'!$R:$R)</f>
        <v>0</v>
      </c>
      <c r="G34" s="106">
        <f>SUMIF('Raw Data - Production'!$A:$A,G$4,'Raw Data - Production'!$R:$R)</f>
        <v>0</v>
      </c>
      <c r="H34" s="106">
        <f>SUMIF('Raw Data - Production'!$A:$A,H$4,'Raw Data - Production'!$R:$R)</f>
        <v>0</v>
      </c>
      <c r="I34" s="106">
        <f>SUMIF('Raw Data - Production'!$A:$A,I$4,'Raw Data - Production'!$R:$R)</f>
        <v>0</v>
      </c>
      <c r="J34" s="106">
        <f>SUMIF('Raw Data - Production'!$A:$A,J$4,'Raw Data - Production'!$R:$R)</f>
        <v>0</v>
      </c>
      <c r="K34" s="106">
        <f>SUMIF('Raw Data - Production'!$A:$A,K$4,'Raw Data - Production'!$R:$R)</f>
        <v>0</v>
      </c>
      <c r="L34" s="106">
        <f>SUMIF('Raw Data - Production'!$A:$A,L$4,'Raw Data - Production'!$R:$R)</f>
        <v>0</v>
      </c>
      <c r="M34" s="106">
        <f>SUMIF('Raw Data - Production'!$A:$A,M$4,'Raw Data - Production'!$R:$R)</f>
        <v>0</v>
      </c>
      <c r="N34" s="106">
        <f>SUMIF('Raw Data - Production'!$A:$A,N$4,'Raw Data - Production'!$R:$R)</f>
        <v>0</v>
      </c>
      <c r="O34" s="106">
        <f>SUMIF('Raw Data - Production'!$A:$A,O$4,'Raw Data - Production'!$R:$R)</f>
        <v>0</v>
      </c>
      <c r="P34" s="106">
        <f>SUMIF('Raw Data - Production'!$A:$A,P$4,'Raw Data - Production'!$R:$R)</f>
        <v>0</v>
      </c>
      <c r="Q34" s="106">
        <f>SUMIF('Raw Data - Production'!$A:$A,Q$4,'Raw Data - Production'!$R:$R)</f>
        <v>0</v>
      </c>
      <c r="R34" s="106">
        <f>SUMIF('Raw Data - Production'!$A:$A,R$4,'Raw Data - Production'!$R:$R)</f>
        <v>0</v>
      </c>
      <c r="S34" s="106">
        <f>SUMIF('Raw Data - Production'!$A:$A,S$4,'Raw Data - Production'!$R:$R)</f>
        <v>0</v>
      </c>
      <c r="T34" s="106">
        <f>SUMIF('Raw Data - Production'!$A:$A,T$4,'Raw Data - Production'!$R:$R)</f>
        <v>0</v>
      </c>
      <c r="U34" s="106">
        <f>SUMIF('Raw Data - Production'!$A:$A,U$4,'Raw Data - Production'!$R:$R)</f>
        <v>0</v>
      </c>
      <c r="V34" s="106">
        <f>SUMIF('Raw Data - Production'!$A:$A,V$4,'Raw Data - Production'!$R:$R)</f>
        <v>0</v>
      </c>
      <c r="W34" s="106">
        <f>SUMIF('Raw Data - Production'!$A:$A,W$4,'Raw Data - Production'!$R:$R)</f>
        <v>0</v>
      </c>
      <c r="X34" s="106">
        <f>SUMIF('Raw Data - Production'!$A:$A,X$4,'Raw Data - Production'!$R:$R)</f>
        <v>0</v>
      </c>
      <c r="Y34" s="106">
        <f>SUMIF('Raw Data - Production'!$A:$A,Y$4,'Raw Data - Production'!$R:$R)</f>
        <v>0</v>
      </c>
      <c r="Z34" s="106">
        <f>SUMIF('Raw Data - Production'!$A:$A,Z$4,'Raw Data - Production'!$R:$R)</f>
        <v>0</v>
      </c>
      <c r="AA34" s="106">
        <f>SUMIF('Raw Data - Production'!$A:$A,AA$4,'Raw Data - Production'!$R:$R)</f>
        <v>0</v>
      </c>
      <c r="AB34" s="106">
        <f>SUMIF('Raw Data - Production'!$A:$A,AB$4,'Raw Data - Production'!$R:$R)</f>
        <v>0</v>
      </c>
      <c r="AC34" s="106">
        <f>SUMIF('Raw Data - Production'!$A:$A,AC$4,'Raw Data - Production'!$R:$R)</f>
        <v>0</v>
      </c>
      <c r="AD34" s="106">
        <f>SUMIF('Raw Data - Production'!$A:$A,AD$4,'Raw Data - Production'!$R:$R)</f>
        <v>0</v>
      </c>
      <c r="AE34" s="106">
        <f>SUMIF('Raw Data - Production'!$A:$A,AE$4,'Raw Data - Production'!$R:$R)</f>
        <v>0</v>
      </c>
      <c r="AF34" s="106">
        <f>SUMIF('Raw Data - Production'!$A:$A,AF$4,'Raw Data - Production'!$R:$R)</f>
        <v>0</v>
      </c>
      <c r="AG34" s="106">
        <f>SUMIF('Raw Data - Production'!$A:$A,AG$4,'Raw Data - Production'!$R:$R)</f>
        <v>0</v>
      </c>
      <c r="AH34" s="106">
        <f>SUMIF('Raw Data - Production'!$A:$A,AH$4,'Raw Data - Production'!$R:$R)</f>
        <v>192</v>
      </c>
      <c r="AI34" s="106">
        <f>SUMIF('Raw Data - Production'!$A:$A,AI$4,'Raw Data - Production'!$R:$R)</f>
        <v>0</v>
      </c>
      <c r="AJ34" s="106">
        <f>SUMIF('Raw Data - Production'!$A:$A,AJ$4,'Raw Data - Production'!$R:$R)</f>
        <v>0</v>
      </c>
      <c r="AK34" s="106">
        <f>SUMIF('Raw Data - Production'!$A:$A,AK$4,'Raw Data - Production'!$R:$R)</f>
        <v>320</v>
      </c>
      <c r="AL34" s="106">
        <f>SUMIF('Raw Data - Production'!$A:$A,AL$4,'Raw Data - Production'!$R:$R)</f>
        <v>422.4</v>
      </c>
      <c r="AM34" s="106">
        <f>SUMIF('Raw Data - Production'!$A:$A,AM$4,'Raw Data - Production'!$R:$R)</f>
        <v>0</v>
      </c>
      <c r="AN34" s="106">
        <f>SUMIF('Raw Data - Production'!$A:$A,AN$4,'Raw Data - Production'!$R:$R)</f>
        <v>0</v>
      </c>
      <c r="AO34" s="106">
        <f>SUMIF('Raw Data - Production'!$A:$A,AO$4,'Raw Data - Production'!$R:$R)</f>
        <v>972.8</v>
      </c>
      <c r="AP34" s="106">
        <f>SUMIF('Raw Data - Production'!$A:$A,AP$4,'Raw Data - Production'!$R:$R)</f>
        <v>0</v>
      </c>
      <c r="AQ34" s="106">
        <f>SUMIF('Raw Data - Production'!$A:$A,AQ$4,'Raw Data - Production'!$R:$R)</f>
        <v>1894.4</v>
      </c>
      <c r="AR34" s="106">
        <f>SUMIF('Raw Data - Production'!$A:$A,AR$4,'Raw Data - Production'!$R:$R)</f>
        <v>3801.6</v>
      </c>
      <c r="AS34" s="106">
        <f>SUMIF('Raw Data - Production'!$A:$A,AS$4,'Raw Data - Production'!$R:$R)</f>
        <v>0</v>
      </c>
      <c r="AT34" s="106">
        <f>SUMIF('Raw Data - Production'!$A:$A,AT$4,'Raw Data - Production'!$R:$R)</f>
        <v>0</v>
      </c>
      <c r="AU34" s="106">
        <f>SUMIF('Raw Data - Production'!$A:$A,AU$4,'Raw Data - Production'!$R:$R)</f>
        <v>0</v>
      </c>
      <c r="AV34" s="106">
        <f>SUMIF('Raw Data - Production'!$A:$A,AV$4,'Raw Data - Production'!$R:$R)</f>
        <v>1715.2</v>
      </c>
      <c r="AW34" s="106">
        <f>SUMIF('Raw Data - Production'!$A:$A,AW$4,'Raw Data - Production'!$R:$R)</f>
        <v>0</v>
      </c>
      <c r="AX34" s="106">
        <f>SUMIF('Raw Data - Production'!$A:$A,AX$4,'Raw Data - Production'!$R:$R)</f>
        <v>0</v>
      </c>
      <c r="AY34" s="106">
        <f>SUMIF('Raw Data - Production'!$A:$A,AY$4,'Raw Data - Production'!$R:$R)</f>
        <v>0</v>
      </c>
      <c r="AZ34" s="106">
        <f>SUMIF('Raw Data - Production'!$A:$A,AZ$4,'Raw Data - Production'!$R:$R)</f>
        <v>384</v>
      </c>
      <c r="BA34" s="106">
        <f>SUMIF('Raw Data - Production'!$A:$A,BA$4,'Raw Data - Production'!$R:$R)</f>
        <v>844.8</v>
      </c>
      <c r="BB34" s="106">
        <f>SUMIF('Raw Data - Production'!$A:$A,BB$4,'Raw Data - Production'!$R:$R)</f>
        <v>0</v>
      </c>
      <c r="BC34" s="106">
        <f>SUMIF('Raw Data - Production'!$A:$A,BC$4,'Raw Data - Production'!$R:$R)</f>
        <v>0</v>
      </c>
      <c r="BD34" s="106">
        <f>SUMIF('Raw Data - Production'!$A:$A,BD$4,'Raw Data - Production'!$R:$R)</f>
        <v>204.8</v>
      </c>
      <c r="BE34" s="106">
        <f>SUMIF('Raw Data - Production'!$A:$A,BE$4,'Raw Data - Production'!$R:$R)</f>
        <v>396.8</v>
      </c>
      <c r="BF34" s="106">
        <f>SUMIF('Raw Data - Production'!$A:$A,BF$4,'Raw Data - Production'!$R:$R)</f>
        <v>780.8</v>
      </c>
      <c r="BG34" s="106">
        <f>SUMIF('Raw Data - Production'!$A:$A,BG$4,'Raw Data - Production'!$R:$R)</f>
        <v>0</v>
      </c>
      <c r="BH34" s="106">
        <f>SUMIF('Raw Data - Production'!$A:$A,BH$4,'Raw Data - Production'!$R:$R)</f>
        <v>0</v>
      </c>
      <c r="BI34" s="106">
        <f>SUMIF('Raw Data - Production'!$A:$A,BI$4,'Raw Data - Production'!$R:$R)</f>
        <v>0</v>
      </c>
      <c r="BJ34" s="106">
        <f>SUMIF('Raw Data - Production'!$A:$A,BJ$4,'Raw Data - Production'!$R:$R)</f>
        <v>89.6</v>
      </c>
      <c r="BK34" s="106">
        <f>SUMIF('Raw Data - Production'!$A:$A,BK$4,'Raw Data - Production'!$R:$R)</f>
        <v>147.19999999999999</v>
      </c>
      <c r="BL34" s="106">
        <f>SUMIF('Raw Data - Production'!$A:$A,BL$4,'Raw Data - Production'!$R:$R)</f>
        <v>0</v>
      </c>
      <c r="BM34" s="106">
        <f>SUMIF('Raw Data - Production'!$A:$A,BM$4,'Raw Data - Production'!$R:$R)</f>
        <v>1785.6</v>
      </c>
      <c r="BN34" s="106">
        <f>SUMIF('Raw Data - Production'!$A:$A,BN$4,'Raw Data - Production'!$R:$R)</f>
        <v>3033.6</v>
      </c>
      <c r="BO34" s="106">
        <f>SUMIF('Raw Data - Production'!$A:$A,BO$4,'Raw Data - Production'!$R:$R)</f>
        <v>3289.6</v>
      </c>
      <c r="BP34" s="106">
        <f>SUMIF('Raw Data - Production'!$A:$A,BP$4,'Raw Data - Production'!$R:$R)</f>
        <v>1779.2</v>
      </c>
      <c r="BQ34" s="106">
        <f>SUMIF('Raw Data - Production'!$A:$A,BQ$4,'Raw Data - Production'!$R:$R)</f>
        <v>0</v>
      </c>
      <c r="BR34" s="106">
        <f>SUMIF('Raw Data - Production'!$A:$A,BR$4,'Raw Data - Production'!$R:$R)</f>
        <v>1062.4000000000001</v>
      </c>
      <c r="BS34" s="106">
        <f>SUMIF('Raw Data - Production'!$A:$A,BS$4,'Raw Data - Production'!$R:$R)</f>
        <v>3174.4</v>
      </c>
      <c r="BT34" s="106">
        <f>SUMIF('Raw Data - Production'!$A:$A,BT$4,'Raw Data - Production'!$R:$R)</f>
        <v>1177.5999999999999</v>
      </c>
      <c r="BU34" s="106">
        <f>SUMIF('Raw Data - Production'!$A:$A,BU$4,'Raw Data - Production'!$R:$R)</f>
        <v>0</v>
      </c>
      <c r="BV34" s="106">
        <f>SUMIF('Raw Data - Production'!$A:$A,BV$4,'Raw Data - Production'!$R:$R)</f>
        <v>1728</v>
      </c>
      <c r="BW34" s="106">
        <f>SUMIF('Raw Data - Production'!$A:$A,BW$4,'Raw Data - Production'!$R:$R)</f>
        <v>1414.4</v>
      </c>
      <c r="BX34" s="106">
        <f>SUMIF('Raw Data - Production'!$A:$A,BX$4,'Raw Data - Production'!$R:$R)</f>
        <v>1049.5999999999999</v>
      </c>
      <c r="BY34" s="106">
        <f>SUMIF('Raw Data - Production'!$A:$A,BY$4,'Raw Data - Production'!$R:$R)</f>
        <v>1350.4</v>
      </c>
      <c r="BZ34" s="106">
        <f>SUMIF('Raw Data - Production'!$A:$A,BZ$4,'Raw Data - Production'!$R:$R)</f>
        <v>0</v>
      </c>
      <c r="CA34" s="106">
        <f>SUMIF('Raw Data - Production'!$A:$A,CA$4,'Raw Data - Production'!$R:$R)</f>
        <v>0</v>
      </c>
      <c r="CB34" s="106">
        <f>SUMIF('Raw Data - Production'!$A:$A,CB$4,'Raw Data - Production'!$R:$R)</f>
        <v>0</v>
      </c>
      <c r="CC34" s="106">
        <f>SUMIF('Raw Data - Production'!$A:$A,CC$4,'Raw Data - Production'!$R:$R)</f>
        <v>0</v>
      </c>
      <c r="CD34" s="106">
        <f>SUMIF('Raw Data - Production'!$A:$A,CD$4,'Raw Data - Production'!$R:$R)</f>
        <v>0</v>
      </c>
      <c r="CE34" s="106">
        <f>SUMIF('Raw Data - Production'!$A:$A,CE$4,'Raw Data - Production'!$R:$R)</f>
        <v>0</v>
      </c>
      <c r="CF34" s="106">
        <f>SUMIF('Raw Data - Production'!$A:$A,CF$4,'Raw Data - Production'!$R:$R)</f>
        <v>0</v>
      </c>
      <c r="CG34" s="106">
        <f>SUMIF('Raw Data - Production'!$A:$A,CG$4,'Raw Data - Production'!$R:$R)</f>
        <v>3008</v>
      </c>
      <c r="CH34" s="106">
        <f>SUMIF('Raw Data - Production'!$A:$A,CH$4,'Raw Data - Production'!$R:$R)</f>
        <v>3276.8</v>
      </c>
      <c r="CI34" s="106">
        <f>SUMIF('Raw Data - Production'!$A:$A,CI$4,'Raw Data - Production'!$R:$R)</f>
        <v>1132.8</v>
      </c>
      <c r="CJ34" s="106">
        <f>SUMIF('Raw Data - Production'!$A:$A,CJ$4,'Raw Data - Production'!$R:$R)</f>
        <v>0</v>
      </c>
      <c r="CK34" s="106">
        <f>SUMIF('Raw Data - Production'!$A:$A,CK$4,'Raw Data - Production'!$R:$R)</f>
        <v>1171.2</v>
      </c>
      <c r="CL34" s="106">
        <f>SUMIF('Raw Data - Production'!$A:$A,CL$4,'Raw Data - Production'!$R:$R)</f>
        <v>716.8</v>
      </c>
      <c r="CM34" s="106">
        <f>SUMIF('Raw Data - Production'!$A:$A,CM$4,'Raw Data - Production'!$R:$R)</f>
        <v>7257.6</v>
      </c>
      <c r="CN34" s="106">
        <f>SUMIF('Raw Data - Production'!$A:$A,CN$4,'Raw Data - Production'!$R:$R)</f>
        <v>0</v>
      </c>
      <c r="CO34" s="106">
        <f>SUMIF('Raw Data - Production'!$A:$A,CO$4,'Raw Data - Production'!$R:$R)</f>
        <v>0</v>
      </c>
      <c r="CP34" s="106">
        <f>SUMIF('Raw Data - Production'!$A:$A,CP$4,'Raw Data - Production'!$R:$R)</f>
        <v>4915.2</v>
      </c>
      <c r="CQ34" s="106">
        <f>SUMIF('Raw Data - Production'!$A:$A,CQ$4,'Raw Data - Production'!$R:$R)</f>
        <v>1664</v>
      </c>
      <c r="CR34" s="106">
        <f>SUMIF('Raw Data - Production'!$A:$A,CR$4,'Raw Data - Production'!$R:$R)</f>
        <v>5440</v>
      </c>
      <c r="CS34" s="106">
        <f>SUMIF('Raw Data - Production'!$A:$A,CS$4,'Raw Data - Production'!$R:$R)</f>
        <v>3110.4</v>
      </c>
      <c r="CT34" s="106">
        <f>SUMIF('Raw Data - Production'!$A:$A,CT$4,'Raw Data - Production'!$R:$R)</f>
        <v>0</v>
      </c>
      <c r="CU34" s="106">
        <f>SUMIF('Raw Data - Production'!$A:$A,CU$4,'Raw Data - Production'!$R:$R)</f>
        <v>5248</v>
      </c>
      <c r="CV34" s="106">
        <f>SUMIF('Raw Data - Production'!$A:$A,CV$4,'Raw Data - Production'!$R:$R)</f>
        <v>5043.2</v>
      </c>
      <c r="CW34" s="106">
        <f>SUMIF('Raw Data - Production'!$A:$A,CW$4,'Raw Data - Production'!$R:$R)</f>
        <v>1209.5999999999999</v>
      </c>
      <c r="CX34" s="106">
        <f>SUMIF('Raw Data - Production'!$A:$A,CX$4,'Raw Data - Production'!$R:$R)</f>
        <v>0</v>
      </c>
      <c r="CY34" s="106">
        <f>SUMIF('Raw Data - Production'!$A:$A,CY$4,'Raw Data - Production'!$R:$R)</f>
        <v>0</v>
      </c>
      <c r="CZ34" s="106">
        <f>SUMIF('Raw Data - Production'!$A:$A,CZ$4,'Raw Data - Production'!$R:$R)</f>
        <v>1011.2</v>
      </c>
      <c r="DA34" s="106">
        <f>SUMIF('Raw Data - Production'!$A:$A,DA$4,'Raw Data - Production'!$R:$R)</f>
        <v>179.2</v>
      </c>
      <c r="DB34" s="106">
        <f>SUMIF('Raw Data - Production'!$A:$A,DB$4,'Raw Data - Production'!$R:$R)</f>
        <v>0</v>
      </c>
      <c r="DC34" s="106">
        <f>SUMIF('Raw Data - Production'!$A:$A,DC$4,'Raw Data - Production'!$R:$R)</f>
        <v>0</v>
      </c>
      <c r="DD34" s="106">
        <f>SUMIF('Raw Data - Production'!$A:$A,DD$4,'Raw Data - Production'!$R:$R)</f>
        <v>0</v>
      </c>
      <c r="DE34" s="106">
        <f>SUMIF('Raw Data - Production'!$A:$A,DE$4,'Raw Data - Production'!$R:$R)</f>
        <v>4966.3999999999996</v>
      </c>
      <c r="DF34" s="106">
        <f>SUMIF('Raw Data - Production'!$A:$A,DF$4,'Raw Data - Production'!$R:$R)</f>
        <v>115.2</v>
      </c>
      <c r="DG34" s="106">
        <f>SUMIF('Raw Data - Production'!$A:$A,DG$4,'Raw Data - Production'!$R:$R)</f>
        <v>1299.2</v>
      </c>
      <c r="DH34" s="106">
        <f>SUMIF('Raw Data - Production'!$A:$A,DH$4,'Raw Data - Production'!$R:$R)</f>
        <v>243.2</v>
      </c>
      <c r="DI34" s="106">
        <f>SUMIF('Raw Data - Production'!$A:$A,DI$4,'Raw Data - Production'!$R:$R)</f>
        <v>0</v>
      </c>
      <c r="DJ34" s="106">
        <f>SUMIF('Raw Data - Production'!$A:$A,DJ$4,'Raw Data - Production'!$R:$R)</f>
        <v>1856</v>
      </c>
      <c r="DK34" s="106">
        <f>SUMIF('Raw Data - Production'!$A:$A,DK$4,'Raw Data - Production'!$R:$R)</f>
        <v>13753.6</v>
      </c>
      <c r="DL34" s="106">
        <f>SUMIF('Raw Data - Production'!$A:$A,DL$4,'Raw Data - Production'!$R:$R)</f>
        <v>0</v>
      </c>
      <c r="DM34" s="106">
        <f>SUMIF('Raw Data - Production'!$A:$A,DM$4,'Raw Data - Production'!$R:$R)</f>
        <v>0</v>
      </c>
      <c r="DN34" s="106">
        <f>SUMIF('Raw Data - Production'!$A:$A,DN$4,'Raw Data - Production'!$R:$R)</f>
        <v>0</v>
      </c>
      <c r="DO34" s="106">
        <f>SUMIF('Raw Data - Production'!$A:$A,DO$4,'Raw Data - Production'!$R:$R)</f>
        <v>0</v>
      </c>
      <c r="DP34" s="106">
        <f>SUMIF('Raw Data - Production'!$A:$A,DP$4,'Raw Data - Production'!$R:$R)</f>
        <v>0</v>
      </c>
      <c r="DQ34" s="106">
        <f>SUMIF('Raw Data - Production'!$A:$A,DQ$4,'Raw Data - Production'!$R:$R)</f>
        <v>0</v>
      </c>
      <c r="DR34" s="106">
        <f>SUMIF('Raw Data - Production'!$A:$A,DR$4,'Raw Data - Production'!$R:$R)</f>
        <v>0</v>
      </c>
      <c r="DS34" s="106">
        <f>SUMIF('Raw Data - Production'!$A:$A,DS$4,'Raw Data - Production'!$R:$R)</f>
        <v>0</v>
      </c>
      <c r="DT34" s="106">
        <f>SUMIF('Raw Data - Production'!$A:$A,DT$4,'Raw Data - Production'!$R:$R)</f>
        <v>0</v>
      </c>
      <c r="DU34" s="106">
        <f>SUMIF('Raw Data - Production'!$A:$A,DU$4,'Raw Data - Production'!$R:$R)</f>
        <v>0</v>
      </c>
      <c r="DV34" s="106">
        <f>SUMIF('Raw Data - Production'!$A:$A,DV$4,'Raw Data - Production'!$R:$R)</f>
        <v>0</v>
      </c>
      <c r="DW34" s="106">
        <f>SUMIF('Raw Data - Production'!$A:$A,DW$4,'Raw Data - Production'!$R:$R)</f>
        <v>0</v>
      </c>
      <c r="DX34" s="106">
        <f>SUMIF('Raw Data - Production'!$A:$A,DX$4,'Raw Data - Production'!$R:$R)</f>
        <v>0</v>
      </c>
      <c r="DY34" s="106">
        <f>SUMIF('Raw Data - Production'!$A:$A,DY$4,'Raw Data - Production'!$R:$R)</f>
        <v>0</v>
      </c>
      <c r="DZ34" s="106">
        <f>SUMIF('Raw Data - Production'!$A:$A,DZ$4,'Raw Data - Production'!$R:$R)</f>
        <v>0</v>
      </c>
      <c r="EA34" s="106">
        <f>SUMIF('Raw Data - Production'!$A:$A,EA$4,'Raw Data - Production'!$R:$R)</f>
        <v>0</v>
      </c>
      <c r="EB34" s="106">
        <f>SUMIF('Raw Data - Production'!$A:$A,EB$4,'Raw Data - Production'!$R:$R)</f>
        <v>0</v>
      </c>
      <c r="EC34" s="106">
        <f>SUMIF('Raw Data - Production'!$A:$A,EC$4,'Raw Data - Production'!$R:$R)</f>
        <v>0</v>
      </c>
      <c r="ED34" s="106">
        <f>SUMIF('Raw Data - Production'!$A:$A,ED$4,'Raw Data - Production'!$R:$R)</f>
        <v>0</v>
      </c>
      <c r="EE34" s="106">
        <f>SUMIF('Raw Data - Production'!$A:$A,EE$4,'Raw Data - Production'!$R:$R)</f>
        <v>0</v>
      </c>
      <c r="EF34" s="106">
        <f>SUMIF('Raw Data - Production'!$A:$A,EF$4,'Raw Data - Production'!$R:$R)</f>
        <v>0</v>
      </c>
      <c r="EG34" s="106">
        <f>SUMIF('Raw Data - Production'!$A:$A,EG$4,'Raw Data - Production'!$R:$R)</f>
        <v>0</v>
      </c>
      <c r="EH34" s="106">
        <f>SUMIF('Raw Data - Production'!$A:$A,EH$4,'Raw Data - Production'!$R:$R)</f>
        <v>0</v>
      </c>
      <c r="EI34" s="106">
        <f>SUMIF('Raw Data - Production'!$A:$A,EI$4,'Raw Data - Production'!$R:$R)</f>
        <v>0</v>
      </c>
      <c r="EJ34" s="106">
        <f>SUMIF('Raw Data - Production'!$A:$A,EJ$4,'Raw Data - Production'!$R:$R)</f>
        <v>0</v>
      </c>
      <c r="EK34" s="106">
        <f>SUMIF('Raw Data - Production'!$A:$A,EK$4,'Raw Data - Production'!$R:$R)</f>
        <v>0</v>
      </c>
      <c r="EL34" s="106">
        <f>SUMIF('Raw Data - Production'!$A:$A,EL$4,'Raw Data - Production'!$R:$R)</f>
        <v>0</v>
      </c>
      <c r="EM34" s="106">
        <f>SUMIF('Raw Data - Production'!$A:$A,EM$4,'Raw Data - Production'!$R:$R)</f>
        <v>0</v>
      </c>
      <c r="EN34" s="106">
        <f>SUMIF('Raw Data - Production'!$A:$A,EN$4,'Raw Data - Production'!$R:$R)</f>
        <v>0</v>
      </c>
      <c r="EO34" s="106">
        <f>SUMIF('Raw Data - Production'!$A:$A,EO$4,'Raw Data - Production'!$R:$R)</f>
        <v>0</v>
      </c>
      <c r="EP34" s="106">
        <f>SUMIF('Raw Data - Production'!$A:$A,EP$4,'Raw Data - Production'!$R:$R)</f>
        <v>0</v>
      </c>
      <c r="EQ34" s="106">
        <f>SUMIF('Raw Data - Production'!$A:$A,EQ$4,'Raw Data - Production'!$R:$R)</f>
        <v>0</v>
      </c>
      <c r="ER34" s="106">
        <f>SUMIF('Raw Data - Production'!$A:$A,ER$4,'Raw Data - Production'!$R:$R)</f>
        <v>0</v>
      </c>
      <c r="ES34" s="106">
        <f>SUMIF('Raw Data - Production'!$A:$A,ES$4,'Raw Data - Production'!$R:$R)</f>
        <v>0</v>
      </c>
      <c r="ET34" s="106">
        <f>SUMIF('Raw Data - Production'!$A:$A,ET$4,'Raw Data - Production'!$R:$R)</f>
        <v>0</v>
      </c>
      <c r="EU34" s="106">
        <f>SUMIF('Raw Data - Production'!$A:$A,EU$4,'Raw Data - Production'!$R:$R)</f>
        <v>0</v>
      </c>
      <c r="EV34" s="106">
        <f>SUMIF('Raw Data - Production'!$A:$A,EV$4,'Raw Data - Production'!$R:$R)</f>
        <v>0</v>
      </c>
      <c r="EW34" s="106">
        <f>SUMIF('Raw Data - Production'!$A:$A,EW$4,'Raw Data - Production'!$R:$R)</f>
        <v>0</v>
      </c>
      <c r="EX34" s="106">
        <f>SUMIF('Raw Data - Production'!$A:$A,EX$4,'Raw Data - Production'!$R:$R)</f>
        <v>0</v>
      </c>
      <c r="EY34" s="106">
        <f>SUMIF('Raw Data - Production'!$A:$A,EY$4,'Raw Data - Production'!$R:$R)</f>
        <v>0</v>
      </c>
      <c r="EZ34" s="106">
        <f>SUMIF('Raw Data - Production'!$A:$A,EZ$4,'Raw Data - Production'!$R:$R)</f>
        <v>0</v>
      </c>
      <c r="FA34" s="106">
        <f>SUMIF('Raw Data - Production'!$A:$A,FA$4,'Raw Data - Production'!$R:$R)</f>
        <v>0</v>
      </c>
      <c r="FB34" s="106">
        <f>SUMIF('Raw Data - Production'!$A:$A,FB$4,'Raw Data - Production'!$R:$R)</f>
        <v>0</v>
      </c>
      <c r="FC34" s="106">
        <f>SUMIF('Raw Data - Production'!$A:$A,FC$4,'Raw Data - Production'!$R:$R)</f>
        <v>0</v>
      </c>
      <c r="FD34" s="106">
        <f>SUMIF('Raw Data - Production'!$A:$A,FD$4,'Raw Data - Production'!$R:$R)</f>
        <v>0</v>
      </c>
      <c r="FE34" s="106">
        <f>SUMIF('Raw Data - Production'!$A:$A,FE$4,'Raw Data - Production'!$R:$R)</f>
        <v>0</v>
      </c>
      <c r="FF34" s="106">
        <f>SUMIF('Raw Data - Production'!$A:$A,FF$4,'Raw Data - Production'!$R:$R)</f>
        <v>0</v>
      </c>
      <c r="FG34" s="106">
        <f>SUMIF('Raw Data - Production'!$A:$A,FG$4,'Raw Data - Production'!$R:$R)</f>
        <v>0</v>
      </c>
      <c r="FH34" s="106">
        <f>SUMIF('Raw Data - Production'!$A:$A,FH$4,'Raw Data - Production'!$R:$R)</f>
        <v>0</v>
      </c>
      <c r="FI34" s="106">
        <f>SUMIF('Raw Data - Production'!$A:$A,FI$4,'Raw Data - Production'!$R:$R)</f>
        <v>0</v>
      </c>
      <c r="FJ34" s="106">
        <f>SUMIF('Raw Data - Production'!$A:$A,FJ$4,'Raw Data - Production'!$R:$R)</f>
        <v>0</v>
      </c>
      <c r="FK34" s="106">
        <f>SUMIF('Raw Data - Production'!$A:$A,FK$4,'Raw Data - Production'!$R:$R)</f>
        <v>0</v>
      </c>
      <c r="FL34" s="106">
        <f>SUMIF('Raw Data - Production'!$A:$A,FL$4,'Raw Data - Production'!$R:$R)</f>
        <v>0</v>
      </c>
      <c r="FM34" s="106">
        <f>SUMIF('Raw Data - Production'!$A:$A,FM$4,'Raw Data - Production'!$R:$R)</f>
        <v>0</v>
      </c>
      <c r="FN34" s="106">
        <f>SUMIF('Raw Data - Production'!$A:$A,FN$4,'Raw Data - Production'!$R:$R)</f>
        <v>0</v>
      </c>
      <c r="FO34" s="106">
        <f>SUMIF('Raw Data - Production'!$A:$A,FO$4,'Raw Data - Production'!$R:$R)</f>
        <v>0</v>
      </c>
      <c r="FP34" s="106">
        <f>SUMIF('Raw Data - Production'!$A:$A,FP$4,'Raw Data - Production'!$R:$R)</f>
        <v>0</v>
      </c>
      <c r="FQ34" s="106">
        <f>SUMIF('Raw Data - Production'!$A:$A,FQ$4,'Raw Data - Production'!$R:$R)</f>
        <v>0</v>
      </c>
      <c r="FR34" s="106">
        <f>SUMIF('Raw Data - Production'!$A:$A,FR$4,'Raw Data - Production'!$R:$R)</f>
        <v>0</v>
      </c>
      <c r="FS34" s="106">
        <f>SUMIF('Raw Data - Production'!$A:$A,FS$4,'Raw Data - Production'!$R:$R)</f>
        <v>0</v>
      </c>
      <c r="FT34" s="106">
        <f>SUMIF('Raw Data - Production'!$A:$A,FT$4,'Raw Data - Production'!$R:$R)</f>
        <v>0</v>
      </c>
      <c r="FU34" s="106">
        <f>SUMIF('Raw Data - Production'!$A:$A,FU$4,'Raw Data - Production'!$R:$R)</f>
        <v>0</v>
      </c>
      <c r="FV34" s="106">
        <f>SUMIF('Raw Data - Production'!$A:$A,FV$4,'Raw Data - Production'!$R:$R)</f>
        <v>0</v>
      </c>
      <c r="FW34" s="106">
        <f>SUMIF('Raw Data - Production'!$A:$A,FW$4,'Raw Data - Production'!$R:$R)</f>
        <v>0</v>
      </c>
      <c r="FX34" s="106">
        <f>SUMIF('Raw Data - Production'!$A:$A,FX$4,'Raw Data - Production'!$R:$R)</f>
        <v>0</v>
      </c>
      <c r="FY34" s="106">
        <f>SUMIF('Raw Data - Production'!$A:$A,FY$4,'Raw Data - Production'!$R:$R)</f>
        <v>0</v>
      </c>
      <c r="FZ34" s="106">
        <f>SUMIF('Raw Data - Production'!$A:$A,FZ$4,'Raw Data - Production'!$R:$R)</f>
        <v>0</v>
      </c>
      <c r="GA34" s="106">
        <f>SUMIF('Raw Data - Production'!$A:$A,GA$4,'Raw Data - Production'!$R:$R)</f>
        <v>0</v>
      </c>
      <c r="GB34" s="106">
        <f>SUMIF('Raw Data - Production'!$A:$A,GB$4,'Raw Data - Production'!$R:$R)</f>
        <v>0</v>
      </c>
      <c r="GC34" s="106">
        <f>SUMIF('Raw Data - Production'!$A:$A,GC$4,'Raw Data - Production'!$R:$R)</f>
        <v>0</v>
      </c>
      <c r="GD34" s="106">
        <f>SUMIF('Raw Data - Production'!$A:$A,GD$4,'Raw Data - Production'!$R:$R)</f>
        <v>0</v>
      </c>
      <c r="GE34" s="106">
        <f>SUMIF('Raw Data - Production'!$A:$A,GE$4,'Raw Data - Production'!$R:$R)</f>
        <v>0</v>
      </c>
      <c r="GF34" s="106">
        <f>SUMIF('Raw Data - Production'!$A:$A,GF$4,'Raw Data - Production'!$R:$R)</f>
        <v>0</v>
      </c>
      <c r="GG34" s="106">
        <f>SUMIF('Raw Data - Production'!$A:$A,GG$4,'Raw Data - Production'!$R:$R)</f>
        <v>0</v>
      </c>
      <c r="GH34" s="106">
        <f>SUMIF('Raw Data - Production'!$A:$A,GH$4,'Raw Data - Production'!$R:$R)</f>
        <v>0</v>
      </c>
      <c r="GI34" s="106">
        <f>SUMIF('Raw Data - Production'!$A:$A,GI$4,'Raw Data - Production'!$R:$R)</f>
        <v>0</v>
      </c>
      <c r="GJ34" s="106">
        <f>SUMIF('Raw Data - Production'!$A:$A,GJ$4,'Raw Data - Production'!$R:$R)</f>
        <v>0</v>
      </c>
      <c r="GK34" s="106">
        <f>SUMIF('Raw Data - Production'!$A:$A,GK$4,'Raw Data - Production'!$R:$R)</f>
        <v>0</v>
      </c>
      <c r="GL34" s="106">
        <f>SUM(F34:GK34)</f>
        <v>99628.799999999988</v>
      </c>
      <c r="GM34" s="121">
        <f>+GL34/SUM($GL$34:$GL$35)</f>
        <v>0.83084928947895109</v>
      </c>
    </row>
    <row r="35" spans="1:195" x14ac:dyDescent="0.35">
      <c r="A35" s="31" t="s">
        <v>230</v>
      </c>
      <c r="B35" s="106">
        <f>+SUMIF('Raw Data - Packing'!$A:$A,B$4,'Raw Data - Packing'!$S:$S)</f>
        <v>0</v>
      </c>
      <c r="C35" s="106">
        <f>+SUMIF('Raw Data - Packing'!$A:$A,C$4,'Raw Data - Packing'!$S:$S)</f>
        <v>0</v>
      </c>
      <c r="D35" s="106">
        <f>+SUMIF('Raw Data - Packing'!$A:$A,D$4,'Raw Data - Packing'!$S:$S)</f>
        <v>0</v>
      </c>
      <c r="E35" s="106">
        <f>+SUMIF('Raw Data - Packing'!$A:$A,E$4,'Raw Data - Packing'!$S:$S)</f>
        <v>0</v>
      </c>
      <c r="F35" s="106">
        <f>+SUMIF('Raw Data - Packing'!$A:$A,F$4,'Raw Data - Packing'!$S:$S)</f>
        <v>0</v>
      </c>
      <c r="G35" s="106">
        <f>+SUMIF('Raw Data - Packing'!$A:$A,G$4,'Raw Data - Packing'!$S:$S)</f>
        <v>0</v>
      </c>
      <c r="H35" s="106">
        <f>+SUMIF('Raw Data - Packing'!$A:$A,H$4,'Raw Data - Packing'!$S:$S)</f>
        <v>0</v>
      </c>
      <c r="I35" s="106">
        <f>+SUMIF('Raw Data - Packing'!$A:$A,I$4,'Raw Data - Packing'!$S:$S)</f>
        <v>0</v>
      </c>
      <c r="J35" s="106">
        <f>+SUMIF('Raw Data - Packing'!$A:$A,J$4,'Raw Data - Packing'!$S:$S)</f>
        <v>0</v>
      </c>
      <c r="K35" s="106">
        <f>+SUMIF('Raw Data - Packing'!$A:$A,K$4,'Raw Data - Packing'!$S:$S)</f>
        <v>0</v>
      </c>
      <c r="L35" s="106">
        <f>+SUMIF('Raw Data - Packing'!$A:$A,L$4,'Raw Data - Packing'!$S:$S)</f>
        <v>0</v>
      </c>
      <c r="M35" s="106">
        <f>+SUMIF('Raw Data - Packing'!$A:$A,M$4,'Raw Data - Packing'!$S:$S)</f>
        <v>0</v>
      </c>
      <c r="N35" s="106">
        <f>+SUMIF('Raw Data - Packing'!$A:$A,N$4,'Raw Data - Packing'!$S:$S)</f>
        <v>0</v>
      </c>
      <c r="O35" s="106">
        <f>+SUMIF('Raw Data - Packing'!$A:$A,O$4,'Raw Data - Packing'!$S:$S)</f>
        <v>0</v>
      </c>
      <c r="P35" s="106">
        <f>+SUMIF('Raw Data - Packing'!$A:$A,P$4,'Raw Data - Packing'!$S:$S)</f>
        <v>0</v>
      </c>
      <c r="Q35" s="106">
        <f>+SUMIF('Raw Data - Packing'!$A:$A,Q$4,'Raw Data - Packing'!$S:$S)</f>
        <v>0</v>
      </c>
      <c r="R35" s="106">
        <f>+SUMIF('Raw Data - Packing'!$A:$A,R$4,'Raw Data - Packing'!$S:$S)</f>
        <v>0</v>
      </c>
      <c r="S35" s="106">
        <f>+SUMIF('Raw Data - Packing'!$A:$A,S$4,'Raw Data - Packing'!$S:$S)</f>
        <v>0</v>
      </c>
      <c r="T35" s="106">
        <f>+SUMIF('Raw Data - Packing'!$A:$A,T$4,'Raw Data - Packing'!$S:$S)</f>
        <v>0</v>
      </c>
      <c r="U35" s="106">
        <f>+SUMIF('Raw Data - Packing'!$A:$A,U$4,'Raw Data - Packing'!$S:$S)</f>
        <v>0</v>
      </c>
      <c r="V35" s="106">
        <f>+SUMIF('Raw Data - Packing'!$A:$A,V$4,'Raw Data - Packing'!$S:$S)</f>
        <v>0</v>
      </c>
      <c r="W35" s="106">
        <f>+SUMIF('Raw Data - Packing'!$A:$A,W$4,'Raw Data - Packing'!$S:$S)</f>
        <v>0</v>
      </c>
      <c r="X35" s="106">
        <f>+SUMIF('Raw Data - Packing'!$A:$A,X$4,'Raw Data - Packing'!$S:$S)</f>
        <v>0</v>
      </c>
      <c r="Y35" s="106">
        <f>+SUMIF('Raw Data - Packing'!$A:$A,Y$4,'Raw Data - Packing'!$S:$S)</f>
        <v>0</v>
      </c>
      <c r="Z35" s="106">
        <f>+SUMIF('Raw Data - Packing'!$A:$A,Z$4,'Raw Data - Packing'!$S:$S)</f>
        <v>0</v>
      </c>
      <c r="AA35" s="106">
        <f>+SUMIF('Raw Data - Packing'!$A:$A,AA$4,'Raw Data - Packing'!$S:$S)</f>
        <v>0</v>
      </c>
      <c r="AB35" s="106">
        <f>+SUMIF('Raw Data - Packing'!$A:$A,AB$4,'Raw Data - Packing'!$S:$S)</f>
        <v>0</v>
      </c>
      <c r="AC35" s="106">
        <f>+SUMIF('Raw Data - Packing'!$A:$A,AC$4,'Raw Data - Packing'!$S:$S)</f>
        <v>0</v>
      </c>
      <c r="AD35" s="106">
        <f>+SUMIF('Raw Data - Packing'!$A:$A,AD$4,'Raw Data - Packing'!$S:$S)</f>
        <v>0</v>
      </c>
      <c r="AE35" s="106">
        <f>+SUMIF('Raw Data - Packing'!$A:$A,AE$4,'Raw Data - Packing'!$S:$S)</f>
        <v>0</v>
      </c>
      <c r="AF35" s="106">
        <f>+SUMIF('Raw Data - Packing'!$A:$A,AF$4,'Raw Data - Packing'!$S:$S)</f>
        <v>0</v>
      </c>
      <c r="AG35" s="106">
        <f>+SUMIF('Raw Data - Packing'!$A:$A,AG$4,'Raw Data - Packing'!$S:$S)</f>
        <v>0</v>
      </c>
      <c r="AH35" s="106">
        <f>+SUMIF('Raw Data - Packing'!$A:$A,AH$4,'Raw Data - Packing'!$S:$S)</f>
        <v>0</v>
      </c>
      <c r="AI35" s="106">
        <f>+SUMIF('Raw Data - Packing'!$A:$A,AI$4,'Raw Data - Packing'!$S:$S)</f>
        <v>0</v>
      </c>
      <c r="AJ35" s="106">
        <f>+SUMIF('Raw Data - Packing'!$A:$A,AJ$4,'Raw Data - Packing'!$S:$S)</f>
        <v>0</v>
      </c>
      <c r="AK35" s="106">
        <f>+SUMIF('Raw Data - Packing'!$A:$A,AK$4,'Raw Data - Packing'!$S:$S)</f>
        <v>0</v>
      </c>
      <c r="AL35" s="106">
        <f>+SUMIF('Raw Data - Packing'!$A:$A,AL$4,'Raw Data - Packing'!$S:$S)</f>
        <v>0</v>
      </c>
      <c r="AM35" s="106">
        <f>+SUMIF('Raw Data - Packing'!$A:$A,AM$4,'Raw Data - Packing'!$S:$S)</f>
        <v>0</v>
      </c>
      <c r="AN35" s="106">
        <f>+SUMIF('Raw Data - Packing'!$A:$A,AN$4,'Raw Data - Packing'!$S:$S)</f>
        <v>0</v>
      </c>
      <c r="AO35" s="106">
        <f>+SUMIF('Raw Data - Packing'!$A:$A,AO$4,'Raw Data - Packing'!$S:$S)</f>
        <v>0</v>
      </c>
      <c r="AP35" s="106">
        <f>+SUMIF('Raw Data - Packing'!$A:$A,AP$4,'Raw Data - Packing'!$S:$S)</f>
        <v>0</v>
      </c>
      <c r="AQ35" s="106">
        <f>+SUMIF('Raw Data - Packing'!$A:$A,AQ$4,'Raw Data - Packing'!$S:$S)</f>
        <v>0</v>
      </c>
      <c r="AR35" s="106">
        <f>+SUMIF('Raw Data - Packing'!$A:$A,AR$4,'Raw Data - Packing'!$S:$S)</f>
        <v>0</v>
      </c>
      <c r="AS35" s="106">
        <f>+SUMIF('Raw Data - Packing'!$A:$A,AS$4,'Raw Data - Packing'!$S:$S)</f>
        <v>0</v>
      </c>
      <c r="AT35" s="106">
        <f>+SUMIF('Raw Data - Packing'!$A:$A,AT$4,'Raw Data - Packing'!$S:$S)</f>
        <v>0</v>
      </c>
      <c r="AU35" s="106">
        <f>+SUMIF('Raw Data - Packing'!$A:$A,AU$4,'Raw Data - Packing'!$S:$S)</f>
        <v>0</v>
      </c>
      <c r="AV35" s="106">
        <f>+SUMIF('Raw Data - Packing'!$A:$A,AV$4,'Raw Data - Packing'!$S:$S)</f>
        <v>0</v>
      </c>
      <c r="AW35" s="106">
        <f>+SUMIF('Raw Data - Packing'!$A:$A,AW$4,'Raw Data - Packing'!$S:$S)</f>
        <v>0</v>
      </c>
      <c r="AX35" s="106">
        <f>+SUMIF('Raw Data - Packing'!$A:$A,AX$4,'Raw Data - Packing'!$S:$S)</f>
        <v>0</v>
      </c>
      <c r="AY35" s="106">
        <f>+SUMIF('Raw Data - Packing'!$A:$A,AY$4,'Raw Data - Packing'!$S:$S)</f>
        <v>0</v>
      </c>
      <c r="AZ35" s="106">
        <f>+SUMIF('Raw Data - Packing'!$A:$A,AZ$4,'Raw Data - Packing'!$S:$S)</f>
        <v>0</v>
      </c>
      <c r="BA35" s="106">
        <f>+SUMIF('Raw Data - Packing'!$A:$A,BA$4,'Raw Data - Packing'!$S:$S)</f>
        <v>0</v>
      </c>
      <c r="BB35" s="106">
        <f>+SUMIF('Raw Data - Packing'!$A:$A,BB$4,'Raw Data - Packing'!$S:$S)</f>
        <v>0</v>
      </c>
      <c r="BC35" s="106">
        <f>+SUMIF('Raw Data - Packing'!$A:$A,BC$4,'Raw Data - Packing'!$S:$S)</f>
        <v>0</v>
      </c>
      <c r="BD35" s="106">
        <f>+SUMIF('Raw Data - Packing'!$A:$A,BD$4,'Raw Data - Packing'!$S:$S)</f>
        <v>0</v>
      </c>
      <c r="BE35" s="106">
        <f>+SUMIF('Raw Data - Packing'!$A:$A,BE$4,'Raw Data - Packing'!$S:$S)</f>
        <v>0</v>
      </c>
      <c r="BF35" s="106">
        <f>+SUMIF('Raw Data - Packing'!$A:$A,BF$4,'Raw Data - Packing'!$S:$S)</f>
        <v>0</v>
      </c>
      <c r="BG35" s="106">
        <f>+SUMIF('Raw Data - Packing'!$A:$A,BG$4,'Raw Data - Packing'!$S:$S)</f>
        <v>0</v>
      </c>
      <c r="BH35" s="106">
        <f>+SUMIF('Raw Data - Packing'!$A:$A,BH$4,'Raw Data - Packing'!$S:$S)</f>
        <v>0</v>
      </c>
      <c r="BI35" s="106">
        <f>+SUMIF('Raw Data - Packing'!$A:$A,BI$4,'Raw Data - Packing'!$S:$S)</f>
        <v>0</v>
      </c>
      <c r="BJ35" s="106">
        <f>+SUMIF('Raw Data - Packing'!$A:$A,BJ$4,'Raw Data - Packing'!$S:$S)</f>
        <v>0</v>
      </c>
      <c r="BK35" s="106">
        <f>+SUMIF('Raw Data - Packing'!$A:$A,BK$4,'Raw Data - Packing'!$S:$S)</f>
        <v>0</v>
      </c>
      <c r="BL35" s="106">
        <f>+SUMIF('Raw Data - Packing'!$A:$A,BL$4,'Raw Data - Packing'!$S:$S)</f>
        <v>0</v>
      </c>
      <c r="BM35" s="106">
        <f>+SUMIF('Raw Data - Packing'!$A:$A,BM$4,'Raw Data - Packing'!$S:$S)</f>
        <v>0</v>
      </c>
      <c r="BN35" s="106">
        <f>+SUMIF('Raw Data - Packing'!$A:$A,BN$4,'Raw Data - Packing'!$S:$S)</f>
        <v>332.8</v>
      </c>
      <c r="BO35" s="106">
        <f>+SUMIF('Raw Data - Packing'!$A:$A,BO$4,'Raw Data - Packing'!$S:$S)</f>
        <v>0</v>
      </c>
      <c r="BP35" s="106">
        <f>+SUMIF('Raw Data - Packing'!$A:$A,BP$4,'Raw Data - Packing'!$S:$S)</f>
        <v>0</v>
      </c>
      <c r="BQ35" s="106">
        <f>+SUMIF('Raw Data - Packing'!$A:$A,BQ$4,'Raw Data - Packing'!$S:$S)</f>
        <v>0</v>
      </c>
      <c r="BR35" s="106">
        <f>+SUMIF('Raw Data - Packing'!$A:$A,BR$4,'Raw Data - Packing'!$S:$S)</f>
        <v>0</v>
      </c>
      <c r="BS35" s="106">
        <f>+SUMIF('Raw Data - Packing'!$A:$A,BS$4,'Raw Data - Packing'!$S:$S)</f>
        <v>608</v>
      </c>
      <c r="BT35" s="106">
        <f>+SUMIF('Raw Data - Packing'!$A:$A,BT$4,'Raw Data - Packing'!$S:$S)</f>
        <v>0</v>
      </c>
      <c r="BU35" s="106">
        <f>+SUMIF('Raw Data - Packing'!$A:$A,BU$4,'Raw Data - Packing'!$S:$S)</f>
        <v>0</v>
      </c>
      <c r="BV35" s="106">
        <f>+SUMIF('Raw Data - Packing'!$A:$A,BV$4,'Raw Data - Packing'!$S:$S)</f>
        <v>0</v>
      </c>
      <c r="BW35" s="106">
        <f>+SUMIF('Raw Data - Packing'!$A:$A,BW$4,'Raw Data - Packing'!$S:$S)</f>
        <v>0</v>
      </c>
      <c r="BX35" s="106">
        <f>+SUMIF('Raw Data - Packing'!$A:$A,BX$4,'Raw Data - Packing'!$S:$S)</f>
        <v>1894.4</v>
      </c>
      <c r="BY35" s="106">
        <f>+SUMIF('Raw Data - Packing'!$A:$A,BY$4,'Raw Data - Packing'!$S:$S)</f>
        <v>0</v>
      </c>
      <c r="BZ35" s="106">
        <f>+SUMIF('Raw Data - Packing'!$A:$A,BZ$4,'Raw Data - Packing'!$S:$S)</f>
        <v>0</v>
      </c>
      <c r="CA35" s="106">
        <f>+SUMIF('Raw Data - Packing'!$A:$A,CA$4,'Raw Data - Packing'!$S:$S)</f>
        <v>0</v>
      </c>
      <c r="CB35" s="106">
        <f>+SUMIF('Raw Data - Packing'!$A:$A,CB$4,'Raw Data - Packing'!$S:$S)</f>
        <v>0</v>
      </c>
      <c r="CC35" s="106">
        <f>+SUMIF('Raw Data - Packing'!$A:$A,CC$4,'Raw Data - Packing'!$S:$S)</f>
        <v>0</v>
      </c>
      <c r="CD35" s="106">
        <f>+SUMIF('Raw Data - Packing'!$A:$A,CD$4,'Raw Data - Packing'!$S:$S)</f>
        <v>0</v>
      </c>
      <c r="CE35" s="106">
        <f>+SUMIF('Raw Data - Packing'!$A:$A,CE$4,'Raw Data - Packing'!$S:$S)</f>
        <v>0</v>
      </c>
      <c r="CF35" s="106">
        <f>+SUMIF('Raw Data - Packing'!$A:$A,CF$4,'Raw Data - Packing'!$S:$S)</f>
        <v>0</v>
      </c>
      <c r="CG35" s="106">
        <f>+SUMIF('Raw Data - Packing'!$A:$A,CG$4,'Raw Data - Packing'!$S:$S)</f>
        <v>640</v>
      </c>
      <c r="CH35" s="106">
        <f>+SUMIF('Raw Data - Packing'!$A:$A,CH$4,'Raw Data - Packing'!$S:$S)</f>
        <v>0</v>
      </c>
      <c r="CI35" s="106">
        <f>+SUMIF('Raw Data - Packing'!$A:$A,CI$4,'Raw Data - Packing'!$S:$S)</f>
        <v>2534.4</v>
      </c>
      <c r="CJ35" s="106">
        <f>+SUMIF('Raw Data - Packing'!$A:$A,CJ$4,'Raw Data - Packing'!$S:$S)</f>
        <v>0</v>
      </c>
      <c r="CK35" s="106">
        <f>+SUMIF('Raw Data - Packing'!$A:$A,CK$4,'Raw Data - Packing'!$S:$S)</f>
        <v>0</v>
      </c>
      <c r="CL35" s="106">
        <f>+SUMIF('Raw Data - Packing'!$A:$A,CL$4,'Raw Data - Packing'!$S:$S)</f>
        <v>268.8</v>
      </c>
      <c r="CM35" s="106">
        <f>+SUMIF('Raw Data - Packing'!$A:$A,CM$4,'Raw Data - Packing'!$S:$S)</f>
        <v>0</v>
      </c>
      <c r="CN35" s="106">
        <f>+SUMIF('Raw Data - Packing'!$A:$A,CN$4,'Raw Data - Packing'!$S:$S)</f>
        <v>2760</v>
      </c>
      <c r="CO35" s="106">
        <f>+SUMIF('Raw Data - Packing'!$A:$A,CO$4,'Raw Data - Packing'!$S:$S)</f>
        <v>0</v>
      </c>
      <c r="CP35" s="106">
        <f>+SUMIF('Raw Data - Packing'!$A:$A,CP$4,'Raw Data - Packing'!$S:$S)</f>
        <v>1638.4</v>
      </c>
      <c r="CQ35" s="106">
        <f>+SUMIF('Raw Data - Packing'!$A:$A,CQ$4,'Raw Data - Packing'!$S:$S)</f>
        <v>1689.6</v>
      </c>
      <c r="CR35" s="106">
        <f>+SUMIF('Raw Data - Packing'!$A:$A,CR$4,'Raw Data - Packing'!$S:$S)</f>
        <v>857.6</v>
      </c>
      <c r="CS35" s="106">
        <f>+SUMIF('Raw Data - Packing'!$A:$A,CS$4,'Raw Data - Packing'!$S:$S)</f>
        <v>755.2</v>
      </c>
      <c r="CT35" s="106">
        <f>+SUMIF('Raw Data - Packing'!$A:$A,CT$4,'Raw Data - Packing'!$S:$S)</f>
        <v>0</v>
      </c>
      <c r="CU35" s="106">
        <f>+SUMIF('Raw Data - Packing'!$A:$A,CU$4,'Raw Data - Packing'!$S:$S)</f>
        <v>1536</v>
      </c>
      <c r="CV35" s="106">
        <f>+SUMIF('Raw Data - Packing'!$A:$A,CV$4,'Raw Data - Packing'!$S:$S)</f>
        <v>473.6</v>
      </c>
      <c r="CW35" s="106">
        <f>+SUMIF('Raw Data - Packing'!$A:$A,CW$4,'Raw Data - Packing'!$S:$S)</f>
        <v>0</v>
      </c>
      <c r="CX35" s="106">
        <f>+SUMIF('Raw Data - Packing'!$A:$A,CX$4,'Raw Data - Packing'!$S:$S)</f>
        <v>0</v>
      </c>
      <c r="CY35" s="106">
        <f>+SUMIF('Raw Data - Packing'!$A:$A,CY$4,'Raw Data - Packing'!$S:$S)</f>
        <v>0</v>
      </c>
      <c r="CZ35" s="106">
        <f>+SUMIF('Raw Data - Packing'!$A:$A,CZ$4,'Raw Data - Packing'!$S:$S)</f>
        <v>0</v>
      </c>
      <c r="DA35" s="106">
        <f>+SUMIF('Raw Data - Packing'!$A:$A,DA$4,'Raw Data - Packing'!$S:$S)</f>
        <v>0</v>
      </c>
      <c r="DB35" s="106">
        <f>+SUMIF('Raw Data - Packing'!$A:$A,DB$4,'Raw Data - Packing'!$S:$S)</f>
        <v>0</v>
      </c>
      <c r="DC35" s="106">
        <f>+SUMIF('Raw Data - Packing'!$A:$A,DC$4,'Raw Data - Packing'!$S:$S)</f>
        <v>0</v>
      </c>
      <c r="DD35" s="106">
        <f>+SUMIF('Raw Data - Packing'!$A:$A,DD$4,'Raw Data - Packing'!$S:$S)</f>
        <v>0</v>
      </c>
      <c r="DE35" s="106">
        <f>+SUMIF('Raw Data - Packing'!$A:$A,DE$4,'Raw Data - Packing'!$S:$S)</f>
        <v>0</v>
      </c>
      <c r="DF35" s="106">
        <f>+SUMIF('Raw Data - Packing'!$A:$A,DF$4,'Raw Data - Packing'!$S:$S)</f>
        <v>2483.1999999999998</v>
      </c>
      <c r="DG35" s="106">
        <f>+SUMIF('Raw Data - Packing'!$A:$A,DG$4,'Raw Data - Packing'!$S:$S)</f>
        <v>0</v>
      </c>
      <c r="DH35" s="106">
        <f>+SUMIF('Raw Data - Packing'!$A:$A,DH$4,'Raw Data - Packing'!$S:$S)</f>
        <v>0</v>
      </c>
      <c r="DI35" s="106">
        <f>+SUMIF('Raw Data - Packing'!$A:$A,DI$4,'Raw Data - Packing'!$S:$S)</f>
        <v>448</v>
      </c>
      <c r="DJ35" s="106">
        <f>+SUMIF('Raw Data - Packing'!$A:$A,DJ$4,'Raw Data - Packing'!$S:$S)</f>
        <v>652.79999999999995</v>
      </c>
      <c r="DK35" s="106">
        <f>+SUMIF('Raw Data - Packing'!$A:$A,DK$4,'Raw Data - Packing'!$S:$S)</f>
        <v>710.4</v>
      </c>
      <c r="DL35" s="106">
        <f>+SUMIF('Raw Data - Packing'!$A:$A,DL$4,'Raw Data - Packing'!$S:$S)</f>
        <v>0</v>
      </c>
      <c r="DM35" s="106">
        <f>+SUMIF('Raw Data - Packing'!$A:$A,DM$4,'Raw Data - Packing'!$S:$S)</f>
        <v>0</v>
      </c>
      <c r="DN35" s="106">
        <f>+SUMIF('Raw Data - Packing'!$A:$A,DN$4,'Raw Data - Packing'!$S:$S)</f>
        <v>0</v>
      </c>
      <c r="DO35" s="106">
        <f>+SUMIF('Raw Data - Packing'!$A:$A,DO$4,'Raw Data - Packing'!$S:$S)</f>
        <v>0</v>
      </c>
      <c r="DP35" s="106">
        <f>+SUMIF('Raw Data - Packing'!$A:$A,DP$4,'Raw Data - Packing'!$S:$S)</f>
        <v>0</v>
      </c>
      <c r="DQ35" s="106">
        <f>+SUMIF('Raw Data - Packing'!$A:$A,DQ$4,'Raw Data - Packing'!$S:$S)</f>
        <v>0</v>
      </c>
      <c r="DR35" s="106">
        <f>+SUMIF('Raw Data - Packing'!$A:$A,DR$4,'Raw Data - Packing'!$S:$S)</f>
        <v>0</v>
      </c>
      <c r="DS35" s="106">
        <f>+SUMIF('Raw Data - Packing'!$A:$A,DS$4,'Raw Data - Packing'!$S:$S)</f>
        <v>0</v>
      </c>
      <c r="DT35" s="106">
        <f>+SUMIF('Raw Data - Packing'!$A:$A,DT$4,'Raw Data - Packing'!$S:$S)</f>
        <v>0</v>
      </c>
      <c r="DU35" s="106">
        <f>+SUMIF('Raw Data - Packing'!$A:$A,DU$4,'Raw Data - Packing'!$S:$S)</f>
        <v>0</v>
      </c>
      <c r="DV35" s="106">
        <f>+SUMIF('Raw Data - Packing'!$A:$A,DV$4,'Raw Data - Packing'!$S:$S)</f>
        <v>0</v>
      </c>
      <c r="DW35" s="106">
        <f>+SUMIF('Raw Data - Packing'!$A:$A,DW$4,'Raw Data - Packing'!$S:$S)</f>
        <v>0</v>
      </c>
      <c r="DX35" s="106">
        <f>+SUMIF('Raw Data - Packing'!$A:$A,DX$4,'Raw Data - Packing'!$S:$S)</f>
        <v>0</v>
      </c>
      <c r="DY35" s="106">
        <f>+SUMIF('Raw Data - Packing'!$A:$A,DY$4,'Raw Data - Packing'!$S:$S)</f>
        <v>0</v>
      </c>
      <c r="DZ35" s="106">
        <f>+SUMIF('Raw Data - Packing'!$A:$A,DZ$4,'Raw Data - Packing'!$S:$S)</f>
        <v>0</v>
      </c>
      <c r="EA35" s="106">
        <f>+SUMIF('Raw Data - Packing'!$A:$A,EA$4,'Raw Data - Packing'!$S:$S)</f>
        <v>0</v>
      </c>
      <c r="EB35" s="106">
        <f>+SUMIF('Raw Data - Packing'!$A:$A,EB$4,'Raw Data - Packing'!$S:$S)</f>
        <v>0</v>
      </c>
      <c r="EC35" s="106">
        <f>+SUMIF('Raw Data - Packing'!$A:$A,EC$4,'Raw Data - Packing'!$S:$S)</f>
        <v>0</v>
      </c>
      <c r="ED35" s="106">
        <f>+SUMIF('Raw Data - Packing'!$A:$A,ED$4,'Raw Data - Packing'!$S:$S)</f>
        <v>0</v>
      </c>
      <c r="EE35" s="106">
        <f>+SUMIF('Raw Data - Packing'!$A:$A,EE$4,'Raw Data - Packing'!$S:$S)</f>
        <v>0</v>
      </c>
      <c r="EF35" s="106">
        <f>+SUMIF('Raw Data - Packing'!$A:$A,EF$4,'Raw Data - Packing'!$S:$S)</f>
        <v>0</v>
      </c>
      <c r="EG35" s="106">
        <f>+SUMIF('Raw Data - Packing'!$A:$A,EG$4,'Raw Data - Packing'!$S:$S)</f>
        <v>0</v>
      </c>
      <c r="EH35" s="106">
        <f>+SUMIF('Raw Data - Packing'!$A:$A,EH$4,'Raw Data - Packing'!$S:$S)</f>
        <v>0</v>
      </c>
      <c r="EI35" s="106">
        <f>+SUMIF('Raw Data - Packing'!$A:$A,EI$4,'Raw Data - Packing'!$S:$S)</f>
        <v>0</v>
      </c>
      <c r="EJ35" s="106">
        <f>+SUMIF('Raw Data - Packing'!$A:$A,EJ$4,'Raw Data - Packing'!$S:$S)</f>
        <v>0</v>
      </c>
      <c r="EK35" s="106">
        <f>+SUMIF('Raw Data - Packing'!$A:$A,EK$4,'Raw Data - Packing'!$S:$S)</f>
        <v>0</v>
      </c>
      <c r="EL35" s="106">
        <f>+SUMIF('Raw Data - Packing'!$A:$A,EL$4,'Raw Data - Packing'!$S:$S)</f>
        <v>0</v>
      </c>
      <c r="EM35" s="106">
        <f>+SUMIF('Raw Data - Packing'!$A:$A,EM$4,'Raw Data - Packing'!$S:$S)</f>
        <v>0</v>
      </c>
      <c r="EN35" s="106">
        <f>+SUMIF('Raw Data - Packing'!$A:$A,EN$4,'Raw Data - Packing'!$S:$S)</f>
        <v>0</v>
      </c>
      <c r="EO35" s="106">
        <f>+SUMIF('Raw Data - Packing'!$A:$A,EO$4,'Raw Data - Packing'!$S:$S)</f>
        <v>0</v>
      </c>
      <c r="EP35" s="106">
        <f>+SUMIF('Raw Data - Packing'!$A:$A,EP$4,'Raw Data - Packing'!$S:$S)</f>
        <v>0</v>
      </c>
      <c r="EQ35" s="106">
        <f>+SUMIF('Raw Data - Packing'!$A:$A,EQ$4,'Raw Data - Packing'!$S:$S)</f>
        <v>0</v>
      </c>
      <c r="ER35" s="106">
        <f>+SUMIF('Raw Data - Packing'!$A:$A,ER$4,'Raw Data - Packing'!$S:$S)</f>
        <v>0</v>
      </c>
      <c r="ES35" s="106">
        <f>+SUMIF('Raw Data - Packing'!$A:$A,ES$4,'Raw Data - Packing'!$S:$S)</f>
        <v>0</v>
      </c>
      <c r="ET35" s="106">
        <f>+SUMIF('Raw Data - Packing'!$A:$A,ET$4,'Raw Data - Packing'!$S:$S)</f>
        <v>0</v>
      </c>
      <c r="EU35" s="106">
        <f>+SUMIF('Raw Data - Packing'!$A:$A,EU$4,'Raw Data - Packing'!$S:$S)</f>
        <v>0</v>
      </c>
      <c r="EV35" s="106">
        <f>+SUMIF('Raw Data - Packing'!$A:$A,EV$4,'Raw Data - Packing'!$S:$S)</f>
        <v>0</v>
      </c>
      <c r="EW35" s="106">
        <f>+SUMIF('Raw Data - Packing'!$A:$A,EW$4,'Raw Data - Packing'!$S:$S)</f>
        <v>0</v>
      </c>
      <c r="EX35" s="106">
        <f>+SUMIF('Raw Data - Packing'!$A:$A,EX$4,'Raw Data - Packing'!$S:$S)</f>
        <v>0</v>
      </c>
      <c r="EY35" s="106">
        <f>+SUMIF('Raw Data - Packing'!$A:$A,EY$4,'Raw Data - Packing'!$S:$S)</f>
        <v>0</v>
      </c>
      <c r="EZ35" s="106">
        <f>+SUMIF('Raw Data - Packing'!$A:$A,EZ$4,'Raw Data - Packing'!$S:$S)</f>
        <v>0</v>
      </c>
      <c r="FA35" s="106">
        <f>+SUMIF('Raw Data - Packing'!$A:$A,FA$4,'Raw Data - Packing'!$S:$S)</f>
        <v>0</v>
      </c>
      <c r="FB35" s="106">
        <f>+SUMIF('Raw Data - Packing'!$A:$A,FB$4,'Raw Data - Packing'!$S:$S)</f>
        <v>0</v>
      </c>
      <c r="FC35" s="106">
        <f>+SUMIF('Raw Data - Packing'!$A:$A,FC$4,'Raw Data - Packing'!$S:$S)</f>
        <v>0</v>
      </c>
      <c r="FD35" s="106">
        <f>+SUMIF('Raw Data - Packing'!$A:$A,FD$4,'Raw Data - Packing'!$S:$S)</f>
        <v>0</v>
      </c>
      <c r="FE35" s="106">
        <f>+SUMIF('Raw Data - Packing'!$A:$A,FE$4,'Raw Data - Packing'!$S:$S)</f>
        <v>0</v>
      </c>
      <c r="FF35" s="106">
        <f>+SUMIF('Raw Data - Packing'!$A:$A,FF$4,'Raw Data - Packing'!$S:$S)</f>
        <v>0</v>
      </c>
      <c r="FG35" s="106">
        <f>+SUMIF('Raw Data - Packing'!$A:$A,FG$4,'Raw Data - Packing'!$S:$S)</f>
        <v>0</v>
      </c>
      <c r="FH35" s="106">
        <f>+SUMIF('Raw Data - Packing'!$A:$A,FH$4,'Raw Data - Packing'!$S:$S)</f>
        <v>0</v>
      </c>
      <c r="FI35" s="106">
        <f>+SUMIF('Raw Data - Packing'!$A:$A,FI$4,'Raw Data - Packing'!$S:$S)</f>
        <v>0</v>
      </c>
      <c r="FJ35" s="106">
        <f>+SUMIF('Raw Data - Packing'!$A:$A,FJ$4,'Raw Data - Packing'!$S:$S)</f>
        <v>0</v>
      </c>
      <c r="FK35" s="106">
        <f>+SUMIF('Raw Data - Packing'!$A:$A,FK$4,'Raw Data - Packing'!$S:$S)</f>
        <v>0</v>
      </c>
      <c r="FL35" s="106">
        <f>+SUMIF('Raw Data - Packing'!$A:$A,FL$4,'Raw Data - Packing'!$S:$S)</f>
        <v>0</v>
      </c>
      <c r="FM35" s="106">
        <f>+SUMIF('Raw Data - Packing'!$A:$A,FM$4,'Raw Data - Packing'!$S:$S)</f>
        <v>0</v>
      </c>
      <c r="FN35" s="106">
        <f>+SUMIF('Raw Data - Packing'!$A:$A,FN$4,'Raw Data - Packing'!$S:$S)</f>
        <v>0</v>
      </c>
      <c r="FO35" s="106">
        <f>+SUMIF('Raw Data - Packing'!$A:$A,FO$4,'Raw Data - Packing'!$S:$S)</f>
        <v>0</v>
      </c>
      <c r="FP35" s="106">
        <f>+SUMIF('Raw Data - Packing'!$A:$A,FP$4,'Raw Data - Packing'!$S:$S)</f>
        <v>0</v>
      </c>
      <c r="FQ35" s="106">
        <f>+SUMIF('Raw Data - Packing'!$A:$A,FQ$4,'Raw Data - Packing'!$S:$S)</f>
        <v>0</v>
      </c>
      <c r="FR35" s="106">
        <f>+SUMIF('Raw Data - Packing'!$A:$A,FR$4,'Raw Data - Packing'!$S:$S)</f>
        <v>0</v>
      </c>
      <c r="FS35" s="106">
        <f>+SUMIF('Raw Data - Packing'!$A:$A,FS$4,'Raw Data - Packing'!$S:$S)</f>
        <v>0</v>
      </c>
      <c r="FT35" s="106">
        <f>+SUMIF('Raw Data - Packing'!$A:$A,FT$4,'Raw Data - Packing'!$S:$S)</f>
        <v>0</v>
      </c>
      <c r="FU35" s="106">
        <f>+SUMIF('Raw Data - Packing'!$A:$A,FU$4,'Raw Data - Packing'!$S:$S)</f>
        <v>0</v>
      </c>
      <c r="FV35" s="106">
        <f>+SUMIF('Raw Data - Packing'!$A:$A,FV$4,'Raw Data - Packing'!$S:$S)</f>
        <v>0</v>
      </c>
      <c r="FW35" s="106">
        <f>+SUMIF('Raw Data - Packing'!$A:$A,FW$4,'Raw Data - Packing'!$S:$S)</f>
        <v>0</v>
      </c>
      <c r="FX35" s="106">
        <f>+SUMIF('Raw Data - Packing'!$A:$A,FX$4,'Raw Data - Packing'!$S:$S)</f>
        <v>0</v>
      </c>
      <c r="FY35" s="106">
        <f>+SUMIF('Raw Data - Packing'!$A:$A,FY$4,'Raw Data - Packing'!$S:$S)</f>
        <v>0</v>
      </c>
      <c r="FZ35" s="106">
        <f>+SUMIF('Raw Data - Packing'!$A:$A,FZ$4,'Raw Data - Packing'!$S:$S)</f>
        <v>0</v>
      </c>
      <c r="GA35" s="106">
        <f>+SUMIF('Raw Data - Packing'!$A:$A,GA$4,'Raw Data - Packing'!$S:$S)</f>
        <v>0</v>
      </c>
      <c r="GB35" s="106">
        <f>+SUMIF('Raw Data - Packing'!$A:$A,GB$4,'Raw Data - Packing'!$S:$S)</f>
        <v>0</v>
      </c>
      <c r="GC35" s="106">
        <f>+SUMIF('Raw Data - Packing'!$A:$A,GC$4,'Raw Data - Packing'!$S:$S)</f>
        <v>0</v>
      </c>
      <c r="GD35" s="106">
        <f>+SUMIF('Raw Data - Packing'!$A:$A,GD$4,'Raw Data - Packing'!$S:$S)</f>
        <v>0</v>
      </c>
      <c r="GE35" s="106">
        <f>+SUMIF('Raw Data - Packing'!$A:$A,GE$4,'Raw Data - Packing'!$S:$S)</f>
        <v>0</v>
      </c>
      <c r="GF35" s="106">
        <f>+SUMIF('Raw Data - Packing'!$A:$A,GF$4,'Raw Data - Packing'!$S:$S)</f>
        <v>0</v>
      </c>
      <c r="GG35" s="106">
        <f>+SUMIF('Raw Data - Packing'!$A:$A,GG$4,'Raw Data - Packing'!$S:$S)</f>
        <v>0</v>
      </c>
      <c r="GH35" s="106">
        <f>+SUMIF('Raw Data - Packing'!$A:$A,GH$4,'Raw Data - Packing'!$S:$S)</f>
        <v>0</v>
      </c>
      <c r="GI35" s="106">
        <f>+SUMIF('Raw Data - Packing'!$A:$A,GI$4,'Raw Data - Packing'!$S:$S)</f>
        <v>0</v>
      </c>
      <c r="GJ35" s="106">
        <f>+SUMIF('Raw Data - Packing'!$A:$A,GJ$4,'Raw Data - Packing'!$S:$S)</f>
        <v>0</v>
      </c>
      <c r="GK35" s="106">
        <f>+SUMIF('Raw Data - Packing'!$A:$A,GK$4,'Raw Data - Packing'!$S:$S)</f>
        <v>0</v>
      </c>
      <c r="GL35" s="106">
        <f>SUM(F35:GK35)</f>
        <v>20283.200000000004</v>
      </c>
      <c r="GM35" s="121">
        <f>+GL35/SUM($GL$34:$GL$35)</f>
        <v>0.1691507105210488</v>
      </c>
    </row>
    <row r="36" spans="1:195" x14ac:dyDescent="0.35">
      <c r="A36" s="31" t="s">
        <v>237</v>
      </c>
      <c r="B36" s="117" t="str">
        <f>IFERROR(SUM(B34:B35)/B25,"")</f>
        <v/>
      </c>
      <c r="C36" s="117" t="str">
        <f t="shared" ref="C36:BN36" si="137">IFERROR(SUM(C34:C35)/C25,"")</f>
        <v/>
      </c>
      <c r="D36" s="117" t="str">
        <f t="shared" si="137"/>
        <v/>
      </c>
      <c r="E36" s="117" t="str">
        <f t="shared" si="137"/>
        <v/>
      </c>
      <c r="F36" s="117" t="str">
        <f t="shared" si="137"/>
        <v/>
      </c>
      <c r="G36" s="117" t="str">
        <f t="shared" si="137"/>
        <v/>
      </c>
      <c r="H36" s="117" t="str">
        <f t="shared" si="137"/>
        <v/>
      </c>
      <c r="I36" s="117" t="str">
        <f t="shared" si="137"/>
        <v/>
      </c>
      <c r="J36" s="117" t="str">
        <f t="shared" si="137"/>
        <v/>
      </c>
      <c r="K36" s="117" t="str">
        <f t="shared" si="137"/>
        <v/>
      </c>
      <c r="L36" s="117" t="str">
        <f t="shared" si="137"/>
        <v/>
      </c>
      <c r="M36" s="117" t="str">
        <f t="shared" si="137"/>
        <v/>
      </c>
      <c r="N36" s="117" t="str">
        <f t="shared" si="137"/>
        <v/>
      </c>
      <c r="O36" s="117" t="str">
        <f t="shared" si="137"/>
        <v/>
      </c>
      <c r="P36" s="117" t="str">
        <f t="shared" si="137"/>
        <v/>
      </c>
      <c r="Q36" s="117" t="str">
        <f t="shared" si="137"/>
        <v/>
      </c>
      <c r="R36" s="117" t="str">
        <f t="shared" si="137"/>
        <v/>
      </c>
      <c r="S36" s="117" t="str">
        <f t="shared" si="137"/>
        <v/>
      </c>
      <c r="T36" s="117" t="str">
        <f t="shared" si="137"/>
        <v/>
      </c>
      <c r="U36" s="117" t="str">
        <f t="shared" si="137"/>
        <v/>
      </c>
      <c r="V36" s="117" t="str">
        <f t="shared" si="137"/>
        <v/>
      </c>
      <c r="W36" s="117" t="str">
        <f t="shared" si="137"/>
        <v/>
      </c>
      <c r="X36" s="117" t="str">
        <f t="shared" si="137"/>
        <v/>
      </c>
      <c r="Y36" s="117" t="str">
        <f t="shared" si="137"/>
        <v/>
      </c>
      <c r="Z36" s="117" t="str">
        <f t="shared" si="137"/>
        <v/>
      </c>
      <c r="AA36" s="117" t="str">
        <f t="shared" si="137"/>
        <v/>
      </c>
      <c r="AB36" s="117" t="str">
        <f t="shared" si="137"/>
        <v/>
      </c>
      <c r="AC36" s="117" t="str">
        <f t="shared" si="137"/>
        <v/>
      </c>
      <c r="AD36" s="117" t="str">
        <f t="shared" si="137"/>
        <v/>
      </c>
      <c r="AE36" s="117" t="str">
        <f t="shared" si="137"/>
        <v/>
      </c>
      <c r="AF36" s="117" t="str">
        <f t="shared" si="137"/>
        <v/>
      </c>
      <c r="AG36" s="117" t="str">
        <f t="shared" si="137"/>
        <v/>
      </c>
      <c r="AH36" s="117">
        <f t="shared" si="137"/>
        <v>1</v>
      </c>
      <c r="AI36" s="117" t="str">
        <f t="shared" si="137"/>
        <v/>
      </c>
      <c r="AJ36" s="117" t="str">
        <f t="shared" si="137"/>
        <v/>
      </c>
      <c r="AK36" s="117">
        <f t="shared" si="137"/>
        <v>7.7669902912621352E-2</v>
      </c>
      <c r="AL36" s="117">
        <f t="shared" si="137"/>
        <v>3.0016201927176599E-2</v>
      </c>
      <c r="AM36" s="117" t="str">
        <f t="shared" si="137"/>
        <v/>
      </c>
      <c r="AN36" s="117" t="str">
        <f t="shared" si="137"/>
        <v/>
      </c>
      <c r="AO36" s="117">
        <f t="shared" si="137"/>
        <v>9.240297118106347E-2</v>
      </c>
      <c r="AP36" s="117">
        <f t="shared" si="137"/>
        <v>0</v>
      </c>
      <c r="AQ36" s="117">
        <f t="shared" si="137"/>
        <v>9.0948371052454707E-2</v>
      </c>
      <c r="AR36" s="117">
        <f t="shared" si="137"/>
        <v>0.28612286062649583</v>
      </c>
      <c r="AS36" s="117" t="str">
        <f t="shared" si="137"/>
        <v/>
      </c>
      <c r="AT36" s="117" t="str">
        <f t="shared" si="137"/>
        <v/>
      </c>
      <c r="AU36" s="117" t="str">
        <f t="shared" si="137"/>
        <v/>
      </c>
      <c r="AV36" s="117">
        <f t="shared" si="137"/>
        <v>7.6993518036377995E-2</v>
      </c>
      <c r="AW36" s="117" t="str">
        <f t="shared" si="137"/>
        <v/>
      </c>
      <c r="AX36" s="117" t="str">
        <f t="shared" si="137"/>
        <v/>
      </c>
      <c r="AY36" s="117" t="str">
        <f t="shared" si="137"/>
        <v/>
      </c>
      <c r="AZ36" s="117">
        <f t="shared" si="137"/>
        <v>1</v>
      </c>
      <c r="BA36" s="117">
        <f t="shared" si="137"/>
        <v>8.2622642985681879E-2</v>
      </c>
      <c r="BB36" s="117" t="str">
        <f t="shared" si="137"/>
        <v/>
      </c>
      <c r="BC36" s="117" t="str">
        <f t="shared" si="137"/>
        <v/>
      </c>
      <c r="BD36" s="117">
        <f t="shared" si="137"/>
        <v>2.723476688209793E-2</v>
      </c>
      <c r="BE36" s="117">
        <f t="shared" si="137"/>
        <v>3.6414360179135165E-2</v>
      </c>
      <c r="BF36" s="117">
        <f t="shared" si="137"/>
        <v>7.2593391472507859E-2</v>
      </c>
      <c r="BG36" s="117" t="str">
        <f t="shared" si="137"/>
        <v/>
      </c>
      <c r="BH36" s="117" t="str">
        <f t="shared" si="137"/>
        <v/>
      </c>
      <c r="BI36" s="117" t="str">
        <f t="shared" si="137"/>
        <v/>
      </c>
      <c r="BJ36" s="117">
        <f t="shared" si="137"/>
        <v>6.0150375939849621E-2</v>
      </c>
      <c r="BK36" s="117">
        <f t="shared" si="137"/>
        <v>2.283161682590892E-2</v>
      </c>
      <c r="BL36" s="117" t="str">
        <f t="shared" si="137"/>
        <v/>
      </c>
      <c r="BM36" s="117">
        <f t="shared" si="137"/>
        <v>0.1768165884380013</v>
      </c>
      <c r="BN36" s="117">
        <f t="shared" si="137"/>
        <v>0.26966580153160946</v>
      </c>
      <c r="BO36" s="117">
        <f t="shared" ref="BO36:DZ36" si="138">IFERROR(SUM(BO34:BO35)/BO25,"")</f>
        <v>0.17470365807027236</v>
      </c>
      <c r="BP36" s="117">
        <f t="shared" si="138"/>
        <v>0.28267293698960949</v>
      </c>
      <c r="BQ36" s="117" t="str">
        <f t="shared" si="138"/>
        <v/>
      </c>
      <c r="BR36" s="117">
        <f t="shared" si="138"/>
        <v>7.102838728656051E-2</v>
      </c>
      <c r="BS36" s="117">
        <f t="shared" si="138"/>
        <v>0.20098409088493788</v>
      </c>
      <c r="BT36" s="117">
        <f t="shared" si="138"/>
        <v>8.0753775046973786E-2</v>
      </c>
      <c r="BU36" s="117" t="str">
        <f t="shared" si="138"/>
        <v/>
      </c>
      <c r="BV36" s="117">
        <f t="shared" si="138"/>
        <v>0.22102839600920951</v>
      </c>
      <c r="BW36" s="117">
        <f t="shared" si="138"/>
        <v>5.6964727299088982E-2</v>
      </c>
      <c r="BX36" s="117">
        <f t="shared" si="138"/>
        <v>0.13407047808148062</v>
      </c>
      <c r="BY36" s="117">
        <f t="shared" si="138"/>
        <v>4.0846450738648052E-2</v>
      </c>
      <c r="BZ36" s="117" t="str">
        <f t="shared" si="138"/>
        <v/>
      </c>
      <c r="CA36" s="117" t="str">
        <f t="shared" si="138"/>
        <v/>
      </c>
      <c r="CB36" s="117" t="str">
        <f t="shared" si="138"/>
        <v/>
      </c>
      <c r="CC36" s="117" t="str">
        <f t="shared" si="138"/>
        <v/>
      </c>
      <c r="CD36" s="117" t="str">
        <f t="shared" si="138"/>
        <v/>
      </c>
      <c r="CE36" s="117" t="str">
        <f t="shared" si="138"/>
        <v/>
      </c>
      <c r="CF36" s="117" t="str">
        <f t="shared" si="138"/>
        <v/>
      </c>
      <c r="CG36" s="117">
        <f t="shared" si="138"/>
        <v>0.11172020947539277</v>
      </c>
      <c r="CH36" s="117">
        <f t="shared" si="138"/>
        <v>0.12101873190332685</v>
      </c>
      <c r="CI36" s="117">
        <f t="shared" si="138"/>
        <v>0.16172663647228483</v>
      </c>
      <c r="CJ36" s="117" t="str">
        <f t="shared" si="138"/>
        <v/>
      </c>
      <c r="CK36" s="117">
        <f t="shared" si="138"/>
        <v>4.4090243452531083E-2</v>
      </c>
      <c r="CL36" s="117">
        <f t="shared" si="138"/>
        <v>3.2443677827958969E-2</v>
      </c>
      <c r="CM36" s="117">
        <f t="shared" si="138"/>
        <v>0.17368870721860186</v>
      </c>
      <c r="CN36" s="117" t="str">
        <f t="shared" si="138"/>
        <v/>
      </c>
      <c r="CO36" s="117" t="str">
        <f t="shared" si="138"/>
        <v/>
      </c>
      <c r="CP36" s="117">
        <f t="shared" si="138"/>
        <v>0.13191573302844997</v>
      </c>
      <c r="CQ36" s="117">
        <f t="shared" si="138"/>
        <v>9.0092413496668813E-2</v>
      </c>
      <c r="CR36" s="117">
        <f t="shared" si="138"/>
        <v>0.16455709432976223</v>
      </c>
      <c r="CS36" s="117">
        <f t="shared" si="138"/>
        <v>0.10115293834422773</v>
      </c>
      <c r="CT36" s="117" t="str">
        <f t="shared" si="138"/>
        <v/>
      </c>
      <c r="CU36" s="117">
        <f t="shared" si="138"/>
        <v>0.13061727444260465</v>
      </c>
      <c r="CV36" s="117">
        <f t="shared" si="138"/>
        <v>0.12133315152128302</v>
      </c>
      <c r="CW36" s="117">
        <f t="shared" si="138"/>
        <v>2.8955393947518348E-2</v>
      </c>
      <c r="CX36" s="117" t="str">
        <f t="shared" si="138"/>
        <v/>
      </c>
      <c r="CY36" s="117" t="str">
        <f t="shared" si="138"/>
        <v/>
      </c>
      <c r="CZ36" s="117">
        <f t="shared" si="138"/>
        <v>2.105955906548207E-2</v>
      </c>
      <c r="DA36" s="117">
        <f t="shared" si="138"/>
        <v>3.0096402539383962E-2</v>
      </c>
      <c r="DB36" s="117" t="str">
        <f t="shared" si="138"/>
        <v/>
      </c>
      <c r="DC36" s="117" t="str">
        <f t="shared" si="138"/>
        <v/>
      </c>
      <c r="DD36" s="117" t="str">
        <f t="shared" si="138"/>
        <v/>
      </c>
      <c r="DE36" s="117">
        <f t="shared" si="138"/>
        <v>8.0127263985647304E-2</v>
      </c>
      <c r="DF36" s="117">
        <f t="shared" si="138"/>
        <v>6.6476154902949003E-2</v>
      </c>
      <c r="DG36" s="117">
        <f t="shared" si="138"/>
        <v>3.1137804918967893E-2</v>
      </c>
      <c r="DH36" s="117">
        <f t="shared" si="138"/>
        <v>3.0217936929996768E-2</v>
      </c>
      <c r="DI36" s="117" t="str">
        <f t="shared" si="138"/>
        <v/>
      </c>
      <c r="DJ36" s="117">
        <f t="shared" si="138"/>
        <v>5.0230248668562051E-2</v>
      </c>
      <c r="DK36" s="117">
        <f t="shared" si="138"/>
        <v>0.33463200658899306</v>
      </c>
      <c r="DL36" s="117">
        <f t="shared" si="138"/>
        <v>0</v>
      </c>
      <c r="DM36" s="117" t="str">
        <f t="shared" si="138"/>
        <v/>
      </c>
      <c r="DN36" s="117" t="str">
        <f t="shared" si="138"/>
        <v/>
      </c>
      <c r="DO36" s="117" t="str">
        <f t="shared" si="138"/>
        <v/>
      </c>
      <c r="DP36" s="117" t="str">
        <f t="shared" si="138"/>
        <v/>
      </c>
      <c r="DQ36" s="117" t="str">
        <f t="shared" si="138"/>
        <v/>
      </c>
      <c r="DR36" s="117" t="str">
        <f t="shared" si="138"/>
        <v/>
      </c>
      <c r="DS36" s="117" t="str">
        <f t="shared" si="138"/>
        <v/>
      </c>
      <c r="DT36" s="117" t="str">
        <f t="shared" si="138"/>
        <v/>
      </c>
      <c r="DU36" s="117" t="str">
        <f t="shared" si="138"/>
        <v/>
      </c>
      <c r="DV36" s="117" t="str">
        <f t="shared" si="138"/>
        <v/>
      </c>
      <c r="DW36" s="117" t="str">
        <f t="shared" si="138"/>
        <v/>
      </c>
      <c r="DX36" s="117" t="str">
        <f t="shared" si="138"/>
        <v/>
      </c>
      <c r="DY36" s="117" t="str">
        <f t="shared" si="138"/>
        <v/>
      </c>
      <c r="DZ36" s="117" t="str">
        <f t="shared" si="138"/>
        <v/>
      </c>
      <c r="EA36" s="117" t="str">
        <f t="shared" ref="EA36:GL36" si="139">IFERROR(SUM(EA34:EA35)/EA25,"")</f>
        <v/>
      </c>
      <c r="EB36" s="117" t="str">
        <f t="shared" si="139"/>
        <v/>
      </c>
      <c r="EC36" s="117" t="str">
        <f t="shared" si="139"/>
        <v/>
      </c>
      <c r="ED36" s="117" t="str">
        <f t="shared" si="139"/>
        <v/>
      </c>
      <c r="EE36" s="117" t="str">
        <f t="shared" si="139"/>
        <v/>
      </c>
      <c r="EF36" s="117" t="str">
        <f t="shared" si="139"/>
        <v/>
      </c>
      <c r="EG36" s="117" t="str">
        <f t="shared" si="139"/>
        <v/>
      </c>
      <c r="EH36" s="117" t="str">
        <f t="shared" si="139"/>
        <v/>
      </c>
      <c r="EI36" s="117" t="str">
        <f t="shared" si="139"/>
        <v/>
      </c>
      <c r="EJ36" s="117" t="str">
        <f t="shared" si="139"/>
        <v/>
      </c>
      <c r="EK36" s="117" t="str">
        <f t="shared" si="139"/>
        <v/>
      </c>
      <c r="EL36" s="117" t="str">
        <f t="shared" si="139"/>
        <v/>
      </c>
      <c r="EM36" s="117" t="str">
        <f t="shared" si="139"/>
        <v/>
      </c>
      <c r="EN36" s="117" t="str">
        <f t="shared" si="139"/>
        <v/>
      </c>
      <c r="EO36" s="117" t="str">
        <f t="shared" si="139"/>
        <v/>
      </c>
      <c r="EP36" s="117" t="str">
        <f t="shared" si="139"/>
        <v/>
      </c>
      <c r="EQ36" s="117" t="str">
        <f t="shared" si="139"/>
        <v/>
      </c>
      <c r="ER36" s="117" t="str">
        <f t="shared" si="139"/>
        <v/>
      </c>
      <c r="ES36" s="117" t="str">
        <f t="shared" si="139"/>
        <v/>
      </c>
      <c r="ET36" s="117" t="str">
        <f t="shared" si="139"/>
        <v/>
      </c>
      <c r="EU36" s="117" t="str">
        <f t="shared" si="139"/>
        <v/>
      </c>
      <c r="EV36" s="117" t="str">
        <f t="shared" si="139"/>
        <v/>
      </c>
      <c r="EW36" s="117" t="str">
        <f t="shared" si="139"/>
        <v/>
      </c>
      <c r="EX36" s="117" t="str">
        <f t="shared" si="139"/>
        <v/>
      </c>
      <c r="EY36" s="117" t="str">
        <f t="shared" si="139"/>
        <v/>
      </c>
      <c r="EZ36" s="117" t="str">
        <f t="shared" si="139"/>
        <v/>
      </c>
      <c r="FA36" s="117" t="str">
        <f t="shared" si="139"/>
        <v/>
      </c>
      <c r="FB36" s="117" t="str">
        <f t="shared" si="139"/>
        <v/>
      </c>
      <c r="FC36" s="117" t="str">
        <f t="shared" si="139"/>
        <v/>
      </c>
      <c r="FD36" s="117" t="str">
        <f t="shared" si="139"/>
        <v/>
      </c>
      <c r="FE36" s="117" t="str">
        <f t="shared" si="139"/>
        <v/>
      </c>
      <c r="FF36" s="117" t="str">
        <f t="shared" si="139"/>
        <v/>
      </c>
      <c r="FG36" s="117" t="str">
        <f t="shared" si="139"/>
        <v/>
      </c>
      <c r="FH36" s="117" t="str">
        <f t="shared" si="139"/>
        <v/>
      </c>
      <c r="FI36" s="117" t="str">
        <f t="shared" si="139"/>
        <v/>
      </c>
      <c r="FJ36" s="117" t="str">
        <f t="shared" si="139"/>
        <v/>
      </c>
      <c r="FK36" s="117" t="str">
        <f t="shared" si="139"/>
        <v/>
      </c>
      <c r="FL36" s="117" t="str">
        <f t="shared" si="139"/>
        <v/>
      </c>
      <c r="FM36" s="117" t="str">
        <f t="shared" si="139"/>
        <v/>
      </c>
      <c r="FN36" s="117" t="str">
        <f t="shared" si="139"/>
        <v/>
      </c>
      <c r="FO36" s="117" t="str">
        <f t="shared" si="139"/>
        <v/>
      </c>
      <c r="FP36" s="117" t="str">
        <f t="shared" si="139"/>
        <v/>
      </c>
      <c r="FQ36" s="117" t="str">
        <f t="shared" si="139"/>
        <v/>
      </c>
      <c r="FR36" s="117" t="str">
        <f t="shared" si="139"/>
        <v/>
      </c>
      <c r="FS36" s="117" t="str">
        <f t="shared" si="139"/>
        <v/>
      </c>
      <c r="FT36" s="117" t="str">
        <f t="shared" si="139"/>
        <v/>
      </c>
      <c r="FU36" s="117" t="str">
        <f t="shared" si="139"/>
        <v/>
      </c>
      <c r="FV36" s="117" t="str">
        <f t="shared" si="139"/>
        <v/>
      </c>
      <c r="FW36" s="117" t="str">
        <f t="shared" si="139"/>
        <v/>
      </c>
      <c r="FX36" s="117" t="str">
        <f t="shared" si="139"/>
        <v/>
      </c>
      <c r="FY36" s="117" t="str">
        <f t="shared" si="139"/>
        <v/>
      </c>
      <c r="FZ36" s="117" t="str">
        <f t="shared" si="139"/>
        <v/>
      </c>
      <c r="GA36" s="117" t="str">
        <f t="shared" si="139"/>
        <v/>
      </c>
      <c r="GB36" s="117" t="str">
        <f t="shared" si="139"/>
        <v/>
      </c>
      <c r="GC36" s="117" t="str">
        <f t="shared" si="139"/>
        <v/>
      </c>
      <c r="GD36" s="117" t="str">
        <f t="shared" si="139"/>
        <v/>
      </c>
      <c r="GE36" s="117" t="str">
        <f t="shared" si="139"/>
        <v/>
      </c>
      <c r="GF36" s="117" t="str">
        <f t="shared" si="139"/>
        <v/>
      </c>
      <c r="GG36" s="117" t="str">
        <f t="shared" si="139"/>
        <v/>
      </c>
      <c r="GH36" s="117" t="str">
        <f t="shared" si="139"/>
        <v/>
      </c>
      <c r="GI36" s="117" t="str">
        <f t="shared" si="139"/>
        <v/>
      </c>
      <c r="GJ36" s="117" t="str">
        <f t="shared" si="139"/>
        <v/>
      </c>
      <c r="GK36" s="117" t="str">
        <f t="shared" si="139"/>
        <v/>
      </c>
      <c r="GL36" s="117">
        <f t="shared" si="139"/>
        <v>0.10829617403250802</v>
      </c>
    </row>
    <row r="38" spans="1:195" x14ac:dyDescent="0.35">
      <c r="A38" s="3" t="s">
        <v>238</v>
      </c>
      <c r="DL38" s="11">
        <f>SUMIF('Daily Summary Old'!$A:$A,DL4,'Daily Summary Old'!$L:$L)</f>
        <v>187118.12345679011</v>
      </c>
      <c r="DM38" s="11">
        <f>+DL38+DM9-DM10-DM18-DM19</f>
        <v>115441.17283950617</v>
      </c>
      <c r="DN38" s="11">
        <f>+DM38+DN9-DN10-DN18-DN19</f>
        <v>115441.17283950617</v>
      </c>
      <c r="DO38" s="11">
        <f>+DN38+DO9-DO10-DO18-DO19</f>
        <v>20848.580246913574</v>
      </c>
    </row>
    <row r="39" spans="1:195" x14ac:dyDescent="0.35">
      <c r="A39" s="3" t="s">
        <v>239</v>
      </c>
      <c r="DL39" s="11">
        <f>SUMIF('Daily Summary Old'!$A:$A,DL4,'Daily Summary Old'!$M:$M)</f>
        <v>42482.5</v>
      </c>
      <c r="DM39" s="11">
        <f>+DL39-DM25-DM26-DM34-DM35</f>
        <v>34922.5</v>
      </c>
      <c r="DN39" s="11">
        <f>+DM39-DN25-DN26-DN34-DN35</f>
        <v>34922.5</v>
      </c>
      <c r="DO39" s="11">
        <f>+DN39-DO25-DO26-DO34-DO35</f>
        <v>34922.5</v>
      </c>
    </row>
  </sheetData>
  <phoneticPr fontId="6"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65893-0936-4659-9A1F-048E1250F79A}">
  <sheetPr>
    <tabColor rgb="FFFFFF00"/>
  </sheetPr>
  <dimension ref="A1:AG198"/>
  <sheetViews>
    <sheetView zoomScaleNormal="100" workbookViewId="0">
      <pane xSplit="1" ySplit="2" topLeftCell="C105" activePane="bottomRight" state="frozen"/>
      <selection pane="topRight" activeCell="B1" sqref="B1"/>
      <selection pane="bottomLeft" activeCell="A3" sqref="A3"/>
      <selection pane="bottomRight" activeCell="K112" sqref="K112:M112"/>
    </sheetView>
  </sheetViews>
  <sheetFormatPr defaultRowHeight="14.5" x14ac:dyDescent="0.35"/>
  <cols>
    <col min="1" max="1" width="10.08984375" bestFit="1" customWidth="1"/>
    <col min="2" max="2" width="7.1796875" bestFit="1" customWidth="1"/>
    <col min="3" max="3" width="9.6328125" bestFit="1" customWidth="1"/>
    <col min="4" max="4" width="10.1796875" style="11" bestFit="1" customWidth="1"/>
    <col min="5" max="5" width="7.6328125" style="11" bestFit="1" customWidth="1"/>
    <col min="6" max="6" width="7.6328125" style="11" customWidth="1"/>
    <col min="7" max="7" width="8.81640625" style="11" bestFit="1" customWidth="1"/>
    <col min="8" max="8" width="9.26953125" style="11" bestFit="1" customWidth="1"/>
    <col min="9" max="9" width="10.1796875" style="11" bestFit="1" customWidth="1"/>
    <col min="10" max="10" width="2.81640625" style="11" customWidth="1"/>
    <col min="11" max="14" width="8.7265625" style="11"/>
    <col min="15" max="15" width="8.81640625" style="11" bestFit="1" customWidth="1"/>
    <col min="16" max="16" width="9.1796875" style="11" bestFit="1" customWidth="1"/>
    <col min="17" max="18" width="8.7265625" style="11"/>
    <col min="32" max="33" width="10.1796875" style="11" bestFit="1" customWidth="1"/>
  </cols>
  <sheetData>
    <row r="1" spans="1:33" x14ac:dyDescent="0.35">
      <c r="D1" s="123" t="s">
        <v>21</v>
      </c>
      <c r="E1" s="123"/>
      <c r="F1" s="123"/>
      <c r="G1" s="123"/>
      <c r="H1" s="123"/>
      <c r="I1" s="123"/>
      <c r="J1"/>
      <c r="K1" s="123" t="s">
        <v>11</v>
      </c>
      <c r="L1" s="123"/>
      <c r="M1" s="123"/>
      <c r="N1" s="123"/>
      <c r="O1" s="123"/>
      <c r="P1" s="123"/>
      <c r="Q1" s="12" t="s">
        <v>223</v>
      </c>
      <c r="R1" s="12" t="s">
        <v>224</v>
      </c>
      <c r="S1" s="3" t="s">
        <v>235</v>
      </c>
      <c r="T1" s="3" t="s">
        <v>236</v>
      </c>
      <c r="U1" s="123" t="s">
        <v>13</v>
      </c>
      <c r="V1" s="123"/>
      <c r="W1" s="123"/>
      <c r="X1" s="123"/>
      <c r="Y1" s="123"/>
      <c r="Z1" s="123"/>
      <c r="AA1" s="123"/>
      <c r="AB1" s="123"/>
      <c r="AC1" s="123"/>
      <c r="AD1" s="123"/>
      <c r="AF1" s="124" t="s">
        <v>30</v>
      </c>
      <c r="AG1" s="124"/>
    </row>
    <row r="2" spans="1:33" x14ac:dyDescent="0.35">
      <c r="A2" s="3" t="s">
        <v>1</v>
      </c>
      <c r="B2" s="3" t="s">
        <v>31</v>
      </c>
      <c r="C2" s="3" t="s">
        <v>41</v>
      </c>
      <c r="D2" s="3" t="s">
        <v>2</v>
      </c>
      <c r="E2" s="3" t="s">
        <v>3</v>
      </c>
      <c r="F2" s="3" t="s">
        <v>222</v>
      </c>
      <c r="G2" s="3" t="s">
        <v>4</v>
      </c>
      <c r="H2" s="3" t="s">
        <v>5</v>
      </c>
      <c r="I2" s="3" t="s">
        <v>6</v>
      </c>
      <c r="J2"/>
      <c r="K2" s="3" t="s">
        <v>2</v>
      </c>
      <c r="L2" s="3" t="s">
        <v>3</v>
      </c>
      <c r="M2" s="3" t="s">
        <v>222</v>
      </c>
      <c r="N2" s="3" t="s">
        <v>4</v>
      </c>
      <c r="O2" s="3" t="s">
        <v>5</v>
      </c>
      <c r="P2" s="3" t="s">
        <v>6</v>
      </c>
      <c r="Q2" s="3"/>
      <c r="R2" s="3"/>
      <c r="U2" s="3" t="s">
        <v>2</v>
      </c>
      <c r="V2" s="3" t="s">
        <v>3</v>
      </c>
      <c r="W2" s="3" t="s">
        <v>222</v>
      </c>
      <c r="X2" s="3" t="s">
        <v>4</v>
      </c>
      <c r="Y2" s="3" t="s">
        <v>5</v>
      </c>
      <c r="Z2" s="3" t="s">
        <v>6</v>
      </c>
      <c r="AA2" s="3" t="s">
        <v>7</v>
      </c>
      <c r="AB2" s="3" t="s">
        <v>8</v>
      </c>
      <c r="AC2" s="3" t="s">
        <v>9</v>
      </c>
      <c r="AD2" s="3" t="s">
        <v>10</v>
      </c>
      <c r="AF2" s="17" t="s">
        <v>28</v>
      </c>
      <c r="AG2" s="17" t="s">
        <v>29</v>
      </c>
    </row>
    <row r="3" spans="1:33" x14ac:dyDescent="0.35">
      <c r="A3" s="2">
        <v>46104</v>
      </c>
      <c r="B3">
        <f t="shared" ref="B3:B6" si="0">+WEEKNUM(A3)</f>
        <v>13</v>
      </c>
      <c r="C3" t="str">
        <f>+TEXT(A3,"mmmm")</f>
        <v>March</v>
      </c>
      <c r="D3" s="11">
        <f>170*30</f>
        <v>5100</v>
      </c>
      <c r="E3" s="11">
        <f>+D3</f>
        <v>5100</v>
      </c>
      <c r="F3" s="3"/>
      <c r="G3" s="3"/>
      <c r="H3" s="3"/>
      <c r="I3" s="3"/>
      <c r="J3"/>
      <c r="K3" s="3"/>
      <c r="L3" s="3"/>
      <c r="M3" s="3"/>
      <c r="N3" s="3"/>
      <c r="O3" s="3"/>
      <c r="P3" s="3"/>
      <c r="Q3" s="11">
        <f>+SUM(K3:M3)/Weights!$B$2</f>
        <v>0</v>
      </c>
      <c r="R3" s="11">
        <f>+SUM(N3:O3)/Weights!$B$4</f>
        <v>0</v>
      </c>
      <c r="S3" s="121">
        <f>IFERROR(Q3/SUM(D3:F3),"")</f>
        <v>0</v>
      </c>
      <c r="T3" s="121"/>
      <c r="U3" s="3"/>
      <c r="V3" s="3"/>
      <c r="W3" s="3"/>
      <c r="X3" s="3"/>
      <c r="Y3" s="3"/>
      <c r="Z3" s="3"/>
      <c r="AA3" s="3"/>
      <c r="AB3" s="3"/>
      <c r="AC3" s="3"/>
      <c r="AD3" s="3"/>
      <c r="AF3" s="17"/>
      <c r="AG3" s="17"/>
    </row>
    <row r="4" spans="1:33" x14ac:dyDescent="0.35">
      <c r="A4" s="2">
        <v>46105</v>
      </c>
      <c r="B4">
        <f t="shared" si="0"/>
        <v>13</v>
      </c>
      <c r="C4" t="str">
        <f>+TEXT(A4,"mmmm")</f>
        <v>March</v>
      </c>
      <c r="D4" s="11">
        <f>389*30</f>
        <v>11670</v>
      </c>
      <c r="E4" s="11">
        <f t="shared" ref="E4:E6" si="1">+D4</f>
        <v>11670</v>
      </c>
      <c r="F4" s="3"/>
      <c r="G4" s="3"/>
      <c r="H4" s="3"/>
      <c r="I4" s="3"/>
      <c r="J4"/>
      <c r="K4" s="3"/>
      <c r="L4" s="3"/>
      <c r="M4" s="3"/>
      <c r="N4" s="3"/>
      <c r="O4" s="3"/>
      <c r="P4" s="3"/>
      <c r="Q4" s="11">
        <f>+SUM(K4:M4)/Weights!$B$2</f>
        <v>0</v>
      </c>
      <c r="R4" s="11">
        <f>+SUM(N4:O4)/Weights!$B$4</f>
        <v>0</v>
      </c>
      <c r="S4" s="121">
        <f t="shared" ref="S4:S67" si="2">IFERROR(Q4/SUM(D4:F4),"")</f>
        <v>0</v>
      </c>
      <c r="T4" s="121"/>
      <c r="U4" s="3"/>
      <c r="V4" s="3"/>
      <c r="W4" s="3"/>
      <c r="X4" s="3"/>
      <c r="Y4" s="3"/>
      <c r="Z4" s="3"/>
      <c r="AA4" s="3"/>
      <c r="AB4" s="3"/>
      <c r="AC4" s="3"/>
      <c r="AD4" s="3"/>
      <c r="AF4" s="17"/>
      <c r="AG4" s="17"/>
    </row>
    <row r="5" spans="1:33" x14ac:dyDescent="0.35">
      <c r="A5" s="2">
        <v>46106</v>
      </c>
      <c r="B5">
        <f t="shared" si="0"/>
        <v>13</v>
      </c>
      <c r="C5" t="str">
        <f>+TEXT(A5,"mmmm")</f>
        <v>March</v>
      </c>
      <c r="D5" s="11">
        <f>157*30</f>
        <v>4710</v>
      </c>
      <c r="E5" s="11">
        <f t="shared" si="1"/>
        <v>4710</v>
      </c>
      <c r="F5" s="3"/>
      <c r="G5" s="3"/>
      <c r="H5" s="3"/>
      <c r="I5" s="3"/>
      <c r="J5"/>
      <c r="K5" s="3"/>
      <c r="L5" s="3"/>
      <c r="M5" s="3"/>
      <c r="N5" s="3"/>
      <c r="O5" s="3"/>
      <c r="P5" s="3"/>
      <c r="Q5" s="11">
        <f>+SUM(K5:M5)/Weights!$B$2</f>
        <v>0</v>
      </c>
      <c r="R5" s="11">
        <f>+SUM(N5:O5)/Weights!$B$4</f>
        <v>0</v>
      </c>
      <c r="S5" s="121">
        <f t="shared" si="2"/>
        <v>0</v>
      </c>
      <c r="T5" s="121"/>
      <c r="U5" s="3"/>
      <c r="V5" s="3"/>
      <c r="W5" s="3"/>
      <c r="X5" s="3"/>
      <c r="Y5" s="3"/>
      <c r="Z5" s="3"/>
      <c r="AA5" s="3"/>
      <c r="AB5" s="3"/>
      <c r="AC5" s="3"/>
      <c r="AD5" s="3"/>
      <c r="AF5" s="17"/>
      <c r="AG5" s="17"/>
    </row>
    <row r="6" spans="1:33" x14ac:dyDescent="0.35">
      <c r="A6" s="2">
        <v>46107</v>
      </c>
      <c r="B6">
        <f t="shared" si="0"/>
        <v>13</v>
      </c>
      <c r="C6" t="str">
        <f>+TEXT(A6,"mmmm")</f>
        <v>March</v>
      </c>
      <c r="D6" s="11">
        <f>556*30</f>
        <v>16680</v>
      </c>
      <c r="E6" s="11">
        <f t="shared" si="1"/>
        <v>16680</v>
      </c>
      <c r="F6" s="3"/>
      <c r="G6" s="3"/>
      <c r="H6" s="3"/>
      <c r="I6" s="3"/>
      <c r="J6"/>
      <c r="K6" s="3"/>
      <c r="L6" s="3"/>
      <c r="M6" s="3"/>
      <c r="N6" s="3"/>
      <c r="O6" s="3"/>
      <c r="P6" s="3"/>
      <c r="Q6" s="11">
        <f>+SUM(K6:M6)/Weights!$B$2</f>
        <v>0</v>
      </c>
      <c r="R6" s="11">
        <f>+SUM(N6:O6)/Weights!$B$4</f>
        <v>0</v>
      </c>
      <c r="S6" s="121">
        <f t="shared" si="2"/>
        <v>0</v>
      </c>
      <c r="T6" s="121"/>
      <c r="U6" s="3"/>
      <c r="V6" s="3"/>
      <c r="W6" s="3"/>
      <c r="X6" s="3"/>
      <c r="Y6" s="3"/>
      <c r="Z6" s="3"/>
      <c r="AA6" s="3"/>
      <c r="AB6" s="3"/>
      <c r="AC6" s="3"/>
      <c r="AD6" s="3"/>
      <c r="AF6" s="17"/>
      <c r="AG6" s="17"/>
    </row>
    <row r="7" spans="1:33" x14ac:dyDescent="0.35">
      <c r="A7" s="2">
        <v>46111</v>
      </c>
      <c r="B7">
        <f t="shared" ref="B7:B34" si="3">+WEEKNUM(A7)</f>
        <v>14</v>
      </c>
      <c r="C7" t="str">
        <f>+TEXT(A7,"mmmm")</f>
        <v>March</v>
      </c>
      <c r="D7" s="11">
        <f>581*30</f>
        <v>17430</v>
      </c>
      <c r="E7" s="11">
        <f>+D7</f>
        <v>17430</v>
      </c>
      <c r="Q7" s="11">
        <f>+SUM(K7:M7)/Weights!$B$2</f>
        <v>0</v>
      </c>
      <c r="R7" s="11">
        <f>+SUM(N7:P7)/Weights!$B$4</f>
        <v>0</v>
      </c>
      <c r="S7" s="121">
        <f t="shared" si="2"/>
        <v>0</v>
      </c>
      <c r="T7" s="121"/>
      <c r="X7" s="11"/>
      <c r="Y7" s="11"/>
      <c r="Z7" s="3"/>
      <c r="AA7" s="3"/>
      <c r="AB7" s="3"/>
      <c r="AC7" s="3"/>
      <c r="AD7" s="3"/>
      <c r="AF7" s="11">
        <f>226800/4</f>
        <v>56700</v>
      </c>
      <c r="AG7" s="11">
        <v>0</v>
      </c>
    </row>
    <row r="8" spans="1:33" x14ac:dyDescent="0.35">
      <c r="A8" s="2">
        <v>46112</v>
      </c>
      <c r="B8">
        <f t="shared" si="3"/>
        <v>14</v>
      </c>
      <c r="C8" t="str">
        <f t="shared" ref="C8:C71" si="4">+TEXT(A8,"mmmm")</f>
        <v>March</v>
      </c>
      <c r="D8" s="11">
        <f>558*30</f>
        <v>16740</v>
      </c>
      <c r="E8" s="11">
        <f t="shared" ref="E8:E34" si="5">+D8</f>
        <v>16740</v>
      </c>
      <c r="Q8" s="11">
        <f>+SUM(K8:M8)/Weights!$B$2</f>
        <v>0</v>
      </c>
      <c r="R8" s="11">
        <f>+SUM(N8:P8)/Weights!$B$4</f>
        <v>0</v>
      </c>
      <c r="S8" s="121">
        <f t="shared" si="2"/>
        <v>0</v>
      </c>
      <c r="T8" s="121"/>
      <c r="X8" s="11"/>
      <c r="Y8" s="11"/>
      <c r="Z8" s="3"/>
      <c r="AA8" s="3"/>
      <c r="AB8" s="3"/>
      <c r="AC8" s="3"/>
      <c r="AD8" s="3"/>
      <c r="AF8" s="11">
        <f t="shared" ref="AF8:AF26" si="6">226800/4</f>
        <v>56700</v>
      </c>
      <c r="AG8" s="11">
        <v>0</v>
      </c>
    </row>
    <row r="9" spans="1:33" x14ac:dyDescent="0.35">
      <c r="A9" s="2">
        <v>46113</v>
      </c>
      <c r="B9">
        <f t="shared" si="3"/>
        <v>14</v>
      </c>
      <c r="C9" t="str">
        <f t="shared" si="4"/>
        <v>April</v>
      </c>
      <c r="D9" s="11">
        <f>877*30</f>
        <v>26310</v>
      </c>
      <c r="E9" s="11">
        <f t="shared" si="5"/>
        <v>26310</v>
      </c>
      <c r="Q9" s="11">
        <f>+SUM(K9:M9)/Weights!$B$2</f>
        <v>0</v>
      </c>
      <c r="R9" s="11">
        <f>+SUM(N9:P9)/Weights!$B$4</f>
        <v>0</v>
      </c>
      <c r="S9" s="121">
        <f t="shared" si="2"/>
        <v>0</v>
      </c>
      <c r="T9" s="121"/>
      <c r="X9" s="11"/>
      <c r="Y9" s="11"/>
      <c r="Z9" s="3"/>
      <c r="AA9" s="3"/>
      <c r="AB9" s="3"/>
      <c r="AC9" s="3"/>
      <c r="AD9" s="3"/>
      <c r="AF9" s="11">
        <f t="shared" si="6"/>
        <v>56700</v>
      </c>
      <c r="AG9" s="11">
        <v>0</v>
      </c>
    </row>
    <row r="10" spans="1:33" x14ac:dyDescent="0.35">
      <c r="A10" s="2">
        <v>46114</v>
      </c>
      <c r="B10">
        <f t="shared" si="3"/>
        <v>14</v>
      </c>
      <c r="C10" t="str">
        <f t="shared" si="4"/>
        <v>April</v>
      </c>
      <c r="D10" s="11">
        <f>568*30</f>
        <v>17040</v>
      </c>
      <c r="E10" s="11">
        <f t="shared" si="5"/>
        <v>17040</v>
      </c>
      <c r="Q10" s="11">
        <f>+SUM(K10:M10)/Weights!$B$2</f>
        <v>0</v>
      </c>
      <c r="R10" s="11">
        <f>+SUM(N10:P10)/Weights!$B$4</f>
        <v>0</v>
      </c>
      <c r="S10" s="121">
        <f t="shared" si="2"/>
        <v>0</v>
      </c>
      <c r="T10" s="121"/>
      <c r="X10" s="11"/>
      <c r="Y10" s="11"/>
      <c r="Z10" s="3"/>
      <c r="AA10" s="3"/>
      <c r="AB10" s="3"/>
      <c r="AC10" s="3"/>
      <c r="AD10" s="3"/>
      <c r="AF10" s="11">
        <f t="shared" si="6"/>
        <v>56700</v>
      </c>
      <c r="AG10" s="11">
        <v>0</v>
      </c>
    </row>
    <row r="11" spans="1:33" x14ac:dyDescent="0.35">
      <c r="A11" s="2">
        <v>46118</v>
      </c>
      <c r="B11">
        <f t="shared" si="3"/>
        <v>15</v>
      </c>
      <c r="C11" t="str">
        <f t="shared" si="4"/>
        <v>April</v>
      </c>
      <c r="D11" s="11">
        <f>537*30</f>
        <v>16110</v>
      </c>
      <c r="E11" s="11">
        <f t="shared" si="5"/>
        <v>16110</v>
      </c>
      <c r="Q11" s="11">
        <f>+SUM(K11:M11)/Weights!$B$2</f>
        <v>0</v>
      </c>
      <c r="R11" s="11">
        <f>+SUM(N11:P11)/Weights!$B$4</f>
        <v>0</v>
      </c>
      <c r="S11" s="121">
        <f t="shared" si="2"/>
        <v>0</v>
      </c>
      <c r="T11" s="121"/>
      <c r="X11" s="11"/>
      <c r="Y11" s="11"/>
      <c r="Z11" s="3"/>
      <c r="AA11" s="3"/>
      <c r="AB11" s="3"/>
      <c r="AC11" s="3"/>
      <c r="AD11" s="3"/>
      <c r="AF11" s="11">
        <f t="shared" si="6"/>
        <v>56700</v>
      </c>
      <c r="AG11" s="11">
        <f>181440/4</f>
        <v>45360</v>
      </c>
    </row>
    <row r="12" spans="1:33" x14ac:dyDescent="0.35">
      <c r="A12" s="2">
        <v>46119</v>
      </c>
      <c r="B12">
        <f t="shared" si="3"/>
        <v>15</v>
      </c>
      <c r="C12" t="str">
        <f t="shared" si="4"/>
        <v>April</v>
      </c>
      <c r="D12" s="11">
        <f>773*30</f>
        <v>23190</v>
      </c>
      <c r="E12" s="11">
        <f t="shared" si="5"/>
        <v>23190</v>
      </c>
      <c r="Q12" s="11">
        <f>+SUM(K12:M12)/Weights!$B$2</f>
        <v>0</v>
      </c>
      <c r="R12" s="11">
        <f>+SUM(N12:P12)/Weights!$B$4</f>
        <v>0</v>
      </c>
      <c r="S12" s="121">
        <f t="shared" si="2"/>
        <v>0</v>
      </c>
      <c r="T12" s="121" t="str">
        <f>IFERROR(R12/SUM(G12:I12),"")</f>
        <v/>
      </c>
      <c r="X12" s="11"/>
      <c r="Y12" s="11"/>
      <c r="Z12" s="3"/>
      <c r="AA12" s="3"/>
      <c r="AB12" s="3"/>
      <c r="AC12" s="3"/>
      <c r="AD12" s="3"/>
      <c r="AF12" s="11">
        <f t="shared" si="6"/>
        <v>56700</v>
      </c>
      <c r="AG12" s="11">
        <f t="shared" ref="AG12:AG26" si="7">181440/4</f>
        <v>45360</v>
      </c>
    </row>
    <row r="13" spans="1:33" x14ac:dyDescent="0.35">
      <c r="A13" s="2">
        <v>46120</v>
      </c>
      <c r="B13">
        <f t="shared" si="3"/>
        <v>15</v>
      </c>
      <c r="C13" t="str">
        <f t="shared" si="4"/>
        <v>April</v>
      </c>
      <c r="D13" s="11">
        <f>787*30</f>
        <v>23610</v>
      </c>
      <c r="E13" s="11">
        <f t="shared" si="5"/>
        <v>23610</v>
      </c>
      <c r="Q13" s="11">
        <f>+SUM(K13:M13)/Weights!$B$2</f>
        <v>0</v>
      </c>
      <c r="R13" s="11">
        <f>+SUM(N13:P13)/Weights!$B$4</f>
        <v>0</v>
      </c>
      <c r="S13" s="121">
        <f t="shared" si="2"/>
        <v>0</v>
      </c>
      <c r="T13" s="121" t="str">
        <f t="shared" ref="T13:T76" si="8">IFERROR(R13/SUM(G13:I13),"")</f>
        <v/>
      </c>
      <c r="X13" s="11"/>
      <c r="Y13" s="11"/>
      <c r="Z13" s="3"/>
      <c r="AA13" s="3"/>
      <c r="AB13" s="3"/>
      <c r="AC13" s="3"/>
      <c r="AD13" s="3"/>
      <c r="AF13" s="11">
        <f t="shared" si="6"/>
        <v>56700</v>
      </c>
      <c r="AG13" s="11">
        <f t="shared" si="7"/>
        <v>45360</v>
      </c>
    </row>
    <row r="14" spans="1:33" x14ac:dyDescent="0.35">
      <c r="A14" s="2">
        <v>46121</v>
      </c>
      <c r="B14">
        <f t="shared" si="3"/>
        <v>15</v>
      </c>
      <c r="C14" t="str">
        <f t="shared" si="4"/>
        <v>April</v>
      </c>
      <c r="D14" s="11">
        <f>767*30</f>
        <v>23010</v>
      </c>
      <c r="E14" s="11">
        <f t="shared" si="5"/>
        <v>23010</v>
      </c>
      <c r="Q14" s="11">
        <f>+SUM(K14:M14)/Weights!$B$2</f>
        <v>0</v>
      </c>
      <c r="R14" s="11">
        <f>+SUM(N14:P14)/Weights!$B$4</f>
        <v>0</v>
      </c>
      <c r="S14" s="121">
        <f t="shared" si="2"/>
        <v>0</v>
      </c>
      <c r="T14" s="121" t="str">
        <f t="shared" si="8"/>
        <v/>
      </c>
      <c r="X14" s="11"/>
      <c r="Y14" s="11"/>
      <c r="Z14" s="3"/>
      <c r="AA14" s="3"/>
      <c r="AB14" s="3"/>
      <c r="AC14" s="3"/>
      <c r="AD14" s="3"/>
      <c r="AF14" s="11">
        <f t="shared" si="6"/>
        <v>56700</v>
      </c>
      <c r="AG14" s="11">
        <f t="shared" si="7"/>
        <v>45360</v>
      </c>
    </row>
    <row r="15" spans="1:33" x14ac:dyDescent="0.35">
      <c r="A15" s="2">
        <v>46125</v>
      </c>
      <c r="B15">
        <f t="shared" si="3"/>
        <v>16</v>
      </c>
      <c r="C15" t="str">
        <f t="shared" si="4"/>
        <v>April</v>
      </c>
      <c r="D15" s="11">
        <f>704*30</f>
        <v>21120</v>
      </c>
      <c r="E15" s="11">
        <f t="shared" si="5"/>
        <v>21120</v>
      </c>
      <c r="Q15" s="11">
        <f>+SUM(K15:M15)/Weights!$B$2</f>
        <v>0</v>
      </c>
      <c r="R15" s="11">
        <f>+SUM(N15:P15)/Weights!$B$4</f>
        <v>0</v>
      </c>
      <c r="S15" s="121">
        <f t="shared" si="2"/>
        <v>0</v>
      </c>
      <c r="T15" s="121" t="str">
        <f t="shared" si="8"/>
        <v/>
      </c>
      <c r="X15" s="11"/>
      <c r="Y15" s="11"/>
      <c r="Z15" s="3"/>
      <c r="AA15" s="3"/>
      <c r="AB15" s="3"/>
      <c r="AC15" s="3"/>
      <c r="AD15" s="3"/>
      <c r="AF15" s="11">
        <f t="shared" si="6"/>
        <v>56700</v>
      </c>
      <c r="AG15" s="11">
        <f t="shared" si="7"/>
        <v>45360</v>
      </c>
    </row>
    <row r="16" spans="1:33" x14ac:dyDescent="0.35">
      <c r="A16" s="2">
        <v>46126</v>
      </c>
      <c r="B16">
        <f t="shared" si="3"/>
        <v>16</v>
      </c>
      <c r="C16" t="str">
        <f t="shared" si="4"/>
        <v>April</v>
      </c>
      <c r="D16" s="11">
        <f>966*30</f>
        <v>28980</v>
      </c>
      <c r="E16" s="11">
        <f t="shared" si="5"/>
        <v>28980</v>
      </c>
      <c r="K16" s="11">
        <v>95</v>
      </c>
      <c r="L16" s="11">
        <v>95</v>
      </c>
      <c r="Q16" s="11">
        <f>+SUM(K16:M16)/Weights!$B$2</f>
        <v>3002.4691358024693</v>
      </c>
      <c r="R16" s="11">
        <f>+SUM(N16:P16)/Weights!$B$4</f>
        <v>0</v>
      </c>
      <c r="S16" s="121">
        <f t="shared" si="2"/>
        <v>5.1802435055253095E-2</v>
      </c>
      <c r="T16" s="121" t="str">
        <f t="shared" si="8"/>
        <v/>
      </c>
      <c r="X16" s="11"/>
      <c r="Y16" s="11"/>
      <c r="Z16" s="3"/>
      <c r="AA16" s="3"/>
      <c r="AB16" s="3"/>
      <c r="AC16" s="3"/>
      <c r="AD16" s="3"/>
      <c r="AF16" s="11">
        <f t="shared" si="6"/>
        <v>56700</v>
      </c>
      <c r="AG16" s="11">
        <f t="shared" si="7"/>
        <v>45360</v>
      </c>
    </row>
    <row r="17" spans="1:33" x14ac:dyDescent="0.35">
      <c r="A17" s="2">
        <v>46127</v>
      </c>
      <c r="B17">
        <f t="shared" si="3"/>
        <v>16</v>
      </c>
      <c r="C17" t="str">
        <f t="shared" si="4"/>
        <v>April</v>
      </c>
      <c r="D17" s="11">
        <f>916*30</f>
        <v>27480</v>
      </c>
      <c r="E17" s="11">
        <f t="shared" si="5"/>
        <v>27480</v>
      </c>
      <c r="K17" s="11">
        <v>758</v>
      </c>
      <c r="L17" s="11">
        <v>758</v>
      </c>
      <c r="Q17" s="11">
        <f>+SUM(K17:M17)/Weights!$B$2</f>
        <v>23956.543209876545</v>
      </c>
      <c r="R17" s="11">
        <f>+SUM(N17:P17)/Weights!$B$4</f>
        <v>0</v>
      </c>
      <c r="S17" s="121">
        <f t="shared" si="2"/>
        <v>0.4358905241971715</v>
      </c>
      <c r="T17" s="121" t="str">
        <f t="shared" si="8"/>
        <v/>
      </c>
      <c r="X17" s="11"/>
      <c r="Y17" s="11"/>
      <c r="Z17" s="3"/>
      <c r="AA17" s="3"/>
      <c r="AB17" s="3"/>
      <c r="AC17" s="3"/>
      <c r="AD17" s="3"/>
      <c r="AF17" s="11">
        <f t="shared" si="6"/>
        <v>56700</v>
      </c>
      <c r="AG17" s="11">
        <f t="shared" si="7"/>
        <v>45360</v>
      </c>
    </row>
    <row r="18" spans="1:33" x14ac:dyDescent="0.35">
      <c r="A18" s="2">
        <v>46128</v>
      </c>
      <c r="B18">
        <f t="shared" si="3"/>
        <v>16</v>
      </c>
      <c r="C18" t="str">
        <f t="shared" si="4"/>
        <v>April</v>
      </c>
      <c r="D18" s="11">
        <f>580*30</f>
        <v>17400</v>
      </c>
      <c r="E18" s="11">
        <f t="shared" si="5"/>
        <v>17400</v>
      </c>
      <c r="Q18" s="11">
        <f>+SUM(K18:M18)/Weights!$B$2</f>
        <v>0</v>
      </c>
      <c r="R18" s="11">
        <f>+SUM(N18:P18)/Weights!$B$4</f>
        <v>0</v>
      </c>
      <c r="S18" s="121">
        <f t="shared" si="2"/>
        <v>0</v>
      </c>
      <c r="T18" s="121" t="str">
        <f t="shared" si="8"/>
        <v/>
      </c>
      <c r="X18" s="11"/>
      <c r="Y18" s="11"/>
      <c r="Z18" s="3"/>
      <c r="AA18" s="3"/>
      <c r="AB18" s="3"/>
      <c r="AC18" s="3"/>
      <c r="AD18" s="3"/>
      <c r="AF18" s="11">
        <f t="shared" si="6"/>
        <v>56700</v>
      </c>
      <c r="AG18" s="11">
        <f t="shared" si="7"/>
        <v>45360</v>
      </c>
    </row>
    <row r="19" spans="1:33" x14ac:dyDescent="0.35">
      <c r="A19" s="2">
        <v>46132</v>
      </c>
      <c r="B19">
        <f t="shared" si="3"/>
        <v>17</v>
      </c>
      <c r="C19" t="str">
        <f t="shared" si="4"/>
        <v>April</v>
      </c>
      <c r="D19" s="11">
        <f>938*30</f>
        <v>28140</v>
      </c>
      <c r="E19" s="11">
        <f t="shared" si="5"/>
        <v>28140</v>
      </c>
      <c r="K19" s="11">
        <v>169</v>
      </c>
      <c r="L19" s="11">
        <f>+K19</f>
        <v>169</v>
      </c>
      <c r="Q19" s="11">
        <f>+SUM(K19:M19)/Weights!$B$2</f>
        <v>5341.2345679012351</v>
      </c>
      <c r="R19" s="11">
        <f>+SUM(N19:P19)/Weights!$B$4</f>
        <v>0</v>
      </c>
      <c r="S19" s="121">
        <f t="shared" si="2"/>
        <v>9.4904665385594084E-2</v>
      </c>
      <c r="T19" s="121" t="str">
        <f t="shared" si="8"/>
        <v/>
      </c>
      <c r="X19" s="11"/>
      <c r="Y19" s="11"/>
      <c r="Z19" s="3"/>
      <c r="AA19" s="3"/>
      <c r="AB19" s="3"/>
      <c r="AC19" s="3"/>
      <c r="AD19" s="3"/>
      <c r="AF19" s="11">
        <f t="shared" si="6"/>
        <v>56700</v>
      </c>
      <c r="AG19" s="11">
        <f t="shared" si="7"/>
        <v>45360</v>
      </c>
    </row>
    <row r="20" spans="1:33" x14ac:dyDescent="0.35">
      <c r="A20" s="2">
        <v>46133</v>
      </c>
      <c r="B20">
        <f t="shared" si="3"/>
        <v>17</v>
      </c>
      <c r="C20" t="str">
        <f t="shared" si="4"/>
        <v>April</v>
      </c>
      <c r="D20" s="11">
        <f>878*30</f>
        <v>26340</v>
      </c>
      <c r="E20" s="11">
        <f t="shared" si="5"/>
        <v>26340</v>
      </c>
      <c r="K20" s="11">
        <v>89.5</v>
      </c>
      <c r="L20" s="11">
        <f>+K20</f>
        <v>89.5</v>
      </c>
      <c r="Q20" s="11">
        <f>+SUM(K20:M20)/Weights!$B$2</f>
        <v>2828.641975308642</v>
      </c>
      <c r="R20" s="11">
        <f>+SUM(N20:P20)/Weights!$B$4</f>
        <v>0</v>
      </c>
      <c r="S20" s="121">
        <f t="shared" si="2"/>
        <v>5.3694798316413099E-2</v>
      </c>
      <c r="T20" s="121" t="str">
        <f t="shared" si="8"/>
        <v/>
      </c>
      <c r="X20" s="11"/>
      <c r="Y20" s="11"/>
      <c r="Z20" s="3"/>
      <c r="AA20" s="3"/>
      <c r="AB20" s="3"/>
      <c r="AC20" s="3"/>
      <c r="AD20" s="3"/>
      <c r="AF20" s="11">
        <f t="shared" si="6"/>
        <v>56700</v>
      </c>
      <c r="AG20" s="11">
        <f t="shared" si="7"/>
        <v>45360</v>
      </c>
    </row>
    <row r="21" spans="1:33" x14ac:dyDescent="0.35">
      <c r="A21" s="2">
        <v>46134</v>
      </c>
      <c r="B21">
        <f t="shared" si="3"/>
        <v>17</v>
      </c>
      <c r="C21" t="str">
        <f t="shared" si="4"/>
        <v>April</v>
      </c>
      <c r="D21" s="11">
        <f>1128*30</f>
        <v>33840</v>
      </c>
      <c r="E21" s="11">
        <f t="shared" si="5"/>
        <v>33840</v>
      </c>
      <c r="K21" s="11">
        <v>154</v>
      </c>
      <c r="L21" s="11">
        <v>154</v>
      </c>
      <c r="Q21" s="11">
        <f>+SUM(K21:M21)/Weights!$B$2</f>
        <v>4867.1604938271603</v>
      </c>
      <c r="R21" s="11">
        <f>+SUM(N21:P21)/Weights!$B$4</f>
        <v>0</v>
      </c>
      <c r="S21" s="121">
        <f t="shared" si="2"/>
        <v>7.1914309896973408E-2</v>
      </c>
      <c r="T21" s="121" t="str">
        <f t="shared" si="8"/>
        <v/>
      </c>
      <c r="X21" s="11"/>
      <c r="Y21" s="11"/>
      <c r="Z21" s="3"/>
      <c r="AA21" s="3"/>
      <c r="AB21" s="3"/>
      <c r="AC21" s="3"/>
      <c r="AD21" s="3"/>
      <c r="AF21" s="11">
        <f t="shared" si="6"/>
        <v>56700</v>
      </c>
      <c r="AG21" s="11">
        <f t="shared" si="7"/>
        <v>45360</v>
      </c>
    </row>
    <row r="22" spans="1:33" x14ac:dyDescent="0.35">
      <c r="A22" s="2">
        <v>46135</v>
      </c>
      <c r="B22">
        <f t="shared" si="3"/>
        <v>17</v>
      </c>
      <c r="C22" t="str">
        <f t="shared" si="4"/>
        <v>April</v>
      </c>
      <c r="D22" s="11">
        <f>1170*30</f>
        <v>35100</v>
      </c>
      <c r="E22" s="11">
        <f t="shared" si="5"/>
        <v>35100</v>
      </c>
      <c r="Q22" s="11">
        <f>+SUM(K22:M22)/Weights!$B$2</f>
        <v>0</v>
      </c>
      <c r="R22" s="11">
        <f>+SUM(N22:P22)/Weights!$B$4</f>
        <v>0</v>
      </c>
      <c r="S22" s="121">
        <f t="shared" si="2"/>
        <v>0</v>
      </c>
      <c r="T22" s="121" t="str">
        <f t="shared" si="8"/>
        <v/>
      </c>
      <c r="X22" s="11"/>
      <c r="Y22" s="11"/>
      <c r="Z22" s="3"/>
      <c r="AA22" s="3"/>
      <c r="AB22" s="3"/>
      <c r="AC22" s="3"/>
      <c r="AD22" s="3"/>
      <c r="AF22" s="11">
        <f t="shared" si="6"/>
        <v>56700</v>
      </c>
      <c r="AG22" s="11">
        <f t="shared" si="7"/>
        <v>45360</v>
      </c>
    </row>
    <row r="23" spans="1:33" x14ac:dyDescent="0.35">
      <c r="A23" s="2">
        <v>46139</v>
      </c>
      <c r="B23">
        <f t="shared" si="3"/>
        <v>18</v>
      </c>
      <c r="C23" t="str">
        <f t="shared" si="4"/>
        <v>April</v>
      </c>
      <c r="D23" s="11">
        <f>1108*30</f>
        <v>33240</v>
      </c>
      <c r="E23" s="11">
        <f t="shared" si="5"/>
        <v>33240</v>
      </c>
      <c r="K23" s="11">
        <v>163</v>
      </c>
      <c r="L23" s="11">
        <v>163</v>
      </c>
      <c r="Q23" s="11">
        <f>+SUM(K23:M23)/Weights!$B$2</f>
        <v>5151.6049382716055</v>
      </c>
      <c r="R23" s="11">
        <f>+SUM(N23:P23)/Weights!$B$4</f>
        <v>0</v>
      </c>
      <c r="S23" s="121">
        <f t="shared" si="2"/>
        <v>7.749104901130574E-2</v>
      </c>
      <c r="T23" s="121" t="str">
        <f t="shared" si="8"/>
        <v/>
      </c>
      <c r="X23" s="11"/>
      <c r="Y23" s="11"/>
      <c r="Z23" s="3"/>
      <c r="AA23" s="3"/>
      <c r="AB23" s="3"/>
      <c r="AC23" s="3"/>
      <c r="AD23" s="3"/>
      <c r="AF23" s="11">
        <f t="shared" si="6"/>
        <v>56700</v>
      </c>
      <c r="AG23" s="11">
        <f t="shared" si="7"/>
        <v>45360</v>
      </c>
    </row>
    <row r="24" spans="1:33" x14ac:dyDescent="0.35">
      <c r="A24" s="2">
        <v>46140</v>
      </c>
      <c r="B24">
        <f t="shared" si="3"/>
        <v>18</v>
      </c>
      <c r="C24" t="str">
        <f t="shared" si="4"/>
        <v>April</v>
      </c>
      <c r="D24" s="11">
        <f>1119*30</f>
        <v>33570</v>
      </c>
      <c r="E24" s="11">
        <f t="shared" si="5"/>
        <v>33570</v>
      </c>
      <c r="Q24" s="11">
        <f>+SUM(K24:M24)/Weights!$B$2</f>
        <v>0</v>
      </c>
      <c r="R24" s="11">
        <f>+SUM(N24:P24)/Weights!$B$4</f>
        <v>0</v>
      </c>
      <c r="S24" s="121">
        <f t="shared" si="2"/>
        <v>0</v>
      </c>
      <c r="T24" s="121" t="str">
        <f t="shared" si="8"/>
        <v/>
      </c>
      <c r="X24" s="11"/>
      <c r="Y24" s="11"/>
      <c r="Z24" s="3"/>
      <c r="AA24" s="3"/>
      <c r="AB24" s="3"/>
      <c r="AC24" s="3"/>
      <c r="AD24" s="3"/>
      <c r="AF24" s="11">
        <f t="shared" si="6"/>
        <v>56700</v>
      </c>
      <c r="AG24" s="11">
        <f t="shared" si="7"/>
        <v>45360</v>
      </c>
    </row>
    <row r="25" spans="1:33" x14ac:dyDescent="0.35">
      <c r="A25" s="2">
        <v>46141</v>
      </c>
      <c r="B25">
        <f t="shared" si="3"/>
        <v>18</v>
      </c>
      <c r="C25" t="str">
        <f t="shared" si="4"/>
        <v>April</v>
      </c>
      <c r="D25" s="11">
        <f>1266*30</f>
        <v>37980</v>
      </c>
      <c r="E25" s="11">
        <f t="shared" si="5"/>
        <v>37980</v>
      </c>
      <c r="K25" s="11">
        <f>538.5/2</f>
        <v>269.25</v>
      </c>
      <c r="L25" s="11">
        <f>+K25</f>
        <v>269.25</v>
      </c>
      <c r="Q25" s="11">
        <f>+SUM(K25:M25)/Weights!$B$2</f>
        <v>8509.6296296296296</v>
      </c>
      <c r="R25" s="11">
        <f>+SUM(N25:P25)/Weights!$B$4</f>
        <v>0</v>
      </c>
      <c r="S25" s="121">
        <f t="shared" si="2"/>
        <v>0.11202777290191719</v>
      </c>
      <c r="T25" s="121" t="str">
        <f t="shared" si="8"/>
        <v/>
      </c>
      <c r="X25" s="11"/>
      <c r="Y25" s="11"/>
      <c r="Z25" s="3"/>
      <c r="AA25" s="3"/>
      <c r="AB25" s="3"/>
      <c r="AC25" s="3"/>
      <c r="AD25" s="3"/>
      <c r="AF25" s="11">
        <f t="shared" si="6"/>
        <v>56700</v>
      </c>
      <c r="AG25" s="11">
        <f t="shared" si="7"/>
        <v>45360</v>
      </c>
    </row>
    <row r="26" spans="1:33" x14ac:dyDescent="0.35">
      <c r="A26" s="2">
        <v>46142</v>
      </c>
      <c r="B26">
        <f t="shared" si="3"/>
        <v>18</v>
      </c>
      <c r="C26" t="str">
        <f t="shared" si="4"/>
        <v>April</v>
      </c>
      <c r="D26" s="11">
        <f>1504.5*30</f>
        <v>45135</v>
      </c>
      <c r="E26" s="11">
        <f t="shared" si="5"/>
        <v>45135</v>
      </c>
      <c r="K26" s="11">
        <v>180</v>
      </c>
      <c r="L26" s="11">
        <v>180</v>
      </c>
      <c r="Q26" s="11">
        <f>+SUM(K26:M26)/Weights!$B$2</f>
        <v>5688.8888888888887</v>
      </c>
      <c r="R26" s="11">
        <f>+SUM(N26:P26)/Weights!$B$4</f>
        <v>0</v>
      </c>
      <c r="S26" s="121">
        <f t="shared" si="2"/>
        <v>6.3020814100907152E-2</v>
      </c>
      <c r="T26" s="121" t="str">
        <f t="shared" si="8"/>
        <v/>
      </c>
      <c r="X26" s="11"/>
      <c r="Y26" s="11"/>
      <c r="Z26" s="3"/>
      <c r="AA26" s="3"/>
      <c r="AB26" s="3"/>
      <c r="AC26" s="3"/>
      <c r="AD26" s="3"/>
      <c r="AF26" s="11">
        <f t="shared" si="6"/>
        <v>56700</v>
      </c>
      <c r="AG26" s="11">
        <f t="shared" si="7"/>
        <v>45360</v>
      </c>
    </row>
    <row r="27" spans="1:33" x14ac:dyDescent="0.35">
      <c r="A27" s="2">
        <v>46146</v>
      </c>
      <c r="B27">
        <f t="shared" si="3"/>
        <v>19</v>
      </c>
      <c r="C27" t="str">
        <f t="shared" si="4"/>
        <v>May</v>
      </c>
      <c r="D27" s="11">
        <v>0</v>
      </c>
      <c r="E27" s="11">
        <f t="shared" si="5"/>
        <v>0</v>
      </c>
      <c r="K27" s="11">
        <v>491</v>
      </c>
      <c r="L27" s="11">
        <f>+K27</f>
        <v>491</v>
      </c>
      <c r="Q27" s="11">
        <f>+SUM(K27:M27)/Weights!$B$2</f>
        <v>15518.024691358025</v>
      </c>
      <c r="R27" s="11">
        <f>+SUM(N27:P27)/Weights!$B$4</f>
        <v>0</v>
      </c>
      <c r="S27" s="121" t="str">
        <f t="shared" si="2"/>
        <v/>
      </c>
      <c r="T27" s="121" t="str">
        <f t="shared" si="8"/>
        <v/>
      </c>
      <c r="X27" s="11"/>
      <c r="Y27" s="11"/>
      <c r="Z27" s="3"/>
      <c r="AA27" s="3"/>
      <c r="AB27" s="3"/>
      <c r="AC27" s="3"/>
      <c r="AD27" s="3"/>
      <c r="AF27" s="11">
        <f>288000/4</f>
        <v>72000</v>
      </c>
      <c r="AG27" s="11">
        <f>33120/4</f>
        <v>8280</v>
      </c>
    </row>
    <row r="28" spans="1:33" x14ac:dyDescent="0.35">
      <c r="A28" s="2">
        <v>46147</v>
      </c>
      <c r="B28">
        <f t="shared" si="3"/>
        <v>19</v>
      </c>
      <c r="C28" t="str">
        <f t="shared" si="4"/>
        <v>May</v>
      </c>
      <c r="D28" s="11">
        <f>50400/2</f>
        <v>25200</v>
      </c>
      <c r="E28" s="11">
        <f t="shared" si="5"/>
        <v>25200</v>
      </c>
      <c r="K28" s="11">
        <v>140</v>
      </c>
      <c r="L28" s="11">
        <v>140</v>
      </c>
      <c r="Q28" s="11">
        <f>+SUM(K28:M28)/Weights!$B$2</f>
        <v>4424.6913580246919</v>
      </c>
      <c r="R28" s="11">
        <f>+SUM(N28:P28)/Weights!$B$4</f>
        <v>0</v>
      </c>
      <c r="S28" s="121">
        <f t="shared" si="2"/>
        <v>8.7791495198902614E-2</v>
      </c>
      <c r="T28" s="121" t="str">
        <f t="shared" si="8"/>
        <v/>
      </c>
      <c r="X28" s="11"/>
      <c r="Y28" s="11"/>
      <c r="Z28" s="3"/>
      <c r="AA28" s="3"/>
      <c r="AB28" s="3"/>
      <c r="AC28" s="3"/>
      <c r="AD28" s="3"/>
      <c r="AF28" s="11">
        <f>288000/4</f>
        <v>72000</v>
      </c>
      <c r="AG28" s="11">
        <f>33120/4</f>
        <v>8280</v>
      </c>
    </row>
    <row r="29" spans="1:33" x14ac:dyDescent="0.35">
      <c r="A29" s="2">
        <v>46148</v>
      </c>
      <c r="B29">
        <f t="shared" si="3"/>
        <v>19</v>
      </c>
      <c r="C29" t="str">
        <f t="shared" si="4"/>
        <v>May</v>
      </c>
      <c r="D29" s="11">
        <f>72000/2</f>
        <v>36000</v>
      </c>
      <c r="E29" s="11">
        <f t="shared" si="5"/>
        <v>36000</v>
      </c>
      <c r="K29" s="11">
        <v>13</v>
      </c>
      <c r="L29" s="11">
        <v>13</v>
      </c>
      <c r="Q29" s="11">
        <f>+SUM(K29:M29)/Weights!$B$2</f>
        <v>410.8641975308642</v>
      </c>
      <c r="R29" s="11">
        <f>+SUM(N29:P29)/Weights!$B$4</f>
        <v>0</v>
      </c>
      <c r="S29" s="121">
        <f t="shared" si="2"/>
        <v>5.7064471879286691E-3</v>
      </c>
      <c r="T29" s="121" t="str">
        <f t="shared" si="8"/>
        <v/>
      </c>
      <c r="X29" s="11"/>
      <c r="Y29" s="11"/>
      <c r="Z29" s="3"/>
      <c r="AA29" s="3"/>
      <c r="AB29" s="3"/>
      <c r="AC29" s="3"/>
      <c r="AD29" s="3"/>
      <c r="AF29" s="11">
        <f>288000/4</f>
        <v>72000</v>
      </c>
      <c r="AG29" s="11">
        <f>33120/4</f>
        <v>8280</v>
      </c>
    </row>
    <row r="30" spans="1:33" x14ac:dyDescent="0.35">
      <c r="A30" s="2">
        <v>46149</v>
      </c>
      <c r="B30">
        <f t="shared" si="3"/>
        <v>19</v>
      </c>
      <c r="C30" t="str">
        <f t="shared" si="4"/>
        <v>May</v>
      </c>
      <c r="D30" s="11">
        <f>103600/2</f>
        <v>51800</v>
      </c>
      <c r="E30" s="11">
        <f t="shared" si="5"/>
        <v>51800</v>
      </c>
      <c r="K30" s="11">
        <v>160</v>
      </c>
      <c r="L30" s="11">
        <v>160</v>
      </c>
      <c r="O30" s="11">
        <v>30</v>
      </c>
      <c r="Q30" s="11">
        <f>+SUM(K30:M30)/Weights!$B$2</f>
        <v>5056.7901234567908</v>
      </c>
      <c r="R30" s="11">
        <f>+SUM(N30:P30)/Weights!$B$4</f>
        <v>192</v>
      </c>
      <c r="S30" s="121">
        <f t="shared" si="2"/>
        <v>4.8810715477382152E-2</v>
      </c>
      <c r="T30" s="121" t="str">
        <f t="shared" si="8"/>
        <v/>
      </c>
      <c r="X30" s="11"/>
      <c r="Y30" s="11"/>
      <c r="Z30" s="3"/>
      <c r="AA30" s="3"/>
      <c r="AB30" s="3"/>
      <c r="AC30" s="3"/>
      <c r="AD30" s="3"/>
      <c r="AF30" s="11">
        <f>288000/4</f>
        <v>72000</v>
      </c>
      <c r="AG30" s="11">
        <f>33120/4</f>
        <v>8280</v>
      </c>
    </row>
    <row r="31" spans="1:33" x14ac:dyDescent="0.35">
      <c r="A31" s="2">
        <v>46153</v>
      </c>
      <c r="B31">
        <f t="shared" si="3"/>
        <v>20</v>
      </c>
      <c r="C31" t="str">
        <f t="shared" si="4"/>
        <v>May</v>
      </c>
      <c r="D31" s="11">
        <f>48960/2</f>
        <v>24480</v>
      </c>
      <c r="E31" s="11">
        <f t="shared" si="5"/>
        <v>24480</v>
      </c>
      <c r="K31" s="11">
        <v>45</v>
      </c>
      <c r="L31" s="11">
        <v>45</v>
      </c>
      <c r="Q31" s="11">
        <f>+SUM(K31:M31)/Weights!$B$2</f>
        <v>1422.2222222222222</v>
      </c>
      <c r="R31" s="11">
        <f>+SUM(N31:P31)/Weights!$B$4</f>
        <v>0</v>
      </c>
      <c r="S31" s="121">
        <f t="shared" si="2"/>
        <v>2.904865649963689E-2</v>
      </c>
      <c r="T31" s="121" t="str">
        <f t="shared" si="8"/>
        <v/>
      </c>
      <c r="X31" s="11"/>
      <c r="Y31" s="11"/>
      <c r="Z31" s="3"/>
      <c r="AA31" s="3"/>
      <c r="AB31" s="3"/>
      <c r="AC31" s="3"/>
      <c r="AD31" s="3"/>
      <c r="AF31" s="11">
        <f>360000/4</f>
        <v>90000</v>
      </c>
      <c r="AG31" s="11">
        <f t="shared" ref="AG31:AG38" si="9">34560/4</f>
        <v>8640</v>
      </c>
    </row>
    <row r="32" spans="1:33" x14ac:dyDescent="0.35">
      <c r="A32" s="2">
        <v>46154</v>
      </c>
      <c r="B32">
        <f t="shared" si="3"/>
        <v>20</v>
      </c>
      <c r="C32" t="str">
        <f t="shared" si="4"/>
        <v>May</v>
      </c>
      <c r="D32" s="11">
        <f>64320/2</f>
        <v>32160</v>
      </c>
      <c r="E32" s="11">
        <f t="shared" si="5"/>
        <v>32160</v>
      </c>
      <c r="H32" s="11">
        <v>3800</v>
      </c>
      <c r="K32" s="11">
        <v>75</v>
      </c>
      <c r="L32" s="11">
        <v>75</v>
      </c>
      <c r="O32" s="11">
        <v>50</v>
      </c>
      <c r="Q32" s="11">
        <f>+SUM(K32:M32)/Weights!$B$2</f>
        <v>2370.3703703703704</v>
      </c>
      <c r="R32" s="11">
        <f>+SUM(N32:P32)/Weights!$B$4</f>
        <v>320</v>
      </c>
      <c r="S32" s="121">
        <f t="shared" si="2"/>
        <v>3.685277317118113E-2</v>
      </c>
      <c r="T32" s="121">
        <f t="shared" si="8"/>
        <v>8.4210526315789472E-2</v>
      </c>
      <c r="X32" s="11"/>
      <c r="Y32" s="11"/>
      <c r="Z32" s="3"/>
      <c r="AA32" s="3"/>
      <c r="AB32" s="3"/>
      <c r="AC32" s="3"/>
      <c r="AD32" s="3"/>
      <c r="AF32" s="11">
        <f t="shared" ref="AF32:AF38" si="10">360000/4</f>
        <v>90000</v>
      </c>
      <c r="AG32" s="11">
        <f t="shared" si="9"/>
        <v>8640</v>
      </c>
    </row>
    <row r="33" spans="1:33" x14ac:dyDescent="0.35">
      <c r="A33" s="2">
        <v>46155</v>
      </c>
      <c r="B33">
        <f t="shared" si="3"/>
        <v>20</v>
      </c>
      <c r="C33" t="str">
        <f t="shared" si="4"/>
        <v>May</v>
      </c>
      <c r="D33" s="11">
        <f>68700/2</f>
        <v>34350</v>
      </c>
      <c r="E33" s="11">
        <f t="shared" si="5"/>
        <v>34350</v>
      </c>
      <c r="H33" s="11">
        <v>13650</v>
      </c>
      <c r="K33" s="11">
        <v>130</v>
      </c>
      <c r="L33" s="11">
        <v>130</v>
      </c>
      <c r="O33" s="11">
        <v>66</v>
      </c>
      <c r="Q33" s="11">
        <f>+SUM(K33:M33)/Weights!$B$2</f>
        <v>4108.641975308642</v>
      </c>
      <c r="R33" s="11">
        <f>+SUM(N33:P33)/Weights!$B$4</f>
        <v>422.4</v>
      </c>
      <c r="S33" s="121">
        <f t="shared" si="2"/>
        <v>5.9805560048160726E-2</v>
      </c>
      <c r="T33" s="121">
        <f t="shared" si="8"/>
        <v>3.0945054945054944E-2</v>
      </c>
      <c r="X33" s="11"/>
      <c r="Y33" s="11"/>
      <c r="Z33" s="3"/>
      <c r="AA33" s="3"/>
      <c r="AB33" s="3"/>
      <c r="AC33" s="3"/>
      <c r="AD33" s="3"/>
      <c r="AF33" s="11">
        <f t="shared" si="10"/>
        <v>90000</v>
      </c>
      <c r="AG33" s="11">
        <f t="shared" si="9"/>
        <v>8640</v>
      </c>
    </row>
    <row r="34" spans="1:33" x14ac:dyDescent="0.35">
      <c r="A34" s="2">
        <v>46156</v>
      </c>
      <c r="B34">
        <f t="shared" si="3"/>
        <v>20</v>
      </c>
      <c r="C34" t="str">
        <f t="shared" si="4"/>
        <v>May</v>
      </c>
      <c r="D34" s="11">
        <f>65260/2</f>
        <v>32630</v>
      </c>
      <c r="E34" s="11">
        <f t="shared" si="5"/>
        <v>32630</v>
      </c>
      <c r="K34" s="11">
        <v>352</v>
      </c>
      <c r="L34" s="11">
        <v>352</v>
      </c>
      <c r="Q34" s="11">
        <f>+SUM(K34:M34)/Weights!$B$2</f>
        <v>11124.938271604939</v>
      </c>
      <c r="R34" s="11">
        <f>+SUM(N34:P34)/Weights!$B$4</f>
        <v>0</v>
      </c>
      <c r="S34" s="121">
        <f t="shared" si="2"/>
        <v>0.17047101243648388</v>
      </c>
      <c r="T34" s="121" t="str">
        <f t="shared" si="8"/>
        <v/>
      </c>
      <c r="X34" s="11"/>
      <c r="Y34" s="11"/>
      <c r="Z34" s="3"/>
      <c r="AA34" s="3"/>
      <c r="AB34" s="3"/>
      <c r="AC34" s="3"/>
      <c r="AD34" s="3"/>
      <c r="AF34" s="11">
        <f t="shared" si="10"/>
        <v>90000</v>
      </c>
      <c r="AG34" s="11">
        <f t="shared" si="9"/>
        <v>8640</v>
      </c>
    </row>
    <row r="35" spans="1:33" x14ac:dyDescent="0.35">
      <c r="A35" s="2">
        <v>46160</v>
      </c>
      <c r="B35">
        <f t="shared" ref="B35:B96" si="11">+WEEKNUM(A35)</f>
        <v>21</v>
      </c>
      <c r="C35" t="str">
        <f t="shared" si="4"/>
        <v>May</v>
      </c>
      <c r="D35" s="11">
        <f>22*15*96</f>
        <v>31680</v>
      </c>
      <c r="E35" s="11">
        <f>21*15*96</f>
        <v>30240</v>
      </c>
      <c r="H35" s="11">
        <f>21*13*35</f>
        <v>9555</v>
      </c>
      <c r="K35" s="11">
        <v>70</v>
      </c>
      <c r="L35" s="11">
        <v>90</v>
      </c>
      <c r="O35" s="11">
        <v>152</v>
      </c>
      <c r="Q35" s="11">
        <f>+SUM(K35:M35)/Weights!$B$2</f>
        <v>2528.3950617283954</v>
      </c>
      <c r="R35" s="11">
        <f>+SUM(N35:P35)/Weights!$B$4</f>
        <v>972.8</v>
      </c>
      <c r="S35" s="121">
        <f t="shared" si="2"/>
        <v>4.0833253580884937E-2</v>
      </c>
      <c r="T35" s="121">
        <f t="shared" si="8"/>
        <v>0.10181057038199895</v>
      </c>
      <c r="AF35" s="11">
        <f t="shared" si="10"/>
        <v>90000</v>
      </c>
      <c r="AG35" s="11">
        <f t="shared" si="9"/>
        <v>8640</v>
      </c>
    </row>
    <row r="36" spans="1:33" x14ac:dyDescent="0.35">
      <c r="A36" s="2">
        <f>WORKDAY.INTL(A35,1,,'Don''t Change'!$A$2:$A$7)</f>
        <v>46161</v>
      </c>
      <c r="B36">
        <f t="shared" si="11"/>
        <v>21</v>
      </c>
      <c r="C36" t="str">
        <f t="shared" si="4"/>
        <v>May</v>
      </c>
      <c r="D36" s="11">
        <f>29*15*96+26*96+14*96</f>
        <v>45600</v>
      </c>
      <c r="E36" s="11">
        <f>15*15*96+12*96</f>
        <v>22752</v>
      </c>
      <c r="H36" s="11">
        <f>15*13*35</f>
        <v>6825</v>
      </c>
      <c r="K36" s="11">
        <v>50</v>
      </c>
      <c r="L36" s="11">
        <v>30</v>
      </c>
      <c r="Q36" s="11">
        <f>+SUM(K36:M36)/Weights!$B$2</f>
        <v>1264.1975308641977</v>
      </c>
      <c r="R36" s="11">
        <f>+SUM(N36:P36)/Weights!$B$4</f>
        <v>0</v>
      </c>
      <c r="S36" s="121">
        <f t="shared" si="2"/>
        <v>1.849539926943173E-2</v>
      </c>
      <c r="T36" s="121">
        <f t="shared" si="8"/>
        <v>0</v>
      </c>
      <c r="U36">
        <f>24+23</f>
        <v>47</v>
      </c>
      <c r="V36">
        <f>28+38</f>
        <v>66</v>
      </c>
      <c r="Y36">
        <v>15</v>
      </c>
      <c r="AF36" s="11">
        <f t="shared" si="10"/>
        <v>90000</v>
      </c>
      <c r="AG36" s="11">
        <f t="shared" si="9"/>
        <v>8640</v>
      </c>
    </row>
    <row r="37" spans="1:33" x14ac:dyDescent="0.35">
      <c r="A37" s="2">
        <f>WORKDAY.INTL(A36,1,,'Don''t Change'!$A$2:$A$7)</f>
        <v>46162</v>
      </c>
      <c r="B37">
        <f t="shared" si="11"/>
        <v>21</v>
      </c>
      <c r="C37" t="str">
        <f t="shared" si="4"/>
        <v>May</v>
      </c>
      <c r="D37" s="11">
        <f>28*15*96+13*96+5*96</f>
        <v>42048</v>
      </c>
      <c r="E37" s="11">
        <f>17*15*96</f>
        <v>24480</v>
      </c>
      <c r="H37" s="11">
        <f>13*13*35+30*35+14*12*35+14.5*12*35</f>
        <v>18935</v>
      </c>
      <c r="K37" s="11">
        <v>50</v>
      </c>
      <c r="L37" s="11">
        <v>30</v>
      </c>
      <c r="O37" s="11">
        <f>138+128+30</f>
        <v>296</v>
      </c>
      <c r="Q37" s="11">
        <f>+SUM(K37:M37)/Weights!$B$2</f>
        <v>1264.1975308641977</v>
      </c>
      <c r="R37" s="11">
        <f>+SUM(N37:P37)/Weights!$B$4</f>
        <v>1894.4</v>
      </c>
      <c r="S37" s="121">
        <f t="shared" si="2"/>
        <v>1.900248813829061E-2</v>
      </c>
      <c r="T37" s="121">
        <f t="shared" si="8"/>
        <v>0.10004753102719831</v>
      </c>
      <c r="U37">
        <v>42</v>
      </c>
      <c r="V37">
        <v>42</v>
      </c>
      <c r="AF37" s="11">
        <f t="shared" si="10"/>
        <v>90000</v>
      </c>
      <c r="AG37" s="11">
        <f t="shared" si="9"/>
        <v>8640</v>
      </c>
    </row>
    <row r="38" spans="1:33" x14ac:dyDescent="0.35">
      <c r="A38" s="2">
        <f>WORKDAY.INTL(A37,1,,'Don''t Change'!$A$2:$A$7)</f>
        <v>46163</v>
      </c>
      <c r="B38">
        <f t="shared" si="11"/>
        <v>21</v>
      </c>
      <c r="C38" t="str">
        <f t="shared" si="4"/>
        <v>May</v>
      </c>
      <c r="D38" s="11">
        <f>26*15*96+4*15*72</f>
        <v>41760</v>
      </c>
      <c r="E38" s="11">
        <f>6*15*96+12*72</f>
        <v>9504</v>
      </c>
      <c r="G38" s="11">
        <f>14*35+30*35</f>
        <v>1540</v>
      </c>
      <c r="H38" s="11">
        <f>3*14*35+11*15*35+20*35</f>
        <v>7945</v>
      </c>
      <c r="N38" s="11">
        <v>90</v>
      </c>
      <c r="O38" s="11">
        <v>504</v>
      </c>
      <c r="Q38" s="11">
        <f>+SUM(K38:M38)/Weights!$B$2</f>
        <v>0</v>
      </c>
      <c r="R38" s="11">
        <f>+SUM(N38:P38)/Weights!$B$4</f>
        <v>3801.6</v>
      </c>
      <c r="S38" s="121">
        <f t="shared" si="2"/>
        <v>0</v>
      </c>
      <c r="T38" s="121">
        <f t="shared" si="8"/>
        <v>0.40080126515550868</v>
      </c>
      <c r="U38">
        <v>75</v>
      </c>
      <c r="Y38">
        <v>18</v>
      </c>
      <c r="AF38" s="11">
        <f t="shared" si="10"/>
        <v>90000</v>
      </c>
      <c r="AG38" s="11">
        <f t="shared" si="9"/>
        <v>8640</v>
      </c>
    </row>
    <row r="39" spans="1:33" x14ac:dyDescent="0.35">
      <c r="A39" s="2">
        <f>WORKDAY.INTL(A38,1,,'Don''t Change'!$A$2:$A$7)</f>
        <v>46164</v>
      </c>
      <c r="B39">
        <f t="shared" si="11"/>
        <v>21</v>
      </c>
      <c r="C39" t="str">
        <f t="shared" si="4"/>
        <v>May</v>
      </c>
      <c r="Q39" s="11">
        <f>+SUM(K39:M39)/Weights!$B$2</f>
        <v>0</v>
      </c>
      <c r="R39" s="11">
        <f>+SUM(N39:P39)/Weights!$B$4</f>
        <v>0</v>
      </c>
      <c r="S39" s="121" t="str">
        <f t="shared" si="2"/>
        <v/>
      </c>
      <c r="T39" s="121" t="str">
        <f t="shared" si="8"/>
        <v/>
      </c>
    </row>
    <row r="40" spans="1:33" x14ac:dyDescent="0.35">
      <c r="A40" s="2">
        <f>WORKDAY.INTL(A39,1,,'Don''t Change'!$A$2:$A$7)</f>
        <v>46168</v>
      </c>
      <c r="B40">
        <f t="shared" si="11"/>
        <v>22</v>
      </c>
      <c r="C40" t="str">
        <f t="shared" si="4"/>
        <v>May</v>
      </c>
      <c r="D40" s="11">
        <f>22*15*96+30*72+26*72</f>
        <v>35712</v>
      </c>
      <c r="E40" s="11">
        <f>22*15*96+6*96</f>
        <v>32256</v>
      </c>
      <c r="K40" s="11">
        <v>80</v>
      </c>
      <c r="L40" s="11">
        <v>160</v>
      </c>
      <c r="Q40" s="11">
        <f>+SUM(K40:M40)/Weights!$B$2</f>
        <v>3792.5925925925926</v>
      </c>
      <c r="R40" s="11">
        <f>+SUM(N40:P40)/Weights!$B$4</f>
        <v>0</v>
      </c>
      <c r="S40" s="121">
        <f t="shared" si="2"/>
        <v>5.5799679151844875E-2</v>
      </c>
      <c r="T40" s="121" t="str">
        <f t="shared" si="8"/>
        <v/>
      </c>
      <c r="AF40" s="11">
        <f>360000/4</f>
        <v>90000</v>
      </c>
      <c r="AG40" s="11">
        <f>44800/4</f>
        <v>11200</v>
      </c>
    </row>
    <row r="41" spans="1:33" x14ac:dyDescent="0.35">
      <c r="A41" s="2">
        <f>WORKDAY.INTL(A40,1,,'Don''t Change'!$A$2:$A$7)</f>
        <v>46169</v>
      </c>
      <c r="B41">
        <f t="shared" si="11"/>
        <v>22</v>
      </c>
      <c r="C41" t="str">
        <f t="shared" si="4"/>
        <v>May</v>
      </c>
      <c r="Q41" s="11">
        <f>+SUM(K41:M41)/Weights!$B$2</f>
        <v>0</v>
      </c>
      <c r="R41" s="11">
        <f>+SUM(N41:P41)/Weights!$B$4</f>
        <v>0</v>
      </c>
      <c r="S41" s="121" t="str">
        <f t="shared" si="2"/>
        <v/>
      </c>
      <c r="T41" s="121" t="str">
        <f t="shared" si="8"/>
        <v/>
      </c>
      <c r="AF41" s="11">
        <f>360000/4</f>
        <v>90000</v>
      </c>
      <c r="AG41" s="11">
        <f>44800/4</f>
        <v>11200</v>
      </c>
    </row>
    <row r="42" spans="1:33" x14ac:dyDescent="0.35">
      <c r="A42" s="2">
        <f>WORKDAY.INTL(A41,1,,'Don''t Change'!$A$2:$A$7)</f>
        <v>46170</v>
      </c>
      <c r="B42">
        <f t="shared" si="11"/>
        <v>22</v>
      </c>
      <c r="C42" t="str">
        <f t="shared" si="4"/>
        <v>May</v>
      </c>
      <c r="H42" s="11">
        <f>21*14*35+10*35</f>
        <v>10640</v>
      </c>
      <c r="I42" s="11">
        <v>9922</v>
      </c>
      <c r="O42" s="11">
        <v>122</v>
      </c>
      <c r="P42" s="11">
        <v>146</v>
      </c>
      <c r="Q42" s="11">
        <f>+SUM(K42:M42)/Weights!$B$2</f>
        <v>0</v>
      </c>
      <c r="R42" s="11">
        <f>+SUM(N42:P42)/Weights!$B$4</f>
        <v>1715.2</v>
      </c>
      <c r="S42" s="121" t="str">
        <f t="shared" si="2"/>
        <v/>
      </c>
      <c r="T42" s="121">
        <f t="shared" si="8"/>
        <v>8.3416010115747494E-2</v>
      </c>
      <c r="AF42" s="11">
        <f>360000/4</f>
        <v>90000</v>
      </c>
      <c r="AG42" s="11">
        <f>44800/4</f>
        <v>11200</v>
      </c>
    </row>
    <row r="43" spans="1:33" x14ac:dyDescent="0.35">
      <c r="A43" s="2">
        <f>WORKDAY.INTL(A42,1,,'Don''t Change'!$A$2:$A$7)</f>
        <v>46171</v>
      </c>
      <c r="B43">
        <f t="shared" si="11"/>
        <v>22</v>
      </c>
      <c r="C43" t="str">
        <f t="shared" si="4"/>
        <v>May</v>
      </c>
      <c r="D43" s="11">
        <f>22*15*96+12*96</f>
        <v>32832</v>
      </c>
      <c r="E43" s="11">
        <f>22*15*96</f>
        <v>31680</v>
      </c>
      <c r="K43" s="11">
        <v>40</v>
      </c>
      <c r="L43" s="11">
        <v>40</v>
      </c>
      <c r="Q43" s="11">
        <f>+SUM(K43:M43)/Weights!$B$2</f>
        <v>1264.1975308641977</v>
      </c>
      <c r="R43" s="11">
        <f>+SUM(N43:P43)/Weights!$B$4</f>
        <v>0</v>
      </c>
      <c r="S43" s="121">
        <f t="shared" si="2"/>
        <v>1.9596315892612192E-2</v>
      </c>
      <c r="T43" s="121" t="str">
        <f t="shared" si="8"/>
        <v/>
      </c>
      <c r="AF43" s="11">
        <f>360000/4</f>
        <v>90000</v>
      </c>
      <c r="AG43" s="11">
        <f>44800/4</f>
        <v>11200</v>
      </c>
    </row>
    <row r="44" spans="1:33" x14ac:dyDescent="0.35">
      <c r="A44" s="2">
        <f>WORKDAY.INTL(A43,1,,'Don''t Change'!$A$2:$A$7)</f>
        <v>46174</v>
      </c>
      <c r="B44">
        <f t="shared" si="11"/>
        <v>23</v>
      </c>
      <c r="C44" t="str">
        <f t="shared" si="4"/>
        <v>June</v>
      </c>
      <c r="D44" s="11">
        <v>27360</v>
      </c>
      <c r="E44" s="11">
        <v>48960</v>
      </c>
      <c r="K44" s="11">
        <v>46</v>
      </c>
      <c r="L44" s="11">
        <v>280</v>
      </c>
      <c r="Q44" s="11">
        <f>+SUM(K44:M44)/Weights!$B$2</f>
        <v>5151.6049382716055</v>
      </c>
      <c r="R44" s="11">
        <f>+SUM(N44:P44)/Weights!$B$4</f>
        <v>0</v>
      </c>
      <c r="S44" s="121">
        <f t="shared" si="2"/>
        <v>6.7500064704816634E-2</v>
      </c>
      <c r="T44" s="121" t="str">
        <f t="shared" si="8"/>
        <v/>
      </c>
      <c r="AF44" s="11">
        <v>70000</v>
      </c>
      <c r="AG44" s="11">
        <v>15000</v>
      </c>
    </row>
    <row r="45" spans="1:33" x14ac:dyDescent="0.35">
      <c r="A45" s="2">
        <f>WORKDAY.INTL(A44,1,,'Don''t Change'!$A$2:$A$7)</f>
        <v>46175</v>
      </c>
      <c r="B45">
        <f t="shared" si="11"/>
        <v>23</v>
      </c>
      <c r="C45" t="str">
        <f t="shared" si="4"/>
        <v>June</v>
      </c>
      <c r="D45" s="11">
        <v>44640</v>
      </c>
      <c r="E45" s="11">
        <v>44640</v>
      </c>
      <c r="K45" s="11">
        <v>96</v>
      </c>
      <c r="L45" s="11">
        <v>72</v>
      </c>
      <c r="Q45" s="11">
        <f>+SUM(K45:M45)/Weights!$B$2</f>
        <v>2654.8148148148148</v>
      </c>
      <c r="R45" s="11">
        <f>+SUM(N45:P45)/Weights!$B$4</f>
        <v>0</v>
      </c>
      <c r="S45" s="121">
        <f t="shared" si="2"/>
        <v>2.973582901898314E-2</v>
      </c>
      <c r="T45" s="121" t="str">
        <f t="shared" si="8"/>
        <v/>
      </c>
      <c r="AF45" s="11">
        <v>70000</v>
      </c>
      <c r="AG45" s="11">
        <v>15000</v>
      </c>
    </row>
    <row r="46" spans="1:33" x14ac:dyDescent="0.35">
      <c r="A46" s="2">
        <f>WORKDAY.INTL(A45,1,,'Don''t Change'!$A$2:$A$7)</f>
        <v>46176</v>
      </c>
      <c r="B46">
        <f t="shared" si="11"/>
        <v>23</v>
      </c>
      <c r="C46" t="str">
        <f t="shared" si="4"/>
        <v>June</v>
      </c>
      <c r="D46" s="11">
        <v>17280</v>
      </c>
      <c r="E46" s="11">
        <f>21*15*96+6*96+7*15*72</f>
        <v>38376</v>
      </c>
      <c r="K46" s="11">
        <v>121</v>
      </c>
      <c r="L46" s="11">
        <v>45</v>
      </c>
      <c r="O46" s="11">
        <v>60</v>
      </c>
      <c r="Q46" s="11">
        <f>+SUM(K46:M46)/Weights!$B$2</f>
        <v>2623.2098765432102</v>
      </c>
      <c r="R46" s="11">
        <f>+SUM(N46:P46)/Weights!$B$4</f>
        <v>384</v>
      </c>
      <c r="S46" s="121">
        <f t="shared" si="2"/>
        <v>4.7132562105491056E-2</v>
      </c>
      <c r="T46" s="121" t="str">
        <f t="shared" si="8"/>
        <v/>
      </c>
      <c r="AF46" s="11">
        <v>70000</v>
      </c>
      <c r="AG46" s="11">
        <v>15000</v>
      </c>
    </row>
    <row r="47" spans="1:33" x14ac:dyDescent="0.35">
      <c r="A47" s="2">
        <f>WORKDAY.INTL(A46,1,,'Don''t Change'!$A$2:$A$7)</f>
        <v>46177</v>
      </c>
      <c r="B47">
        <f t="shared" si="11"/>
        <v>23</v>
      </c>
      <c r="C47" t="str">
        <f t="shared" si="4"/>
        <v>June</v>
      </c>
      <c r="D47" s="11">
        <f>7*15*96+14*96+15*72</f>
        <v>12504</v>
      </c>
      <c r="E47" s="11">
        <f>22*15*96+15*72+11*96</f>
        <v>33816</v>
      </c>
      <c r="H47" s="11">
        <f>15*16*35+13*35+15*35</f>
        <v>9380</v>
      </c>
      <c r="K47" s="11">
        <v>36</v>
      </c>
      <c r="L47" s="11">
        <v>37</v>
      </c>
      <c r="O47" s="11">
        <f>38+18+32+44</f>
        <v>132</v>
      </c>
      <c r="Q47" s="11">
        <f>+SUM(K47:M47)/Weights!$B$2</f>
        <v>1153.5802469135804</v>
      </c>
      <c r="R47" s="11">
        <f>+SUM(N47:P47)/Weights!$B$4</f>
        <v>844.8</v>
      </c>
      <c r="S47" s="121">
        <f t="shared" si="2"/>
        <v>2.4904582187253461E-2</v>
      </c>
      <c r="T47" s="121">
        <f t="shared" si="8"/>
        <v>9.0063965884861402E-2</v>
      </c>
      <c r="AF47" s="11">
        <v>90000</v>
      </c>
      <c r="AG47" s="11">
        <v>15000</v>
      </c>
    </row>
    <row r="48" spans="1:33" x14ac:dyDescent="0.35">
      <c r="A48" s="2">
        <f>WORKDAY.INTL(A47,1,,'Don''t Change'!$A$2:$A$7)</f>
        <v>46178</v>
      </c>
      <c r="B48">
        <f t="shared" si="11"/>
        <v>23</v>
      </c>
      <c r="C48" t="str">
        <f t="shared" si="4"/>
        <v>June</v>
      </c>
      <c r="Q48" s="11">
        <f>+SUM(K48:M48)/Weights!$B$2</f>
        <v>0</v>
      </c>
      <c r="R48" s="11">
        <f>+SUM(N48:P48)/Weights!$B$4</f>
        <v>0</v>
      </c>
      <c r="S48" s="121" t="str">
        <f t="shared" si="2"/>
        <v/>
      </c>
      <c r="T48" s="121" t="str">
        <f t="shared" si="8"/>
        <v/>
      </c>
    </row>
    <row r="49" spans="1:20" x14ac:dyDescent="0.35">
      <c r="A49" s="2">
        <f>WORKDAY.INTL(A48,1,,'Don''t Change'!$A$2:$A$7)</f>
        <v>46181</v>
      </c>
      <c r="B49">
        <f t="shared" si="11"/>
        <v>24</v>
      </c>
      <c r="C49" t="str">
        <f t="shared" si="4"/>
        <v>June</v>
      </c>
      <c r="Q49" s="11">
        <f>+SUM(K49:M49)/Weights!$B$2</f>
        <v>0</v>
      </c>
      <c r="R49" s="11">
        <f>+SUM(N49:P49)/Weights!$B$4</f>
        <v>0</v>
      </c>
      <c r="S49" s="121" t="str">
        <f t="shared" si="2"/>
        <v/>
      </c>
      <c r="T49" s="121" t="str">
        <f t="shared" si="8"/>
        <v/>
      </c>
    </row>
    <row r="50" spans="1:20" x14ac:dyDescent="0.35">
      <c r="A50" s="2">
        <f>WORKDAY.INTL(A49,1,,'Don''t Change'!$A$2:$A$7)</f>
        <v>46182</v>
      </c>
      <c r="B50">
        <f t="shared" si="11"/>
        <v>24</v>
      </c>
      <c r="C50" t="str">
        <f t="shared" si="4"/>
        <v>June</v>
      </c>
      <c r="D50" s="11">
        <v>49168</v>
      </c>
      <c r="E50" s="11">
        <v>34352</v>
      </c>
      <c r="H50" s="11">
        <v>7315</v>
      </c>
      <c r="K50" s="11">
        <v>229</v>
      </c>
      <c r="L50" s="11">
        <v>203</v>
      </c>
      <c r="O50" s="11">
        <v>32</v>
      </c>
      <c r="Q50" s="11">
        <f>+SUM(K50:M50)/Weights!$B$2</f>
        <v>6826.666666666667</v>
      </c>
      <c r="R50" s="11">
        <f>+SUM(N50:P50)/Weights!$B$4</f>
        <v>204.8</v>
      </c>
      <c r="S50" s="121">
        <f t="shared" si="2"/>
        <v>8.1736909323116225E-2</v>
      </c>
      <c r="T50" s="121">
        <f t="shared" si="8"/>
        <v>2.7997265892002736E-2</v>
      </c>
    </row>
    <row r="51" spans="1:20" x14ac:dyDescent="0.35">
      <c r="A51" s="2">
        <f>WORKDAY.INTL(A50,1,,'Don''t Change'!$A$2:$A$7)</f>
        <v>46183</v>
      </c>
      <c r="B51">
        <f t="shared" si="11"/>
        <v>24</v>
      </c>
      <c r="C51" t="str">
        <f t="shared" si="4"/>
        <v>June</v>
      </c>
      <c r="D51" s="11">
        <f>18720+25200</f>
        <v>43920</v>
      </c>
      <c r="H51" s="11">
        <v>10500</v>
      </c>
      <c r="K51" s="11">
        <f>62+36</f>
        <v>98</v>
      </c>
      <c r="O51" s="11">
        <v>62</v>
      </c>
      <c r="Q51" s="11">
        <f>+SUM(K51:M51)/Weights!$B$2</f>
        <v>1548.641975308642</v>
      </c>
      <c r="R51" s="11">
        <f>+SUM(N51:P51)/Weights!$B$4</f>
        <v>396.8</v>
      </c>
      <c r="S51" s="121">
        <f t="shared" si="2"/>
        <v>3.5260518563493673E-2</v>
      </c>
      <c r="T51" s="121">
        <f t="shared" si="8"/>
        <v>3.7790476190476194E-2</v>
      </c>
    </row>
    <row r="52" spans="1:20" x14ac:dyDescent="0.35">
      <c r="A52" s="2">
        <f>WORKDAY.INTL(A51,1,,'Don''t Change'!$A$2:$A$7)</f>
        <v>46184</v>
      </c>
      <c r="B52">
        <f t="shared" si="11"/>
        <v>24</v>
      </c>
      <c r="C52" t="str">
        <f t="shared" si="4"/>
        <v>June</v>
      </c>
      <c r="D52" s="74">
        <v>61488</v>
      </c>
      <c r="E52" s="74">
        <v>2765</v>
      </c>
      <c r="F52" s="74"/>
      <c r="H52" s="11">
        <v>9975</v>
      </c>
      <c r="K52" s="11">
        <v>101</v>
      </c>
      <c r="L52" s="11">
        <v>31</v>
      </c>
      <c r="O52" s="11">
        <v>122</v>
      </c>
      <c r="Q52" s="11">
        <f>+SUM(K52:M52)/Weights!$B$2</f>
        <v>2085.9259259259261</v>
      </c>
      <c r="R52" s="11">
        <f>+SUM(N52:P52)/Weights!$B$4</f>
        <v>780.8</v>
      </c>
      <c r="S52" s="121">
        <f t="shared" si="2"/>
        <v>3.246425732535331E-2</v>
      </c>
      <c r="T52" s="121">
        <f t="shared" si="8"/>
        <v>7.8275689223057637E-2</v>
      </c>
    </row>
    <row r="53" spans="1:20" x14ac:dyDescent="0.35">
      <c r="A53" s="2">
        <f>WORKDAY.INTL(A52,1,,'Don''t Change'!$A$2:$A$7)</f>
        <v>46185</v>
      </c>
      <c r="B53">
        <f t="shared" si="11"/>
        <v>24</v>
      </c>
      <c r="C53" t="str">
        <f t="shared" si="4"/>
        <v>June</v>
      </c>
      <c r="Q53" s="11">
        <f>+SUM(K53:M53)/Weights!$B$2</f>
        <v>0</v>
      </c>
      <c r="R53" s="11">
        <f>+SUM(N53:P53)/Weights!$B$4</f>
        <v>0</v>
      </c>
      <c r="S53" s="121" t="str">
        <f t="shared" si="2"/>
        <v/>
      </c>
      <c r="T53" s="121" t="str">
        <f t="shared" si="8"/>
        <v/>
      </c>
    </row>
    <row r="54" spans="1:20" x14ac:dyDescent="0.35">
      <c r="A54" s="2">
        <f>WORKDAY.INTL(A53,1,,'Don''t Change'!$A$2:$A$7)</f>
        <v>46188</v>
      </c>
      <c r="B54">
        <f t="shared" si="11"/>
        <v>25</v>
      </c>
      <c r="C54" t="str">
        <f t="shared" si="4"/>
        <v>June</v>
      </c>
      <c r="D54" s="11">
        <f>23*15*96</f>
        <v>33120</v>
      </c>
      <c r="K54" s="11">
        <v>68</v>
      </c>
      <c r="Q54" s="11">
        <f>+SUM(K54:M54)/Weights!$B$2</f>
        <v>1074.5679012345679</v>
      </c>
      <c r="R54" s="11">
        <f>+SUM(N54:P54)/Weights!$B$4</f>
        <v>0</v>
      </c>
      <c r="S54" s="121">
        <f t="shared" si="2"/>
        <v>3.2444683008290093E-2</v>
      </c>
      <c r="T54" s="121" t="str">
        <f t="shared" si="8"/>
        <v/>
      </c>
    </row>
    <row r="55" spans="1:20" x14ac:dyDescent="0.35">
      <c r="A55" s="2">
        <f>WORKDAY.INTL(A54,1,,'Don''t Change'!$A$2:$A$7)</f>
        <v>46189</v>
      </c>
      <c r="B55">
        <f t="shared" si="11"/>
        <v>25</v>
      </c>
      <c r="C55" t="str">
        <f t="shared" si="4"/>
        <v>June</v>
      </c>
      <c r="D55" s="11">
        <f>24*96*15</f>
        <v>34560</v>
      </c>
      <c r="E55" s="11">
        <f>23*15*96</f>
        <v>33120</v>
      </c>
      <c r="K55" s="11">
        <v>48</v>
      </c>
      <c r="L55" s="11">
        <v>61</v>
      </c>
      <c r="Q55" s="11">
        <f>+SUM(K55:M55)/Weights!$B$2</f>
        <v>1722.4691358024693</v>
      </c>
      <c r="R55" s="11">
        <f>+SUM(N55:P55)/Weights!$B$4</f>
        <v>0</v>
      </c>
      <c r="S55" s="121">
        <f t="shared" si="2"/>
        <v>2.5450194086915918E-2</v>
      </c>
      <c r="T55" s="121" t="str">
        <f t="shared" si="8"/>
        <v/>
      </c>
    </row>
    <row r="56" spans="1:20" x14ac:dyDescent="0.35">
      <c r="A56" s="2">
        <f>WORKDAY.INTL(A55,1,,'Don''t Change'!$A$2:$A$7)</f>
        <v>46190</v>
      </c>
      <c r="B56">
        <f t="shared" si="11"/>
        <v>25</v>
      </c>
      <c r="C56" t="str">
        <f t="shared" si="4"/>
        <v>June</v>
      </c>
      <c r="D56" s="11">
        <f>17*15*96+38.5*96</f>
        <v>28176</v>
      </c>
      <c r="E56" s="11">
        <f>18*15*96+7.5*96</f>
        <v>26640</v>
      </c>
      <c r="H56" s="11">
        <f>40*35</f>
        <v>1400</v>
      </c>
      <c r="K56" s="11">
        <f>18+5</f>
        <v>23</v>
      </c>
      <c r="L56" s="11">
        <v>206</v>
      </c>
      <c r="O56" s="11">
        <v>14</v>
      </c>
      <c r="Q56" s="11">
        <f>+SUM(K56:M56)/Weights!$B$2</f>
        <v>3618.7654320987658</v>
      </c>
      <c r="R56" s="11">
        <f>+SUM(N56:P56)/Weights!$B$4</f>
        <v>89.6</v>
      </c>
      <c r="S56" s="121">
        <f t="shared" si="2"/>
        <v>6.6016590632274622E-2</v>
      </c>
      <c r="T56" s="121">
        <f t="shared" si="8"/>
        <v>6.4000000000000001E-2</v>
      </c>
    </row>
    <row r="57" spans="1:20" x14ac:dyDescent="0.35">
      <c r="A57" s="2">
        <f>WORKDAY.INTL(A56,1,,'Don''t Change'!$A$2:$A$7)</f>
        <v>46191</v>
      </c>
      <c r="B57">
        <f t="shared" si="11"/>
        <v>25</v>
      </c>
      <c r="C57" t="str">
        <f t="shared" si="4"/>
        <v>June</v>
      </c>
      <c r="D57" s="11">
        <f>20*15*96+11.5*96</f>
        <v>29904</v>
      </c>
      <c r="E57" s="11">
        <f>22*15*96+8*96</f>
        <v>32448</v>
      </c>
      <c r="H57" s="11">
        <f>12*15*35</f>
        <v>6300</v>
      </c>
      <c r="K57" s="11">
        <v>50</v>
      </c>
      <c r="L57" s="11">
        <v>84</v>
      </c>
      <c r="O57" s="11">
        <v>23</v>
      </c>
      <c r="Q57" s="11">
        <f>+SUM(K57:M57)/Weights!$B$2</f>
        <v>2117.5308641975312</v>
      </c>
      <c r="R57" s="11">
        <f>+SUM(N57:P57)/Weights!$B$4</f>
        <v>147.19999999999999</v>
      </c>
      <c r="S57" s="121">
        <f t="shared" si="2"/>
        <v>3.3960913269783344E-2</v>
      </c>
      <c r="T57" s="121">
        <f t="shared" si="8"/>
        <v>2.3365079365079363E-2</v>
      </c>
    </row>
    <row r="58" spans="1:20" x14ac:dyDescent="0.35">
      <c r="A58" s="2">
        <f>WORKDAY.INTL(A57,1,,'Don''t Change'!$A$2:$A$7)</f>
        <v>46192</v>
      </c>
      <c r="B58">
        <f t="shared" si="11"/>
        <v>25</v>
      </c>
      <c r="C58" t="str">
        <f t="shared" si="4"/>
        <v>June</v>
      </c>
      <c r="Q58" s="11">
        <f>+SUM(K58:M58)/Weights!$B$2</f>
        <v>0</v>
      </c>
      <c r="R58" s="11">
        <f>+SUM(N58:P58)/Weights!$B$4</f>
        <v>0</v>
      </c>
      <c r="S58" s="121" t="str">
        <f t="shared" si="2"/>
        <v/>
      </c>
      <c r="T58" s="121" t="str">
        <f t="shared" si="8"/>
        <v/>
      </c>
    </row>
    <row r="59" spans="1:20" x14ac:dyDescent="0.35">
      <c r="A59" s="2">
        <f>WORKDAY.INTL(A58,1,,'Don''t Change'!$A$2:$A$7)</f>
        <v>46195</v>
      </c>
      <c r="B59">
        <f t="shared" si="11"/>
        <v>26</v>
      </c>
      <c r="C59" t="str">
        <f t="shared" si="4"/>
        <v>June</v>
      </c>
      <c r="D59" s="11">
        <f>24*15*96+14.5*96-492</f>
        <v>35460</v>
      </c>
      <c r="E59" s="11">
        <f>25*15*96+10*96</f>
        <v>36960</v>
      </c>
      <c r="H59" s="11">
        <f>8313</f>
        <v>8313</v>
      </c>
      <c r="K59" s="11">
        <v>55</v>
      </c>
      <c r="L59" s="11">
        <v>82</v>
      </c>
      <c r="O59" s="11">
        <v>279</v>
      </c>
      <c r="Q59" s="11">
        <f>+SUM(K59:M59)/Weights!$B$2</f>
        <v>2164.9382716049386</v>
      </c>
      <c r="R59" s="11">
        <f>+SUM(N59:P59)/Weights!$B$4</f>
        <v>1785.6</v>
      </c>
      <c r="S59" s="121">
        <f t="shared" si="2"/>
        <v>2.9894204247513649E-2</v>
      </c>
      <c r="T59" s="121">
        <f t="shared" si="8"/>
        <v>0.21479610249007577</v>
      </c>
    </row>
    <row r="60" spans="1:20" x14ac:dyDescent="0.35">
      <c r="A60" s="2">
        <f>WORKDAY.INTL(A59,1,,'Don''t Change'!$A$2:$A$7)</f>
        <v>46196</v>
      </c>
      <c r="B60">
        <f t="shared" si="11"/>
        <v>26</v>
      </c>
      <c r="C60" t="str">
        <f t="shared" si="4"/>
        <v>June</v>
      </c>
      <c r="D60" s="11">
        <f>32*15*96</f>
        <v>46080</v>
      </c>
      <c r="E60" s="11">
        <v>13015</v>
      </c>
      <c r="H60" s="11">
        <f>18*15*35</f>
        <v>9450</v>
      </c>
      <c r="K60" s="11">
        <v>60</v>
      </c>
      <c r="L60" s="11">
        <v>122</v>
      </c>
      <c r="O60" s="11">
        <v>474</v>
      </c>
      <c r="Q60" s="11">
        <f>+SUM(K60:M60)/Weights!$B$2</f>
        <v>2876.0493827160494</v>
      </c>
      <c r="R60" s="11">
        <f>+SUM(N60:P60)/Weights!$B$4</f>
        <v>3033.6</v>
      </c>
      <c r="S60" s="121">
        <f t="shared" si="2"/>
        <v>4.8668235598883988E-2</v>
      </c>
      <c r="T60" s="121">
        <f t="shared" si="8"/>
        <v>0.32101587301587303</v>
      </c>
    </row>
    <row r="61" spans="1:20" x14ac:dyDescent="0.35">
      <c r="A61" s="2">
        <f>WORKDAY.INTL(A60,1,,'Don''t Change'!$A$2:$A$7)</f>
        <v>46197</v>
      </c>
      <c r="B61">
        <f t="shared" si="11"/>
        <v>26</v>
      </c>
      <c r="C61" t="str">
        <f t="shared" si="4"/>
        <v>June</v>
      </c>
      <c r="D61" s="11">
        <f>20*15*96</f>
        <v>28800</v>
      </c>
      <c r="E61" s="11">
        <f>34*15*96+9*96</f>
        <v>49824</v>
      </c>
      <c r="G61" s="11">
        <f>29*15*35+9*35</f>
        <v>15540</v>
      </c>
      <c r="K61" s="11">
        <v>43</v>
      </c>
      <c r="L61" s="11">
        <v>79</v>
      </c>
      <c r="N61" s="11">
        <f>408+106</f>
        <v>514</v>
      </c>
      <c r="Q61" s="11">
        <f>+SUM(K61:M61)/Weights!$B$2</f>
        <v>1927.9012345679014</v>
      </c>
      <c r="R61" s="11">
        <f>+SUM(N61:P61)/Weights!$B$4</f>
        <v>3289.6</v>
      </c>
      <c r="S61" s="121">
        <f t="shared" si="2"/>
        <v>2.4520518347678842E-2</v>
      </c>
      <c r="T61" s="121">
        <f t="shared" si="8"/>
        <v>0.21168597168597167</v>
      </c>
    </row>
    <row r="62" spans="1:20" x14ac:dyDescent="0.35">
      <c r="A62" s="2">
        <f>WORKDAY.INTL(A61,1,,'Don''t Change'!$A$2:$A$7)</f>
        <v>46198</v>
      </c>
      <c r="B62">
        <f t="shared" si="11"/>
        <v>26</v>
      </c>
      <c r="C62" t="str">
        <f t="shared" si="4"/>
        <v>June</v>
      </c>
      <c r="D62" s="11">
        <f>33*15*96+16*96</f>
        <v>49056</v>
      </c>
      <c r="E62" s="11">
        <f>33*15*96+26*6</f>
        <v>47676</v>
      </c>
      <c r="G62" s="11">
        <f>7*15*35+8*35+16*35</f>
        <v>4515</v>
      </c>
      <c r="K62" s="11">
        <v>150</v>
      </c>
      <c r="L62" s="11">
        <v>63</v>
      </c>
      <c r="N62" s="11">
        <v>278</v>
      </c>
      <c r="Q62" s="11">
        <f>+SUM(K62:M62)/Weights!$B$2</f>
        <v>3365.9259259259261</v>
      </c>
      <c r="R62" s="11">
        <f>+SUM(N62:P62)/Weights!$B$4</f>
        <v>1779.2</v>
      </c>
      <c r="S62" s="121">
        <f t="shared" si="2"/>
        <v>3.4796405800830398E-2</v>
      </c>
      <c r="T62" s="121">
        <f t="shared" si="8"/>
        <v>0.39406423034330013</v>
      </c>
    </row>
    <row r="63" spans="1:20" x14ac:dyDescent="0.35">
      <c r="A63" s="2">
        <f>WORKDAY.INTL(A62,1,,'Don''t Change'!$A$2:$A$7)</f>
        <v>46199</v>
      </c>
      <c r="B63">
        <f t="shared" si="11"/>
        <v>26</v>
      </c>
      <c r="C63" t="str">
        <f t="shared" si="4"/>
        <v>June</v>
      </c>
      <c r="Q63" s="11">
        <f>+SUM(K63:M63)/Weights!$B$2</f>
        <v>0</v>
      </c>
      <c r="R63" s="11">
        <f>+SUM(N63:P63)/Weights!$B$4</f>
        <v>0</v>
      </c>
      <c r="S63" s="121" t="str">
        <f t="shared" si="2"/>
        <v/>
      </c>
      <c r="T63" s="121" t="str">
        <f t="shared" si="8"/>
        <v/>
      </c>
    </row>
    <row r="64" spans="1:20" x14ac:dyDescent="0.35">
      <c r="A64" s="2">
        <f>WORKDAY.INTL(A63,1,,'Don''t Change'!$A$2:$A$7)</f>
        <v>46202</v>
      </c>
      <c r="B64">
        <f t="shared" si="11"/>
        <v>27</v>
      </c>
      <c r="C64" t="str">
        <f t="shared" si="4"/>
        <v>June</v>
      </c>
      <c r="D64" s="11">
        <f>29*15*96+12*96</f>
        <v>42912</v>
      </c>
      <c r="E64" s="11">
        <f>25*15*96+11*96</f>
        <v>37056</v>
      </c>
      <c r="G64" s="11">
        <f>14*15*35+7*35</f>
        <v>7595</v>
      </c>
      <c r="H64" s="11">
        <f>12*15*35</f>
        <v>6300</v>
      </c>
      <c r="K64" s="11">
        <f>74+183</f>
        <v>257</v>
      </c>
      <c r="L64" s="11">
        <v>172</v>
      </c>
      <c r="N64" s="11">
        <v>120</v>
      </c>
      <c r="O64" s="11">
        <v>46</v>
      </c>
      <c r="Q64" s="11">
        <f>+SUM(K64:M64)/Weights!$B$2</f>
        <v>6779.2592592592591</v>
      </c>
      <c r="R64" s="11">
        <f>+SUM(N64:P64)/Weights!$B$4</f>
        <v>1062.4000000000001</v>
      </c>
      <c r="S64" s="121">
        <f t="shared" si="2"/>
        <v>8.4774650600981133E-2</v>
      </c>
      <c r="T64" s="121">
        <f t="shared" si="8"/>
        <v>7.6459157970492991E-2</v>
      </c>
    </row>
    <row r="65" spans="1:20" x14ac:dyDescent="0.35">
      <c r="A65" s="2">
        <f>WORKDAY.INTL(A64,1,,'Don''t Change'!$A$2:$A$7)</f>
        <v>46203</v>
      </c>
      <c r="B65">
        <f t="shared" si="11"/>
        <v>27</v>
      </c>
      <c r="C65" t="str">
        <f t="shared" si="4"/>
        <v>June</v>
      </c>
      <c r="D65" s="11">
        <f>21*15*96+11*96</f>
        <v>31296</v>
      </c>
      <c r="E65" s="11">
        <f>35*15*96+5*6</f>
        <v>50430</v>
      </c>
      <c r="G65" s="11">
        <f>70*35</f>
        <v>2450</v>
      </c>
      <c r="H65" s="11">
        <f>25*15*35+70</f>
        <v>13195</v>
      </c>
      <c r="K65" s="11">
        <v>198</v>
      </c>
      <c r="L65" s="11">
        <v>80</v>
      </c>
      <c r="N65" s="11">
        <v>100</v>
      </c>
      <c r="O65" s="11">
        <f>684-288</f>
        <v>396</v>
      </c>
      <c r="Q65" s="11">
        <f>+SUM(K65:M65)/Weights!$B$2</f>
        <v>4393.0864197530864</v>
      </c>
      <c r="R65" s="11">
        <f>+SUM(N65:P65)/Weights!$B$4</f>
        <v>3174.4</v>
      </c>
      <c r="S65" s="121">
        <f t="shared" si="2"/>
        <v>5.3753841124649274E-2</v>
      </c>
      <c r="T65" s="121">
        <f t="shared" si="8"/>
        <v>0.20290188558644934</v>
      </c>
    </row>
    <row r="66" spans="1:20" x14ac:dyDescent="0.35">
      <c r="A66" s="2">
        <f>WORKDAY.INTL(A65,1,,'Don''t Change'!$A$2:$A$7)</f>
        <v>46204</v>
      </c>
      <c r="B66">
        <f t="shared" si="11"/>
        <v>27</v>
      </c>
      <c r="C66" t="str">
        <f t="shared" si="4"/>
        <v>July</v>
      </c>
      <c r="D66" s="11">
        <f>25*15*96</f>
        <v>36000</v>
      </c>
      <c r="E66" s="11">
        <f>25*15*96</f>
        <v>36000</v>
      </c>
      <c r="H66" s="11">
        <f>25*15*35+8*35</f>
        <v>13405</v>
      </c>
      <c r="K66" s="11">
        <f>45+10+34</f>
        <v>89</v>
      </c>
      <c r="L66" s="11">
        <v>96</v>
      </c>
      <c r="O66" s="11">
        <f>88+96</f>
        <v>184</v>
      </c>
      <c r="Q66" s="11">
        <f>+SUM(K66:M66)/Weights!$B$2</f>
        <v>2923.4567901234568</v>
      </c>
      <c r="R66" s="11">
        <f>+SUM(N66:P66)/Weights!$B$4</f>
        <v>1177.5999999999999</v>
      </c>
      <c r="S66" s="121">
        <f t="shared" si="2"/>
        <v>4.0603566529492457E-2</v>
      </c>
      <c r="T66" s="121">
        <f t="shared" si="8"/>
        <v>8.7847817978366272E-2</v>
      </c>
    </row>
    <row r="67" spans="1:20" x14ac:dyDescent="0.35">
      <c r="A67" s="2">
        <v>46205</v>
      </c>
      <c r="B67">
        <f t="shared" si="11"/>
        <v>27</v>
      </c>
      <c r="C67" t="str">
        <f t="shared" si="4"/>
        <v>July</v>
      </c>
      <c r="D67" s="11">
        <f>32*15*96+10*96</f>
        <v>47040</v>
      </c>
      <c r="E67" s="11">
        <f>33*15*96+16*96</f>
        <v>49056</v>
      </c>
      <c r="G67" s="11">
        <f>25*15*35</f>
        <v>13125</v>
      </c>
      <c r="H67" s="11">
        <f>25*15*35+9*35</f>
        <v>13440</v>
      </c>
      <c r="K67" s="11">
        <v>238</v>
      </c>
      <c r="L67" s="11">
        <v>122</v>
      </c>
      <c r="N67" s="11">
        <v>56</v>
      </c>
      <c r="O67" s="11">
        <v>56</v>
      </c>
      <c r="Q67" s="11">
        <f>+SUM(K67:M67)/Weights!$B$2</f>
        <v>5688.8888888888887</v>
      </c>
      <c r="R67" s="11">
        <f>+SUM(N67:P67)/Weights!$B$4</f>
        <v>716.8</v>
      </c>
      <c r="S67" s="121">
        <f t="shared" si="2"/>
        <v>5.9200059200059198E-2</v>
      </c>
      <c r="T67" s="121">
        <f t="shared" si="8"/>
        <v>2.6982872200263502E-2</v>
      </c>
    </row>
    <row r="68" spans="1:20" x14ac:dyDescent="0.35">
      <c r="A68" s="2">
        <f>WORKDAY.INTL(A67,1,,'Don''t Change'!$A$2:$A$7)</f>
        <v>46206</v>
      </c>
      <c r="B68">
        <f t="shared" si="11"/>
        <v>27</v>
      </c>
      <c r="C68" t="str">
        <f t="shared" si="4"/>
        <v>July</v>
      </c>
      <c r="Q68" s="11">
        <f>+SUM(K68:M68)/Weights!$B$2</f>
        <v>0</v>
      </c>
      <c r="R68" s="11">
        <f>+SUM(N68:P68)/Weights!$B$4</f>
        <v>0</v>
      </c>
      <c r="S68" s="121" t="str">
        <f t="shared" ref="S68:S131" si="12">IFERROR(Q68/SUM(D68:F68),"")</f>
        <v/>
      </c>
      <c r="T68" s="121" t="str">
        <f t="shared" si="8"/>
        <v/>
      </c>
    </row>
    <row r="69" spans="1:20" x14ac:dyDescent="0.35">
      <c r="A69" s="2">
        <f>WORKDAY.INTL(A68,1,,'Don''t Change'!$A$2:$A$7)</f>
        <v>46209</v>
      </c>
      <c r="B69">
        <f t="shared" si="11"/>
        <v>28</v>
      </c>
      <c r="C69" t="str">
        <f t="shared" si="4"/>
        <v>July</v>
      </c>
      <c r="D69" s="11">
        <f>24*15*96</f>
        <v>34560</v>
      </c>
      <c r="E69" s="11">
        <f>14*15*96+10*96</f>
        <v>21120</v>
      </c>
      <c r="G69" s="11">
        <f>39*35</f>
        <v>1365</v>
      </c>
      <c r="I69" s="11">
        <f>9*15*35</f>
        <v>4725</v>
      </c>
      <c r="K69" s="11">
        <f>308-140+1086-192.02</f>
        <v>1061.98</v>
      </c>
      <c r="L69" s="11">
        <v>172</v>
      </c>
      <c r="N69" s="11">
        <f>44+184</f>
        <v>228</v>
      </c>
      <c r="P69" s="11">
        <f>42</f>
        <v>42</v>
      </c>
      <c r="Q69" s="11">
        <f>+SUM(K69:M69)/Weights!$B$2</f>
        <v>19499.930864197533</v>
      </c>
      <c r="R69" s="11">
        <f>+SUM(N69:P69)/Weights!$B$4</f>
        <v>1728</v>
      </c>
      <c r="S69" s="121">
        <f t="shared" si="12"/>
        <v>0.35021427557826029</v>
      </c>
      <c r="T69" s="121">
        <f t="shared" si="8"/>
        <v>0.28374384236453204</v>
      </c>
    </row>
    <row r="70" spans="1:20" x14ac:dyDescent="0.35">
      <c r="A70" s="2">
        <f>WORKDAY.INTL(A69,1,,'Don''t Change'!$A$2:$A$7)</f>
        <v>46210</v>
      </c>
      <c r="B70">
        <f t="shared" si="11"/>
        <v>28</v>
      </c>
      <c r="C70" t="str">
        <f t="shared" si="4"/>
        <v>July</v>
      </c>
      <c r="D70" s="11">
        <v>44064</v>
      </c>
      <c r="E70" s="11">
        <v>41760</v>
      </c>
      <c r="G70" s="11">
        <f>21*15*35+9*35</f>
        <v>11340</v>
      </c>
      <c r="I70" s="11">
        <f>23*15*35</f>
        <v>12075</v>
      </c>
      <c r="K70" s="11">
        <v>222</v>
      </c>
      <c r="L70" s="11">
        <v>204</v>
      </c>
      <c r="N70" s="11">
        <v>71</v>
      </c>
      <c r="P70" s="11">
        <v>150</v>
      </c>
      <c r="Q70" s="11">
        <f>+SUM(K70:M70)/Weights!$B$2</f>
        <v>6731.8518518518522</v>
      </c>
      <c r="R70" s="11">
        <f>+SUM(N70:P70)/Weights!$B$4</f>
        <v>1414.4</v>
      </c>
      <c r="S70" s="121">
        <f t="shared" si="12"/>
        <v>7.843787112989202E-2</v>
      </c>
      <c r="T70" s="121">
        <f t="shared" si="8"/>
        <v>6.0405722827247495E-2</v>
      </c>
    </row>
    <row r="71" spans="1:20" x14ac:dyDescent="0.35">
      <c r="A71" s="2">
        <f>WORKDAY.INTL(A70,1,,'Don''t Change'!$A$2:$A$7)</f>
        <v>46211</v>
      </c>
      <c r="B71">
        <f t="shared" si="11"/>
        <v>28</v>
      </c>
      <c r="C71" t="str">
        <f t="shared" si="4"/>
        <v>July</v>
      </c>
      <c r="D71" s="11">
        <f>31*15*96</f>
        <v>44640</v>
      </c>
      <c r="E71" s="11">
        <f>12*15*96+3.5*96</f>
        <v>17616</v>
      </c>
      <c r="G71" s="11">
        <f>20*15*35+2*35+14</f>
        <v>10584</v>
      </c>
      <c r="I71" s="11">
        <f>19*15*35+10*35</f>
        <v>10325</v>
      </c>
      <c r="K71" s="11">
        <f>28+62</f>
        <v>90</v>
      </c>
      <c r="L71" s="11">
        <v>146</v>
      </c>
      <c r="N71" s="11">
        <v>84</v>
      </c>
      <c r="P71" s="11">
        <f>22+58</f>
        <v>80</v>
      </c>
      <c r="Q71" s="11">
        <f>+SUM(K71:M71)/Weights!$B$2</f>
        <v>3729.3827160493829</v>
      </c>
      <c r="R71" s="11">
        <f>+SUM(N71:P71)/Weights!$B$4</f>
        <v>1049.5999999999999</v>
      </c>
      <c r="S71" s="121">
        <f t="shared" si="12"/>
        <v>5.9903988628395383E-2</v>
      </c>
      <c r="T71" s="121">
        <f t="shared" si="8"/>
        <v>5.0198479123822276E-2</v>
      </c>
    </row>
    <row r="72" spans="1:20" x14ac:dyDescent="0.35">
      <c r="A72" s="2">
        <f>WORKDAY.INTL(A71,1,,'Don''t Change'!$A$2:$A$7)</f>
        <v>46212</v>
      </c>
      <c r="B72">
        <f t="shared" si="11"/>
        <v>28</v>
      </c>
      <c r="C72" t="str">
        <f t="shared" ref="C72:C135" si="13">+TEXT(A72,"mmmm")</f>
        <v>July</v>
      </c>
      <c r="D72" s="11">
        <f>26*15*96+6*96</f>
        <v>38016</v>
      </c>
      <c r="E72" s="11">
        <f>20*15*96</f>
        <v>28800</v>
      </c>
      <c r="G72" s="11">
        <f>29*15*35+11*35</f>
        <v>15610</v>
      </c>
      <c r="I72" s="11">
        <f>30*15*35+10*35</f>
        <v>16100</v>
      </c>
      <c r="K72" s="11">
        <v>192</v>
      </c>
      <c r="L72" s="11">
        <v>150</v>
      </c>
      <c r="N72" s="11">
        <f>109+52</f>
        <v>161</v>
      </c>
      <c r="P72" s="11">
        <v>50</v>
      </c>
      <c r="Q72" s="11">
        <f>+SUM(K72:M72)/Weights!$B$2</f>
        <v>5404.4444444444443</v>
      </c>
      <c r="R72" s="11">
        <f>+SUM(N72:P72)/Weights!$B$4</f>
        <v>1350.4</v>
      </c>
      <c r="S72" s="121">
        <f t="shared" si="12"/>
        <v>8.0885483184333751E-2</v>
      </c>
      <c r="T72" s="121">
        <f t="shared" si="8"/>
        <v>4.2585935036266162E-2</v>
      </c>
    </row>
    <row r="73" spans="1:20" x14ac:dyDescent="0.35">
      <c r="A73" s="2">
        <f>WORKDAY.INTL(A72,1,,'Don''t Change'!$A$2:$A$7)</f>
        <v>46213</v>
      </c>
      <c r="B73">
        <f t="shared" si="11"/>
        <v>28</v>
      </c>
      <c r="C73" t="str">
        <f t="shared" si="13"/>
        <v>July</v>
      </c>
      <c r="Q73" s="11">
        <f>+SUM(K73:M73)/Weights!$B$2</f>
        <v>0</v>
      </c>
      <c r="R73" s="11">
        <f>+SUM(N73:P73)/Weights!$B$4</f>
        <v>0</v>
      </c>
      <c r="S73" s="121" t="str">
        <f t="shared" si="12"/>
        <v/>
      </c>
      <c r="T73" s="121" t="str">
        <f t="shared" si="8"/>
        <v/>
      </c>
    </row>
    <row r="74" spans="1:20" x14ac:dyDescent="0.35">
      <c r="A74" s="2">
        <f>WORKDAY.INTL(A73,1,,'Don''t Change'!$A$2:$A$7)</f>
        <v>46216</v>
      </c>
      <c r="B74">
        <f t="shared" si="11"/>
        <v>29</v>
      </c>
      <c r="C74" t="str">
        <f t="shared" si="13"/>
        <v>July</v>
      </c>
      <c r="Q74" s="11">
        <f>+SUM(K74:M74)/Weights!$B$2</f>
        <v>0</v>
      </c>
      <c r="R74" s="11">
        <f>+SUM(N74:P74)/Weights!$B$4</f>
        <v>0</v>
      </c>
      <c r="S74" s="121" t="str">
        <f t="shared" si="12"/>
        <v/>
      </c>
      <c r="T74" s="121" t="str">
        <f t="shared" si="8"/>
        <v/>
      </c>
    </row>
    <row r="75" spans="1:20" x14ac:dyDescent="0.35">
      <c r="A75" s="2">
        <f>WORKDAY.INTL(A74,1,,'Don''t Change'!$A$2:$A$7)</f>
        <v>46217</v>
      </c>
      <c r="B75">
        <f t="shared" si="11"/>
        <v>29</v>
      </c>
      <c r="C75" t="str">
        <f t="shared" si="13"/>
        <v>July</v>
      </c>
      <c r="Q75" s="11">
        <f>+SUM(K75:M75)/Weights!$B$2</f>
        <v>0</v>
      </c>
      <c r="R75" s="11">
        <f>+SUM(N75:P75)/Weights!$B$4</f>
        <v>0</v>
      </c>
      <c r="S75" s="121" t="str">
        <f t="shared" si="12"/>
        <v/>
      </c>
      <c r="T75" s="121" t="str">
        <f t="shared" si="8"/>
        <v/>
      </c>
    </row>
    <row r="76" spans="1:20" x14ac:dyDescent="0.35">
      <c r="A76" s="2">
        <f>WORKDAY.INTL(A75,1,,'Don''t Change'!$A$2:$A$7)</f>
        <v>46218</v>
      </c>
      <c r="B76">
        <f t="shared" si="11"/>
        <v>29</v>
      </c>
      <c r="C76" t="str">
        <f t="shared" si="13"/>
        <v>July</v>
      </c>
      <c r="Q76" s="11">
        <f>+SUM(K76:M76)/Weights!$B$2</f>
        <v>0</v>
      </c>
      <c r="R76" s="11">
        <f>+SUM(N76:P76)/Weights!$B$4</f>
        <v>0</v>
      </c>
      <c r="S76" s="121" t="str">
        <f t="shared" si="12"/>
        <v/>
      </c>
      <c r="T76" s="121" t="str">
        <f t="shared" si="8"/>
        <v/>
      </c>
    </row>
    <row r="77" spans="1:20" x14ac:dyDescent="0.35">
      <c r="A77" s="2">
        <f>WORKDAY.INTL(A76,1,,'Don''t Change'!$A$2:$A$7)</f>
        <v>46219</v>
      </c>
      <c r="B77">
        <f t="shared" si="11"/>
        <v>29</v>
      </c>
      <c r="C77" t="str">
        <f t="shared" si="13"/>
        <v>July</v>
      </c>
      <c r="Q77" s="11">
        <f>+SUM(K77:M77)/Weights!$B$2</f>
        <v>0</v>
      </c>
      <c r="R77" s="11">
        <f>+SUM(N77:P77)/Weights!$B$4</f>
        <v>0</v>
      </c>
      <c r="S77" s="121" t="str">
        <f t="shared" si="12"/>
        <v/>
      </c>
      <c r="T77" s="121" t="str">
        <f t="shared" ref="T77:T140" si="14">IFERROR(R77/SUM(G77:I77),"")</f>
        <v/>
      </c>
    </row>
    <row r="78" spans="1:20" x14ac:dyDescent="0.35">
      <c r="A78" s="2">
        <f>WORKDAY.INTL(A77,1,,'Don''t Change'!$A$2:$A$7)</f>
        <v>46220</v>
      </c>
      <c r="B78">
        <f t="shared" si="11"/>
        <v>29</v>
      </c>
      <c r="C78" t="str">
        <f t="shared" si="13"/>
        <v>July</v>
      </c>
      <c r="Q78" s="11">
        <f>+SUM(K78:M78)/Weights!$B$2</f>
        <v>0</v>
      </c>
      <c r="R78" s="11">
        <f>+SUM(N78:P78)/Weights!$B$4</f>
        <v>0</v>
      </c>
      <c r="S78" s="121" t="str">
        <f t="shared" si="12"/>
        <v/>
      </c>
      <c r="T78" s="121" t="str">
        <f t="shared" si="14"/>
        <v/>
      </c>
    </row>
    <row r="79" spans="1:20" x14ac:dyDescent="0.35">
      <c r="A79" s="2">
        <f>WORKDAY.INTL(A78,1,,'Don''t Change'!$A$2:$A$7)</f>
        <v>46223</v>
      </c>
      <c r="B79">
        <f t="shared" si="11"/>
        <v>30</v>
      </c>
      <c r="C79" t="str">
        <f t="shared" si="13"/>
        <v>July</v>
      </c>
      <c r="D79" s="11">
        <f>18*15*96+3*96</f>
        <v>26208</v>
      </c>
      <c r="E79" s="11">
        <f>18*15*96+7*96</f>
        <v>26592</v>
      </c>
      <c r="K79" s="11">
        <f>82+12</f>
        <v>94</v>
      </c>
      <c r="L79" s="11">
        <f>94+12</f>
        <v>106</v>
      </c>
      <c r="Q79" s="11">
        <f>+SUM(K79:M79)/Weights!$B$2</f>
        <v>3160.4938271604938</v>
      </c>
      <c r="R79" s="11">
        <f>+SUM(N79:P79)/Weights!$B$4</f>
        <v>0</v>
      </c>
      <c r="S79" s="121">
        <f t="shared" si="12"/>
        <v>5.9857837635615412E-2</v>
      </c>
      <c r="T79" s="121" t="str">
        <f t="shared" si="14"/>
        <v/>
      </c>
    </row>
    <row r="80" spans="1:20" x14ac:dyDescent="0.35">
      <c r="A80" s="2">
        <f>WORKDAY.INTL(A79,1,,'Don''t Change'!$A$2:$A$7)</f>
        <v>46224</v>
      </c>
      <c r="B80">
        <f t="shared" si="11"/>
        <v>30</v>
      </c>
      <c r="C80" t="str">
        <f t="shared" si="13"/>
        <v>July</v>
      </c>
      <c r="D80" s="11">
        <f>34*15*96+2*96</f>
        <v>49152</v>
      </c>
      <c r="E80" s="11">
        <f>22*15*96+10*96+11*96</f>
        <v>33696</v>
      </c>
      <c r="G80" s="11">
        <f>29*15*35+5*35</f>
        <v>15400</v>
      </c>
      <c r="I80" s="11">
        <f>27*15*35+2*35</f>
        <v>14245</v>
      </c>
      <c r="K80" s="11">
        <f>121+26</f>
        <v>147</v>
      </c>
      <c r="L80" s="11">
        <f>104+26</f>
        <v>130</v>
      </c>
      <c r="N80" s="11">
        <v>322</v>
      </c>
      <c r="P80" s="11">
        <f>64+84</f>
        <v>148</v>
      </c>
      <c r="Q80" s="11">
        <f>+SUM(K80:M80)/Weights!$B$2</f>
        <v>4377.2839506172841</v>
      </c>
      <c r="R80" s="11">
        <f>+SUM(N80:P80)/Weights!$B$4</f>
        <v>3008</v>
      </c>
      <c r="S80" s="121">
        <f t="shared" si="12"/>
        <v>5.283511914128626E-2</v>
      </c>
      <c r="T80" s="121">
        <f t="shared" si="14"/>
        <v>0.10146736380502615</v>
      </c>
    </row>
    <row r="81" spans="1:20" x14ac:dyDescent="0.35">
      <c r="A81" s="2">
        <f>WORKDAY.INTL(A80,1,,'Don''t Change'!$A$2:$A$7)</f>
        <v>46225</v>
      </c>
      <c r="B81">
        <f t="shared" si="11"/>
        <v>30</v>
      </c>
      <c r="C81" t="str">
        <f t="shared" si="13"/>
        <v>July</v>
      </c>
      <c r="D81" s="11">
        <f>7*15*96+14.5*96+20*15*96+12*96</f>
        <v>41424</v>
      </c>
      <c r="E81" s="11">
        <f>5*15*96+13*96+16*15*96+4*96</f>
        <v>31872</v>
      </c>
      <c r="G81" s="11">
        <f>21*15*35+10*35</f>
        <v>11375</v>
      </c>
      <c r="I81" s="11">
        <f>23*15*35+7.5*35+2.5*35</f>
        <v>12425</v>
      </c>
      <c r="K81" s="11">
        <f>54+100+218</f>
        <v>372</v>
      </c>
      <c r="L81" s="11">
        <f>50+88</f>
        <v>138</v>
      </c>
      <c r="N81" s="11">
        <f>78+195</f>
        <v>273</v>
      </c>
      <c r="P81" s="11">
        <f>44+195</f>
        <v>239</v>
      </c>
      <c r="Q81" s="11">
        <f>+SUM(K81:M81)/Weights!$B$2</f>
        <v>8059.25925925926</v>
      </c>
      <c r="R81" s="11">
        <f>+SUM(N81:P81)/Weights!$B$4</f>
        <v>3276.8</v>
      </c>
      <c r="S81" s="121">
        <f t="shared" si="12"/>
        <v>0.10995496697308529</v>
      </c>
      <c r="T81" s="121">
        <f t="shared" si="14"/>
        <v>0.13768067226890757</v>
      </c>
    </row>
    <row r="82" spans="1:20" x14ac:dyDescent="0.35">
      <c r="A82" s="2">
        <f>WORKDAY.INTL(A81,1,,'Don''t Change'!$A$2:$A$7)</f>
        <v>46226</v>
      </c>
      <c r="B82">
        <f t="shared" si="11"/>
        <v>30</v>
      </c>
      <c r="C82" t="str">
        <f t="shared" si="13"/>
        <v>July</v>
      </c>
      <c r="D82" s="11">
        <f>28*15*96+4*96</f>
        <v>40704</v>
      </c>
      <c r="E82" s="11">
        <f>24*15*96</f>
        <v>34560</v>
      </c>
      <c r="G82" s="11">
        <f>20*15*35+3.5*35</f>
        <v>10622.5</v>
      </c>
      <c r="I82" s="11">
        <f>20*15*35+12*35</f>
        <v>10920</v>
      </c>
      <c r="K82" s="11">
        <f>131+34</f>
        <v>165</v>
      </c>
      <c r="L82" s="11">
        <f>174+34</f>
        <v>208</v>
      </c>
      <c r="N82" s="11">
        <v>97</v>
      </c>
      <c r="P82" s="11">
        <v>80</v>
      </c>
      <c r="Q82" s="11">
        <f>+SUM(K82:M82)/Weights!$B$2</f>
        <v>5894.3209876543215</v>
      </c>
      <c r="R82" s="11">
        <f>+SUM(N82:P82)/Weights!$B$4</f>
        <v>1132.8</v>
      </c>
      <c r="S82" s="121">
        <f t="shared" si="12"/>
        <v>7.8315276727975142E-2</v>
      </c>
      <c r="T82" s="121">
        <f t="shared" si="14"/>
        <v>5.2584426134385513E-2</v>
      </c>
    </row>
    <row r="83" spans="1:20" x14ac:dyDescent="0.35">
      <c r="A83" s="2">
        <f>WORKDAY.INTL(A82,1,,'Don''t Change'!$A$2:$A$7)</f>
        <v>46227</v>
      </c>
      <c r="B83">
        <f t="shared" si="11"/>
        <v>30</v>
      </c>
      <c r="C83" t="str">
        <f t="shared" si="13"/>
        <v>July</v>
      </c>
      <c r="Q83" s="11">
        <f>+SUM(K83:M83)/Weights!$B$2</f>
        <v>0</v>
      </c>
      <c r="R83" s="11">
        <f>+SUM(N83:P83)/Weights!$B$4</f>
        <v>0</v>
      </c>
      <c r="S83" s="121" t="str">
        <f t="shared" si="12"/>
        <v/>
      </c>
      <c r="T83" s="121" t="str">
        <f t="shared" si="14"/>
        <v/>
      </c>
    </row>
    <row r="84" spans="1:20" x14ac:dyDescent="0.35">
      <c r="A84" s="2">
        <f>WORKDAY.INTL(A83,1,,'Don''t Change'!$A$2:$A$7)</f>
        <v>46230</v>
      </c>
      <c r="B84">
        <f t="shared" si="11"/>
        <v>31</v>
      </c>
      <c r="C84" t="str">
        <f t="shared" si="13"/>
        <v>July</v>
      </c>
      <c r="D84" s="11">
        <f>23*15*96+3*96</f>
        <v>33408</v>
      </c>
      <c r="E84" s="11">
        <f>16*15*96</f>
        <v>23040</v>
      </c>
      <c r="G84" s="11">
        <f>33*15*35+14.5*35</f>
        <v>17832.5</v>
      </c>
      <c r="I84" s="11">
        <f>14*15*35+210</f>
        <v>7560</v>
      </c>
      <c r="K84" s="11">
        <v>212</v>
      </c>
      <c r="L84" s="11">
        <v>212</v>
      </c>
      <c r="N84" s="11">
        <v>75</v>
      </c>
      <c r="P84" s="11">
        <v>108</v>
      </c>
      <c r="Q84" s="11">
        <f>+SUM(K84:M84)/Weights!$B$2</f>
        <v>6700.2469135802476</v>
      </c>
      <c r="R84" s="11">
        <f>+SUM(N84:P84)/Weights!$B$4</f>
        <v>1171.2</v>
      </c>
      <c r="S84" s="121">
        <f t="shared" si="12"/>
        <v>0.11869768483525099</v>
      </c>
      <c r="T84" s="121">
        <f t="shared" si="14"/>
        <v>4.6123855469134591E-2</v>
      </c>
    </row>
    <row r="85" spans="1:20" x14ac:dyDescent="0.35">
      <c r="A85" s="2">
        <f>WORKDAY.INTL(A84,1,,'Don''t Change'!$A$2:$A$7)</f>
        <v>46231</v>
      </c>
      <c r="B85">
        <f t="shared" si="11"/>
        <v>31</v>
      </c>
      <c r="C85" t="str">
        <f t="shared" si="13"/>
        <v>July</v>
      </c>
      <c r="D85" s="11">
        <v>23760</v>
      </c>
      <c r="E85" s="11">
        <v>25128</v>
      </c>
      <c r="G85" s="11">
        <v>15172</v>
      </c>
      <c r="I85" s="11">
        <v>14490</v>
      </c>
      <c r="K85" s="11">
        <v>0</v>
      </c>
      <c r="L85" s="11">
        <v>0</v>
      </c>
      <c r="N85" s="11">
        <v>46</v>
      </c>
      <c r="P85" s="11">
        <v>66</v>
      </c>
      <c r="Q85" s="11">
        <f>+SUM(K85:M85)/Weights!$B$2</f>
        <v>0</v>
      </c>
      <c r="R85" s="11">
        <f>+SUM(N85:P85)/Weights!$B$4</f>
        <v>716.8</v>
      </c>
      <c r="S85" s="121">
        <f t="shared" si="12"/>
        <v>0</v>
      </c>
      <c r="T85" s="121">
        <f t="shared" si="14"/>
        <v>2.416559908300182E-2</v>
      </c>
    </row>
    <row r="86" spans="1:20" x14ac:dyDescent="0.35">
      <c r="A86" s="2">
        <f>WORKDAY.INTL(A85,1,,'Don''t Change'!$A$2:$A$7)</f>
        <v>46232</v>
      </c>
      <c r="B86">
        <f t="shared" si="11"/>
        <v>31</v>
      </c>
      <c r="C86" t="str">
        <f t="shared" si="13"/>
        <v>July</v>
      </c>
      <c r="D86" s="11">
        <f>14*1440+8*96+8120</f>
        <v>29048</v>
      </c>
      <c r="E86" s="11">
        <f>27*1440+12*96</f>
        <v>40032</v>
      </c>
      <c r="G86" s="11">
        <f>32*15*35+6*35</f>
        <v>17010</v>
      </c>
      <c r="I86" s="11">
        <f>33*15*35+5.5*35</f>
        <v>17517.5</v>
      </c>
      <c r="K86" s="11">
        <f>84+74</f>
        <v>158</v>
      </c>
      <c r="L86" s="11">
        <v>212.85</v>
      </c>
      <c r="N86" s="11">
        <f>435+210</f>
        <v>645</v>
      </c>
      <c r="P86" s="11">
        <f>435+54</f>
        <v>489</v>
      </c>
      <c r="Q86" s="11">
        <f>+SUM(K86:M86)/Weights!$B$2</f>
        <v>5860.3456790123464</v>
      </c>
      <c r="R86" s="11">
        <f>+SUM(N86:P86)/Weights!$B$4</f>
        <v>7257.6</v>
      </c>
      <c r="S86" s="121">
        <f t="shared" si="12"/>
        <v>8.4834187594272525E-2</v>
      </c>
      <c r="T86" s="121">
        <f t="shared" si="14"/>
        <v>0.2101976685250887</v>
      </c>
    </row>
    <row r="87" spans="1:20" x14ac:dyDescent="0.35">
      <c r="A87" s="2">
        <f>WORKDAY.INTL(A86,1,,'Don''t Change'!$A$2:$A$7)</f>
        <v>46233</v>
      </c>
      <c r="B87">
        <f t="shared" si="11"/>
        <v>31</v>
      </c>
      <c r="C87" t="str">
        <f t="shared" si="13"/>
        <v>July</v>
      </c>
      <c r="D87" s="11">
        <f>24*15*96+14*96</f>
        <v>35904</v>
      </c>
      <c r="E87" s="11">
        <f>4*15*96</f>
        <v>5760</v>
      </c>
      <c r="K87" s="11">
        <v>202</v>
      </c>
      <c r="L87" s="11">
        <v>78</v>
      </c>
      <c r="Q87" s="11">
        <f>+SUM(K87:M87)/Weights!$B$2</f>
        <v>4424.6913580246919</v>
      </c>
      <c r="R87" s="11">
        <f>+SUM(N87:P87)/Weights!$B$4</f>
        <v>0</v>
      </c>
      <c r="S87" s="121">
        <f t="shared" si="12"/>
        <v>0.10619938935351123</v>
      </c>
      <c r="T87" s="121" t="str">
        <f t="shared" si="14"/>
        <v/>
      </c>
    </row>
    <row r="88" spans="1:20" x14ac:dyDescent="0.35">
      <c r="A88" s="2">
        <f>WORKDAY.INTL(A87,1,,'Don''t Change'!$A$2:$A$7)</f>
        <v>46234</v>
      </c>
      <c r="B88">
        <f t="shared" si="11"/>
        <v>31</v>
      </c>
      <c r="C88" t="str">
        <f t="shared" si="13"/>
        <v>July</v>
      </c>
      <c r="Q88" s="11">
        <f>+SUM(K88:M88)/Weights!$B$2</f>
        <v>0</v>
      </c>
      <c r="R88" s="11">
        <f>+SUM(N88:P88)/Weights!$B$4</f>
        <v>0</v>
      </c>
      <c r="S88" s="121" t="str">
        <f t="shared" si="12"/>
        <v/>
      </c>
      <c r="T88" s="121" t="str">
        <f t="shared" si="14"/>
        <v/>
      </c>
    </row>
    <row r="89" spans="1:20" x14ac:dyDescent="0.35">
      <c r="A89" s="2">
        <f>WORKDAY.INTL(A88,1,,'Don''t Change'!$A$2:$A$7)</f>
        <v>46237</v>
      </c>
      <c r="B89">
        <f t="shared" si="11"/>
        <v>32</v>
      </c>
      <c r="C89" t="str">
        <f t="shared" si="13"/>
        <v>August</v>
      </c>
      <c r="D89" s="11">
        <f>7*1440+7*96+17*15*96</f>
        <v>35232</v>
      </c>
      <c r="E89" s="11">
        <f>7*15*96+17*15*96</f>
        <v>34560</v>
      </c>
      <c r="G89" s="11">
        <f>41*15*35+19*35</f>
        <v>22190</v>
      </c>
      <c r="I89" s="11">
        <f>43*15*35</f>
        <v>22575</v>
      </c>
      <c r="K89" s="11">
        <f>61+120+16</f>
        <v>197</v>
      </c>
      <c r="L89" s="11">
        <f>24+120+16</f>
        <v>160</v>
      </c>
      <c r="N89" s="11">
        <f>98+303</f>
        <v>401</v>
      </c>
      <c r="P89" s="11">
        <f>64+303</f>
        <v>367</v>
      </c>
      <c r="Q89" s="11">
        <f>+SUM(K89:M89)/Weights!$B$2</f>
        <v>5641.4814814814818</v>
      </c>
      <c r="R89" s="11">
        <f>+SUM(N89:P89)/Weights!$B$4</f>
        <v>4915.2</v>
      </c>
      <c r="S89" s="121">
        <f t="shared" si="12"/>
        <v>8.0832781428838291E-2</v>
      </c>
      <c r="T89" s="121">
        <f t="shared" si="14"/>
        <v>0.10980006701664247</v>
      </c>
    </row>
    <row r="90" spans="1:20" x14ac:dyDescent="0.35">
      <c r="A90" s="2">
        <f>WORKDAY.INTL(A89,1,,'Don''t Change'!$A$2:$A$7)</f>
        <v>46238</v>
      </c>
      <c r="B90">
        <f t="shared" si="11"/>
        <v>32</v>
      </c>
      <c r="C90" t="str">
        <f t="shared" si="13"/>
        <v>August</v>
      </c>
      <c r="D90" s="11">
        <f>30*15*96+13*96</f>
        <v>44448</v>
      </c>
      <c r="E90" s="11">
        <f>30*15*96</f>
        <v>43200</v>
      </c>
      <c r="G90" s="11">
        <f>34*15*35</f>
        <v>17850</v>
      </c>
      <c r="I90" s="11">
        <f>33*15*35+11*35</f>
        <v>17710</v>
      </c>
      <c r="K90" s="11">
        <f>186+140</f>
        <v>326</v>
      </c>
      <c r="L90" s="11">
        <f>186+178</f>
        <v>364</v>
      </c>
      <c r="N90" s="11">
        <f>38+120</f>
        <v>158</v>
      </c>
      <c r="P90" s="11">
        <f>38+64</f>
        <v>102</v>
      </c>
      <c r="Q90" s="11">
        <f>+SUM(K90:M90)/Weights!$B$2</f>
        <v>10903.703703703704</v>
      </c>
      <c r="R90" s="11">
        <f>+SUM(N90:P90)/Weights!$B$4</f>
        <v>1664</v>
      </c>
      <c r="S90" s="121">
        <f t="shared" si="12"/>
        <v>0.12440333725474288</v>
      </c>
      <c r="T90" s="121">
        <f t="shared" si="14"/>
        <v>4.6794150731158606E-2</v>
      </c>
    </row>
    <row r="91" spans="1:20" x14ac:dyDescent="0.35">
      <c r="A91" s="2">
        <f>WORKDAY.INTL(A90,1,,'Don''t Change'!$A$2:$A$7)</f>
        <v>46239</v>
      </c>
      <c r="B91">
        <f t="shared" si="11"/>
        <v>32</v>
      </c>
      <c r="C91" t="str">
        <f t="shared" si="13"/>
        <v>August</v>
      </c>
      <c r="D91" s="11">
        <f>32*15*96+48</f>
        <v>46128</v>
      </c>
      <c r="E91" s="11">
        <f>23*15*96+14*96</f>
        <v>34464</v>
      </c>
      <c r="G91" s="11">
        <f>31*15*35+16*35</f>
        <v>16835</v>
      </c>
      <c r="I91" s="11">
        <f>30*15*35+7*35</f>
        <v>15995</v>
      </c>
      <c r="K91" s="11">
        <f>156+87+304</f>
        <v>547</v>
      </c>
      <c r="L91" s="11">
        <f>156</f>
        <v>156</v>
      </c>
      <c r="N91" s="11">
        <f>214+310</f>
        <v>524</v>
      </c>
      <c r="P91" s="11">
        <f>214+112</f>
        <v>326</v>
      </c>
      <c r="Q91" s="11">
        <f>+SUM(K91:M91)/Weights!$B$2</f>
        <v>11109.135802469136</v>
      </c>
      <c r="R91" s="11">
        <f>+SUM(N91:P91)/Weights!$B$4</f>
        <v>5440</v>
      </c>
      <c r="S91" s="121">
        <f t="shared" si="12"/>
        <v>0.13784415081483442</v>
      </c>
      <c r="T91" s="121">
        <f t="shared" si="14"/>
        <v>0.16570210173621688</v>
      </c>
    </row>
    <row r="92" spans="1:20" x14ac:dyDescent="0.35">
      <c r="A92" s="2">
        <f>WORKDAY.INTL(A91,1,,'Don''t Change'!$A$2:$A$7)</f>
        <v>46240</v>
      </c>
      <c r="B92">
        <f t="shared" si="11"/>
        <v>32</v>
      </c>
      <c r="C92" t="str">
        <f t="shared" si="13"/>
        <v>August</v>
      </c>
      <c r="D92" s="11">
        <f>22*15*96</f>
        <v>31680</v>
      </c>
      <c r="E92" s="11">
        <f>13*15*96</f>
        <v>18720</v>
      </c>
      <c r="G92" s="11">
        <f>34*15*35+5*35</f>
        <v>18025</v>
      </c>
      <c r="I92" s="11">
        <f>31*15*35+23*35</f>
        <v>17080</v>
      </c>
      <c r="K92" s="11">
        <f>94+111</f>
        <v>205</v>
      </c>
      <c r="L92" s="11">
        <f>193+111</f>
        <v>304</v>
      </c>
      <c r="N92" s="11">
        <f>82+136</f>
        <v>218</v>
      </c>
      <c r="P92" s="11">
        <f>82+186</f>
        <v>268</v>
      </c>
      <c r="Q92" s="11">
        <f>+SUM(K92:M92)/Weights!$B$2</f>
        <v>8043.4567901234568</v>
      </c>
      <c r="R92" s="11">
        <f>+SUM(N92:P92)/Weights!$B$4</f>
        <v>3110.4</v>
      </c>
      <c r="S92" s="121">
        <f t="shared" si="12"/>
        <v>0.15959239662943367</v>
      </c>
      <c r="T92" s="121">
        <f t="shared" si="14"/>
        <v>8.8602763139153967E-2</v>
      </c>
    </row>
    <row r="93" spans="1:20" x14ac:dyDescent="0.35">
      <c r="A93" s="2">
        <f>WORKDAY.INTL(A92,1,,'Don''t Change'!$A$2:$A$7)</f>
        <v>46241</v>
      </c>
      <c r="B93">
        <f t="shared" si="11"/>
        <v>32</v>
      </c>
      <c r="C93" t="str">
        <f t="shared" si="13"/>
        <v>August</v>
      </c>
      <c r="Q93" s="11">
        <f>+SUM(K93:M93)/Weights!$B$2</f>
        <v>0</v>
      </c>
      <c r="R93" s="11">
        <f>+SUM(N93:P93)/Weights!$B$4</f>
        <v>0</v>
      </c>
      <c r="S93" s="121" t="str">
        <f t="shared" si="12"/>
        <v/>
      </c>
      <c r="T93" s="121" t="str">
        <f t="shared" si="14"/>
        <v/>
      </c>
    </row>
    <row r="94" spans="1:20" x14ac:dyDescent="0.35">
      <c r="A94" s="2">
        <f>WORKDAY.INTL(A93,1,,'Don''t Change'!$A$2:$A$7)</f>
        <v>46244</v>
      </c>
      <c r="B94">
        <f t="shared" si="11"/>
        <v>33</v>
      </c>
      <c r="C94" t="str">
        <f t="shared" si="13"/>
        <v>August</v>
      </c>
      <c r="D94" s="11">
        <f>25*15*96+8*96</f>
        <v>36768</v>
      </c>
      <c r="E94" s="11">
        <f>22*15*96+3*96</f>
        <v>31968</v>
      </c>
      <c r="G94" s="11">
        <f>47*15*35</f>
        <v>24675</v>
      </c>
      <c r="I94" s="11">
        <f>41*15*35+14*35</f>
        <v>22015</v>
      </c>
      <c r="K94" s="11">
        <v>54</v>
      </c>
      <c r="L94" s="11">
        <v>154</v>
      </c>
      <c r="N94" s="11">
        <f>66+40</f>
        <v>106</v>
      </c>
      <c r="P94" s="11">
        <f>674+40</f>
        <v>714</v>
      </c>
      <c r="Q94" s="11">
        <f>+SUM(K94:M94)/Weights!$B$2</f>
        <v>3286.9135802469136</v>
      </c>
      <c r="R94" s="11">
        <f>+SUM(N94:P94)/Weights!$B$4</f>
        <v>5248</v>
      </c>
      <c r="S94" s="121">
        <f t="shared" si="12"/>
        <v>4.7819389842977678E-2</v>
      </c>
      <c r="T94" s="121">
        <f t="shared" si="14"/>
        <v>0.11240094238594989</v>
      </c>
    </row>
    <row r="95" spans="1:20" x14ac:dyDescent="0.35">
      <c r="A95" s="2">
        <f>WORKDAY.INTL(A94,1,,'Don''t Change'!$A$2:$A$7)</f>
        <v>46245</v>
      </c>
      <c r="B95">
        <f t="shared" si="11"/>
        <v>33</v>
      </c>
      <c r="C95" t="str">
        <f t="shared" si="13"/>
        <v>August</v>
      </c>
      <c r="D95" s="11">
        <f>31*15*96</f>
        <v>44640</v>
      </c>
      <c r="E95" s="11">
        <f>28*15*96</f>
        <v>40320</v>
      </c>
      <c r="G95" s="11">
        <f>37*15*35</f>
        <v>19425</v>
      </c>
      <c r="I95" s="11">
        <f>40*15*35</f>
        <v>21000</v>
      </c>
      <c r="K95" s="11">
        <f>64+82</f>
        <v>146</v>
      </c>
      <c r="L95" s="11">
        <f>108+82</f>
        <v>190</v>
      </c>
      <c r="N95" s="11">
        <f>72+330</f>
        <v>402</v>
      </c>
      <c r="P95" s="11">
        <f>56+330</f>
        <v>386</v>
      </c>
      <c r="Q95" s="11">
        <f>+SUM(K95:M95)/Weights!$B$2</f>
        <v>5309.6296296296296</v>
      </c>
      <c r="R95" s="11">
        <f>+SUM(N95:P95)/Weights!$B$4</f>
        <v>5043.2</v>
      </c>
      <c r="S95" s="121">
        <f t="shared" si="12"/>
        <v>6.2495640650066263E-2</v>
      </c>
      <c r="T95" s="121">
        <f t="shared" si="14"/>
        <v>0.12475448361162647</v>
      </c>
    </row>
    <row r="96" spans="1:20" x14ac:dyDescent="0.35">
      <c r="A96" s="2">
        <f>WORKDAY.INTL(A95,1,,'Don''t Change'!$A$2:$A$7)</f>
        <v>46246</v>
      </c>
      <c r="B96">
        <f t="shared" si="11"/>
        <v>33</v>
      </c>
      <c r="C96" t="str">
        <f t="shared" si="13"/>
        <v>August</v>
      </c>
      <c r="D96" s="11">
        <f>30*15*96</f>
        <v>43200</v>
      </c>
      <c r="E96" s="11">
        <f>33*15*96</f>
        <v>47520</v>
      </c>
      <c r="G96" s="11">
        <f>51*15*35+4*35</f>
        <v>26915</v>
      </c>
      <c r="I96" s="11">
        <f>26*15*35</f>
        <v>13650</v>
      </c>
      <c r="K96" s="11">
        <f>144</f>
        <v>144</v>
      </c>
      <c r="L96" s="11">
        <f>106</f>
        <v>106</v>
      </c>
      <c r="N96" s="11">
        <f>25+66</f>
        <v>91</v>
      </c>
      <c r="P96" s="11">
        <f>32+66</f>
        <v>98</v>
      </c>
      <c r="Q96" s="11">
        <f>+SUM(K96:M96)/Weights!$B$2</f>
        <v>3950.6172839506175</v>
      </c>
      <c r="R96" s="11">
        <f>+SUM(N96:P96)/Weights!$B$4</f>
        <v>1209.5999999999999</v>
      </c>
      <c r="S96" s="121">
        <f t="shared" si="12"/>
        <v>4.3547368650249309E-2</v>
      </c>
      <c r="T96" s="121">
        <f t="shared" si="14"/>
        <v>2.9818809318377909E-2</v>
      </c>
    </row>
    <row r="97" spans="1:20" x14ac:dyDescent="0.35">
      <c r="A97" s="2">
        <f>WORKDAY.INTL(A96,1,,'Don''t Change'!$A$2:$A$7)</f>
        <v>46247</v>
      </c>
      <c r="B97">
        <f t="shared" ref="B97:B160" si="15">+WEEKNUM(A97)</f>
        <v>33</v>
      </c>
      <c r="C97" t="str">
        <f t="shared" si="13"/>
        <v>August</v>
      </c>
      <c r="Q97" s="11">
        <f>+SUM(K97:M97)/Weights!$B$2</f>
        <v>0</v>
      </c>
      <c r="R97" s="11">
        <f>+SUM(N97:P97)/Weights!$B$4</f>
        <v>0</v>
      </c>
      <c r="S97" s="121" t="str">
        <f t="shared" si="12"/>
        <v/>
      </c>
      <c r="T97" s="121" t="str">
        <f t="shared" si="14"/>
        <v/>
      </c>
    </row>
    <row r="98" spans="1:20" x14ac:dyDescent="0.35">
      <c r="A98" s="2">
        <f>WORKDAY.INTL(A97,1,,'Don''t Change'!$A$2:$A$7)</f>
        <v>46248</v>
      </c>
      <c r="B98">
        <f t="shared" si="15"/>
        <v>33</v>
      </c>
      <c r="C98" t="str">
        <f t="shared" si="13"/>
        <v>August</v>
      </c>
      <c r="Q98" s="11">
        <f>+SUM(K98:M98)/Weights!$B$2</f>
        <v>0</v>
      </c>
      <c r="R98" s="11">
        <f>+SUM(N98:P98)/Weights!$B$4</f>
        <v>0</v>
      </c>
      <c r="S98" s="121" t="str">
        <f t="shared" si="12"/>
        <v/>
      </c>
      <c r="T98" s="121" t="str">
        <f t="shared" si="14"/>
        <v/>
      </c>
    </row>
    <row r="99" spans="1:20" x14ac:dyDescent="0.35">
      <c r="A99" s="2">
        <f>WORKDAY.INTL(A98,1,,'Don''t Change'!$A$2:$A$7)</f>
        <v>46251</v>
      </c>
      <c r="B99">
        <f t="shared" si="15"/>
        <v>34</v>
      </c>
      <c r="C99" t="str">
        <f t="shared" si="13"/>
        <v>August</v>
      </c>
      <c r="G99" s="11">
        <f>40*15*35</f>
        <v>21000</v>
      </c>
      <c r="I99" s="11">
        <f>49*15*35+280</f>
        <v>26005</v>
      </c>
      <c r="N99" s="11">
        <f>28+64</f>
        <v>92</v>
      </c>
      <c r="P99" s="11">
        <f>28+38</f>
        <v>66</v>
      </c>
      <c r="Q99" s="11">
        <f>+SUM(K99:M99)/Weights!$B$2</f>
        <v>0</v>
      </c>
      <c r="R99" s="11">
        <f>+SUM(N99:P99)/Weights!$B$4</f>
        <v>1011.2</v>
      </c>
      <c r="S99" s="121" t="str">
        <f t="shared" si="12"/>
        <v/>
      </c>
      <c r="T99" s="121">
        <f t="shared" si="14"/>
        <v>2.1512605042016807E-2</v>
      </c>
    </row>
    <row r="100" spans="1:20" x14ac:dyDescent="0.35">
      <c r="A100" s="2">
        <f>WORKDAY.INTL(A99,1,,'Don''t Change'!$A$2:$A$7)</f>
        <v>46252</v>
      </c>
      <c r="B100">
        <f t="shared" si="15"/>
        <v>34</v>
      </c>
      <c r="C100" t="str">
        <f t="shared" si="13"/>
        <v>August</v>
      </c>
      <c r="D100" s="11">
        <f>23*15*96+7*96</f>
        <v>33792</v>
      </c>
      <c r="E100" s="11">
        <f>28*15*96+12*96</f>
        <v>41472</v>
      </c>
      <c r="F100" s="11">
        <f>24*15*96</f>
        <v>34560</v>
      </c>
      <c r="G100" s="11">
        <f>11*15*35</f>
        <v>5775</v>
      </c>
      <c r="K100" s="11">
        <v>194</v>
      </c>
      <c r="L100" s="11">
        <v>135</v>
      </c>
      <c r="M100" s="11">
        <v>118</v>
      </c>
      <c r="N100" s="11">
        <v>28</v>
      </c>
      <c r="Q100" s="11">
        <f>+SUM(K100:M100)/Weights!$B$2</f>
        <v>7063.7037037037044</v>
      </c>
      <c r="R100" s="11">
        <f>+SUM(N100:P100)/Weights!$B$4</f>
        <v>179.2</v>
      </c>
      <c r="S100" s="121">
        <f t="shared" si="12"/>
        <v>6.4318397651730988E-2</v>
      </c>
      <c r="T100" s="121">
        <f t="shared" si="14"/>
        <v>3.103030303030303E-2</v>
      </c>
    </row>
    <row r="101" spans="1:20" x14ac:dyDescent="0.35">
      <c r="A101" s="2">
        <f>WORKDAY.INTL(A100,1,,'Don''t Change'!$A$2:$A$7)</f>
        <v>46253</v>
      </c>
      <c r="B101">
        <f t="shared" si="15"/>
        <v>34</v>
      </c>
      <c r="C101" t="str">
        <f t="shared" si="13"/>
        <v>August</v>
      </c>
      <c r="Q101" s="11">
        <f>+SUM(K101:M101)/Weights!$B$2</f>
        <v>0</v>
      </c>
      <c r="R101" s="11">
        <f>+SUM(N101:P101)/Weights!$B$4</f>
        <v>0</v>
      </c>
      <c r="S101" s="121" t="str">
        <f t="shared" si="12"/>
        <v/>
      </c>
      <c r="T101" s="121" t="str">
        <f t="shared" si="14"/>
        <v/>
      </c>
    </row>
    <row r="102" spans="1:20" x14ac:dyDescent="0.35">
      <c r="A102" s="2">
        <f>WORKDAY.INTL(A101,1,,'Don''t Change'!$A$2:$A$7)</f>
        <v>46254</v>
      </c>
      <c r="B102">
        <f t="shared" si="15"/>
        <v>34</v>
      </c>
      <c r="C102" t="str">
        <f t="shared" si="13"/>
        <v>August</v>
      </c>
      <c r="Q102" s="11">
        <f>+SUM(K102:M102)/Weights!$B$2</f>
        <v>0</v>
      </c>
      <c r="R102" s="11">
        <f>+SUM(N102:P102)/Weights!$B$4</f>
        <v>0</v>
      </c>
      <c r="S102" s="121" t="str">
        <f t="shared" si="12"/>
        <v/>
      </c>
      <c r="T102" s="121" t="str">
        <f t="shared" si="14"/>
        <v/>
      </c>
    </row>
    <row r="103" spans="1:20" x14ac:dyDescent="0.35">
      <c r="A103" s="2">
        <f>WORKDAY.INTL(A102,1,,'Don''t Change'!$A$2:$A$7)</f>
        <v>46255</v>
      </c>
      <c r="B103">
        <f t="shared" si="15"/>
        <v>34</v>
      </c>
      <c r="C103" t="str">
        <f t="shared" si="13"/>
        <v>August</v>
      </c>
      <c r="Q103" s="11">
        <f>+SUM(K103:M103)/Weights!$B$2</f>
        <v>0</v>
      </c>
      <c r="R103" s="11">
        <f>+SUM(N103:P103)/Weights!$B$4</f>
        <v>0</v>
      </c>
      <c r="S103" s="121" t="str">
        <f t="shared" si="12"/>
        <v/>
      </c>
      <c r="T103" s="121" t="str">
        <f t="shared" si="14"/>
        <v/>
      </c>
    </row>
    <row r="104" spans="1:20" x14ac:dyDescent="0.35">
      <c r="A104" s="2">
        <f>WORKDAY.INTL(A103,1,,'Don''t Change'!$A$2:$A$7)</f>
        <v>46258</v>
      </c>
      <c r="B104">
        <f t="shared" si="15"/>
        <v>35</v>
      </c>
      <c r="C104" t="str">
        <f t="shared" si="13"/>
        <v>August</v>
      </c>
      <c r="G104" s="11">
        <f>38*15*35+7*35</f>
        <v>20195</v>
      </c>
      <c r="H104" s="11">
        <f>36*15*35+12*35</f>
        <v>19320</v>
      </c>
      <c r="I104" s="11">
        <f>33*15*35+5*35</f>
        <v>17500</v>
      </c>
      <c r="N104" s="11">
        <f>57+207</f>
        <v>264</v>
      </c>
      <c r="O104" s="11">
        <f>68+207</f>
        <v>275</v>
      </c>
      <c r="P104" s="11">
        <f>30+207</f>
        <v>237</v>
      </c>
      <c r="Q104" s="11">
        <f>+SUM(K104:M104)/Weights!$B$2</f>
        <v>0</v>
      </c>
      <c r="R104" s="11">
        <f>+SUM(N104:P104)/Weights!$B$4</f>
        <v>4966.3999999999996</v>
      </c>
      <c r="S104" s="121" t="str">
        <f t="shared" si="12"/>
        <v/>
      </c>
      <c r="T104" s="121">
        <f t="shared" si="14"/>
        <v>8.7106901692537042E-2</v>
      </c>
    </row>
    <row r="105" spans="1:20" x14ac:dyDescent="0.35">
      <c r="A105" s="2">
        <f>WORKDAY.INTL(A104,1,,'Don''t Change'!$A$2:$A$7)</f>
        <v>46259</v>
      </c>
      <c r="B105">
        <f t="shared" si="15"/>
        <v>35</v>
      </c>
      <c r="C105" t="str">
        <f t="shared" si="13"/>
        <v>August</v>
      </c>
      <c r="D105" s="11">
        <f>24*15*96</f>
        <v>34560</v>
      </c>
      <c r="E105" s="11">
        <f>24*15*96</f>
        <v>34560</v>
      </c>
      <c r="F105" s="11">
        <f>22*15*96+11*96</f>
        <v>32736</v>
      </c>
      <c r="G105" s="11">
        <f>42*15*35+3.5*35</f>
        <v>22172.5</v>
      </c>
      <c r="H105" s="11">
        <f>32*15*35</f>
        <v>16800</v>
      </c>
      <c r="K105" s="11">
        <v>167</v>
      </c>
      <c r="L105" s="11">
        <v>172</v>
      </c>
      <c r="M105" s="11">
        <v>188</v>
      </c>
      <c r="N105" s="11">
        <v>18</v>
      </c>
      <c r="Q105" s="11">
        <f>+SUM(K105:M105)/Weights!$B$2</f>
        <v>8327.9012345679021</v>
      </c>
      <c r="R105" s="11">
        <f>+SUM(N105:P105)/Weights!$B$4</f>
        <v>115.2</v>
      </c>
      <c r="S105" s="121">
        <f t="shared" si="12"/>
        <v>8.1761518561183452E-2</v>
      </c>
      <c r="T105" s="121">
        <f t="shared" si="14"/>
        <v>2.955930463788569E-3</v>
      </c>
    </row>
    <row r="106" spans="1:20" x14ac:dyDescent="0.35">
      <c r="A106" s="2">
        <f>WORKDAY.INTL(A105,1,,'Don''t Change'!$A$2:$A$7)</f>
        <v>46260</v>
      </c>
      <c r="B106">
        <f t="shared" si="15"/>
        <v>35</v>
      </c>
      <c r="C106" t="str">
        <f t="shared" si="13"/>
        <v>August</v>
      </c>
      <c r="D106" s="11">
        <f>33*15*96</f>
        <v>47520</v>
      </c>
      <c r="E106" s="11">
        <f>31*15*96+4*96</f>
        <v>45024</v>
      </c>
      <c r="F106" s="11">
        <f>29*15*96+12*96</f>
        <v>42912</v>
      </c>
      <c r="G106" s="11">
        <f>34*15*35</f>
        <v>17850</v>
      </c>
      <c r="H106" s="11">
        <f>43*15*35</f>
        <v>22575</v>
      </c>
      <c r="K106" s="11">
        <v>267</v>
      </c>
      <c r="L106" s="11">
        <v>178</v>
      </c>
      <c r="M106" s="11">
        <f>145+384</f>
        <v>529</v>
      </c>
      <c r="N106" s="11">
        <v>142</v>
      </c>
      <c r="O106" s="11">
        <v>61</v>
      </c>
      <c r="Q106" s="11">
        <f>+SUM(K106:M106)/Weights!$B$2</f>
        <v>15391.604938271606</v>
      </c>
      <c r="R106" s="11">
        <f>+SUM(N106:P106)/Weights!$B$4</f>
        <v>1299.2</v>
      </c>
      <c r="S106" s="121">
        <f t="shared" si="12"/>
        <v>0.11362807803472424</v>
      </c>
      <c r="T106" s="121">
        <f t="shared" si="14"/>
        <v>3.213852813852814E-2</v>
      </c>
    </row>
    <row r="107" spans="1:20" x14ac:dyDescent="0.35">
      <c r="A107" s="2">
        <f>WORKDAY.INTL(A106,1,,'Don''t Change'!$A$2:$A$7)</f>
        <v>46261</v>
      </c>
      <c r="B107">
        <f t="shared" si="15"/>
        <v>35</v>
      </c>
      <c r="C107" t="str">
        <f t="shared" si="13"/>
        <v>August</v>
      </c>
      <c r="D107" s="11">
        <f>27*15*96</f>
        <v>38880</v>
      </c>
      <c r="E107" s="11">
        <f>24*15*96+8*96</f>
        <v>35328</v>
      </c>
      <c r="F107" s="11">
        <f>19*15*96+14*96</f>
        <v>28704</v>
      </c>
      <c r="G107" s="11">
        <f>14*15*35+13*35</f>
        <v>7805</v>
      </c>
      <c r="K107" s="11">
        <v>198</v>
      </c>
      <c r="L107" s="11">
        <v>120</v>
      </c>
      <c r="M107" s="11">
        <f>188+38+36+46+40+48</f>
        <v>396</v>
      </c>
      <c r="N107" s="11">
        <v>38</v>
      </c>
      <c r="Q107" s="11">
        <f>+SUM(K107:M107)/Weights!$B$2</f>
        <v>11282.962962962964</v>
      </c>
      <c r="R107" s="11">
        <f>+SUM(N107:P107)/Weights!$B$4</f>
        <v>243.2</v>
      </c>
      <c r="S107" s="121">
        <f t="shared" si="12"/>
        <v>0.10963700018426387</v>
      </c>
      <c r="T107" s="121">
        <f t="shared" si="14"/>
        <v>3.11595131326073E-2</v>
      </c>
    </row>
    <row r="108" spans="1:20" x14ac:dyDescent="0.35">
      <c r="A108" s="2">
        <f>WORKDAY.INTL(A107,1,,'Don''t Change'!$A$2:$A$7)</f>
        <v>46262</v>
      </c>
      <c r="B108">
        <f t="shared" si="15"/>
        <v>35</v>
      </c>
      <c r="C108" t="str">
        <f t="shared" si="13"/>
        <v>August</v>
      </c>
      <c r="Q108" s="11">
        <f>+SUM(K108:M108)/Weights!$B$2</f>
        <v>0</v>
      </c>
      <c r="R108" s="11">
        <f>+SUM(N108:P108)/Weights!$B$4</f>
        <v>0</v>
      </c>
      <c r="S108" s="121" t="str">
        <f t="shared" si="12"/>
        <v/>
      </c>
      <c r="T108" s="121" t="str">
        <f t="shared" si="14"/>
        <v/>
      </c>
    </row>
    <row r="109" spans="1:20" x14ac:dyDescent="0.35">
      <c r="A109" s="2">
        <f>WORKDAY.INTL(A108,1,,'Don''t Change'!$A$2:$A$7)</f>
        <v>46265</v>
      </c>
      <c r="B109">
        <f t="shared" si="15"/>
        <v>36</v>
      </c>
      <c r="C109" t="str">
        <f t="shared" si="13"/>
        <v>August</v>
      </c>
      <c r="D109" s="11">
        <f>29*15*96+4.5*96</f>
        <v>42192</v>
      </c>
      <c r="E109" s="11">
        <f>20*15*96</f>
        <v>28800</v>
      </c>
      <c r="F109" s="11">
        <f>26*15*96+2*96</f>
        <v>37632</v>
      </c>
      <c r="G109" s="11">
        <f>9*15*35+6*35+38*15*35</f>
        <v>24885</v>
      </c>
      <c r="H109" s="11">
        <f>10*15*35+7*35+33*15*35+11*35</f>
        <v>23205</v>
      </c>
      <c r="K109" s="11">
        <v>136</v>
      </c>
      <c r="L109" s="11">
        <v>124</v>
      </c>
      <c r="M109" s="11">
        <v>99</v>
      </c>
      <c r="N109" s="11">
        <f>25+126</f>
        <v>151</v>
      </c>
      <c r="O109" s="11">
        <f>18+121</f>
        <v>139</v>
      </c>
      <c r="Q109" s="11">
        <f>+SUM(K109:M109)/Weights!$B$2</f>
        <v>5673.0864197530864</v>
      </c>
      <c r="R109" s="11">
        <f>+SUM(N109:P109)/Weights!$B$4</f>
        <v>1856</v>
      </c>
      <c r="S109" s="121">
        <f t="shared" si="12"/>
        <v>5.2226822983439079E-2</v>
      </c>
      <c r="T109" s="121">
        <f t="shared" si="14"/>
        <v>3.8594302349760863E-2</v>
      </c>
    </row>
    <row r="110" spans="1:20" x14ac:dyDescent="0.35">
      <c r="A110" s="2">
        <f>WORKDAY.INTL(A109,1,,'Don''t Change'!$A$2:$A$7)</f>
        <v>46266</v>
      </c>
      <c r="B110">
        <f t="shared" si="15"/>
        <v>36</v>
      </c>
      <c r="C110" t="str">
        <f t="shared" si="13"/>
        <v>September</v>
      </c>
      <c r="D110" s="11">
        <f>25*15*96+1.5*96</f>
        <v>36144</v>
      </c>
      <c r="E110" s="11">
        <f>32*15*96</f>
        <v>46080</v>
      </c>
      <c r="F110" s="11">
        <f>24*15*96+10*96</f>
        <v>35520</v>
      </c>
      <c r="G110" s="11">
        <f>29*15*35+70+420</f>
        <v>15715</v>
      </c>
      <c r="H110" s="11">
        <f>15*15*35+140</f>
        <v>8015</v>
      </c>
      <c r="I110" s="11">
        <f>10*15*35+490</f>
        <v>5740</v>
      </c>
      <c r="K110" s="11">
        <v>277</v>
      </c>
      <c r="L110" s="11">
        <v>60</v>
      </c>
      <c r="M110" s="11">
        <v>277</v>
      </c>
      <c r="N110" s="11">
        <f>674+17</f>
        <v>691</v>
      </c>
      <c r="O110" s="11">
        <f>674+52+17</f>
        <v>743</v>
      </c>
      <c r="P110" s="11">
        <f>674+24+17</f>
        <v>715</v>
      </c>
      <c r="Q110" s="11">
        <f>+SUM(K110:M110)/Weights!$B$2</f>
        <v>9702.7160493827159</v>
      </c>
      <c r="R110" s="11">
        <f>+SUM(N110:P110)/Weights!$B$4</f>
        <v>13753.6</v>
      </c>
      <c r="S110" s="121">
        <f t="shared" si="12"/>
        <v>8.2405184547685792E-2</v>
      </c>
      <c r="T110" s="121">
        <f t="shared" si="14"/>
        <v>0.46669833729216154</v>
      </c>
    </row>
    <row r="111" spans="1:20" x14ac:dyDescent="0.35">
      <c r="A111" s="2">
        <f>WORKDAY.INTL(A110,1,,'Don''t Change'!$A$2:$A$7)</f>
        <v>46267</v>
      </c>
      <c r="B111">
        <f t="shared" si="15"/>
        <v>36</v>
      </c>
      <c r="C111" t="str">
        <f t="shared" si="13"/>
        <v>September</v>
      </c>
      <c r="D111" s="11">
        <f>8*15*96</f>
        <v>11520</v>
      </c>
      <c r="E111" s="11">
        <f>10*15*96</f>
        <v>14400</v>
      </c>
      <c r="F111" s="11">
        <f>10*15*96+5*96</f>
        <v>14880</v>
      </c>
      <c r="G111" s="11">
        <f>3*15*35+12*35</f>
        <v>1995</v>
      </c>
      <c r="K111" s="11">
        <f>160+152+72+76</f>
        <v>460</v>
      </c>
      <c r="L111" s="11">
        <v>92</v>
      </c>
      <c r="M111" s="11">
        <v>84</v>
      </c>
      <c r="Q111" s="11">
        <f>+SUM(K111:M111)/Weights!$B$2</f>
        <v>10050.37037037037</v>
      </c>
      <c r="R111" s="11">
        <f>+SUM(N111:O111)/Weights!$B$4</f>
        <v>0</v>
      </c>
      <c r="S111" s="121">
        <f t="shared" si="12"/>
        <v>0.24633260711692084</v>
      </c>
      <c r="T111" s="121">
        <f t="shared" si="14"/>
        <v>0</v>
      </c>
    </row>
    <row r="112" spans="1:20" x14ac:dyDescent="0.35">
      <c r="A112" s="2">
        <f>WORKDAY.INTL(A111,1,,'Don''t Change'!$A$2:$A$7)</f>
        <v>46268</v>
      </c>
      <c r="B112">
        <f t="shared" si="15"/>
        <v>36</v>
      </c>
      <c r="C112" t="str">
        <f t="shared" si="13"/>
        <v>September</v>
      </c>
      <c r="D112" s="11">
        <f>35*15*96+4*96+4161</f>
        <v>54945</v>
      </c>
      <c r="E112" s="11">
        <f>38*15*96+4161</f>
        <v>58881</v>
      </c>
      <c r="F112" s="11">
        <f>35*15*96+4161</f>
        <v>54561</v>
      </c>
      <c r="K112" s="11">
        <f>300</f>
        <v>300</v>
      </c>
      <c r="L112" s="11">
        <v>240</v>
      </c>
      <c r="M112" s="11">
        <v>250</v>
      </c>
      <c r="Q112" s="11">
        <f>+SUM(K112:M112)/Weights!$B$2</f>
        <v>12483.950617283952</v>
      </c>
      <c r="R112" s="11">
        <f>+SUM(N112:O112)/Weights!$B$4</f>
        <v>0</v>
      </c>
      <c r="S112" s="121">
        <f t="shared" si="12"/>
        <v>7.4138446657306983E-2</v>
      </c>
      <c r="T112" s="121" t="str">
        <f t="shared" si="14"/>
        <v/>
      </c>
    </row>
    <row r="113" spans="1:20" x14ac:dyDescent="0.35">
      <c r="A113" s="2">
        <f>WORKDAY.INTL(A112,1,,'Don''t Change'!$A$2:$A$7)</f>
        <v>46269</v>
      </c>
      <c r="B113">
        <f t="shared" si="15"/>
        <v>36</v>
      </c>
      <c r="C113" t="str">
        <f t="shared" si="13"/>
        <v>September</v>
      </c>
      <c r="Q113" s="11">
        <f>+SUM(K113:M113)/Weights!$B$2</f>
        <v>0</v>
      </c>
      <c r="R113" s="11">
        <f>+SUM(N113:O113)/Weights!$B$4</f>
        <v>0</v>
      </c>
      <c r="S113" s="121" t="str">
        <f t="shared" si="12"/>
        <v/>
      </c>
      <c r="T113" s="121" t="str">
        <f t="shared" si="14"/>
        <v/>
      </c>
    </row>
    <row r="114" spans="1:20" x14ac:dyDescent="0.35">
      <c r="A114" s="2">
        <f>WORKDAY.INTL(A113,1,,'Don''t Change'!$A$2:$A$7)</f>
        <v>46273</v>
      </c>
      <c r="B114">
        <f t="shared" si="15"/>
        <v>37</v>
      </c>
      <c r="C114" t="str">
        <f t="shared" si="13"/>
        <v>September</v>
      </c>
      <c r="Q114" s="11">
        <f>+SUM(K114:M114)/Weights!$B$2</f>
        <v>0</v>
      </c>
      <c r="R114" s="11">
        <f>+SUM(N114:O114)/Weights!$B$4</f>
        <v>0</v>
      </c>
      <c r="S114" s="121" t="str">
        <f t="shared" si="12"/>
        <v/>
      </c>
      <c r="T114" s="121" t="str">
        <f t="shared" si="14"/>
        <v/>
      </c>
    </row>
    <row r="115" spans="1:20" x14ac:dyDescent="0.35">
      <c r="A115" s="2">
        <f>WORKDAY.INTL(A114,1,,'Don''t Change'!$A$2:$A$7)</f>
        <v>46274</v>
      </c>
      <c r="B115">
        <f t="shared" si="15"/>
        <v>37</v>
      </c>
      <c r="C115" t="str">
        <f t="shared" si="13"/>
        <v>September</v>
      </c>
      <c r="Q115" s="11">
        <f>+SUM(K115:M115)/Weights!$B$2</f>
        <v>0</v>
      </c>
      <c r="R115" s="11">
        <f>+SUM(N115:O115)/Weights!$B$4</f>
        <v>0</v>
      </c>
      <c r="S115" s="121" t="str">
        <f t="shared" si="12"/>
        <v/>
      </c>
      <c r="T115" s="121" t="str">
        <f t="shared" si="14"/>
        <v/>
      </c>
    </row>
    <row r="116" spans="1:20" x14ac:dyDescent="0.35">
      <c r="A116" s="2">
        <f>WORKDAY.INTL(A115,1,,'Don''t Change'!$A$2:$A$7)</f>
        <v>46275</v>
      </c>
      <c r="B116">
        <f t="shared" si="15"/>
        <v>37</v>
      </c>
      <c r="C116" t="str">
        <f t="shared" si="13"/>
        <v>September</v>
      </c>
      <c r="Q116" s="11">
        <f>+SUM(K116:M116)/Weights!$B$2</f>
        <v>0</v>
      </c>
      <c r="R116" s="11">
        <f>+SUM(N116:O116)/Weights!$B$4</f>
        <v>0</v>
      </c>
      <c r="S116" s="121" t="str">
        <f t="shared" si="12"/>
        <v/>
      </c>
      <c r="T116" s="121" t="str">
        <f t="shared" si="14"/>
        <v/>
      </c>
    </row>
    <row r="117" spans="1:20" x14ac:dyDescent="0.35">
      <c r="A117" s="2">
        <f>WORKDAY.INTL(A116,1,,'Don''t Change'!$A$2:$A$7)</f>
        <v>46276</v>
      </c>
      <c r="B117">
        <f t="shared" si="15"/>
        <v>37</v>
      </c>
      <c r="C117" t="str">
        <f t="shared" si="13"/>
        <v>September</v>
      </c>
      <c r="Q117" s="11">
        <f>+SUM(K117:M117)/Weights!$B$2</f>
        <v>0</v>
      </c>
      <c r="R117" s="11">
        <f>+SUM(N117:O117)/Weights!$B$4</f>
        <v>0</v>
      </c>
      <c r="S117" s="121" t="str">
        <f t="shared" si="12"/>
        <v/>
      </c>
      <c r="T117" s="121" t="str">
        <f t="shared" si="14"/>
        <v/>
      </c>
    </row>
    <row r="118" spans="1:20" x14ac:dyDescent="0.35">
      <c r="A118" s="2">
        <f>WORKDAY.INTL(A117,1,,'Don''t Change'!$A$2:$A$7)</f>
        <v>46279</v>
      </c>
      <c r="B118">
        <f t="shared" si="15"/>
        <v>38</v>
      </c>
      <c r="C118" t="str">
        <f t="shared" si="13"/>
        <v>September</v>
      </c>
      <c r="Q118" s="11">
        <f>+SUM(K118:M118)/Weights!$B$2</f>
        <v>0</v>
      </c>
      <c r="R118" s="11">
        <f>+SUM(N118:O118)/Weights!$B$4</f>
        <v>0</v>
      </c>
      <c r="S118" s="121" t="str">
        <f t="shared" si="12"/>
        <v/>
      </c>
      <c r="T118" s="121" t="str">
        <f t="shared" si="14"/>
        <v/>
      </c>
    </row>
    <row r="119" spans="1:20" x14ac:dyDescent="0.35">
      <c r="A119" s="2">
        <f>WORKDAY.INTL(A118,1,,'Don''t Change'!$A$2:$A$7)</f>
        <v>46280</v>
      </c>
      <c r="B119">
        <f t="shared" si="15"/>
        <v>38</v>
      </c>
      <c r="C119" t="str">
        <f t="shared" si="13"/>
        <v>September</v>
      </c>
      <c r="Q119" s="11">
        <f>+SUM(K119:M119)/Weights!$B$2</f>
        <v>0</v>
      </c>
      <c r="R119" s="11">
        <f>+SUM(N119:O119)/Weights!$B$4</f>
        <v>0</v>
      </c>
      <c r="S119" s="121" t="str">
        <f t="shared" si="12"/>
        <v/>
      </c>
      <c r="T119" s="121" t="str">
        <f t="shared" si="14"/>
        <v/>
      </c>
    </row>
    <row r="120" spans="1:20" x14ac:dyDescent="0.35">
      <c r="A120" s="2">
        <f>WORKDAY.INTL(A119,1,,'Don''t Change'!$A$2:$A$7)</f>
        <v>46281</v>
      </c>
      <c r="B120">
        <f t="shared" si="15"/>
        <v>38</v>
      </c>
      <c r="C120" t="str">
        <f t="shared" si="13"/>
        <v>September</v>
      </c>
      <c r="Q120" s="11">
        <f>+SUM(K120:M120)/Weights!$B$2</f>
        <v>0</v>
      </c>
      <c r="R120" s="11">
        <f>+SUM(N120:O120)/Weights!$B$4</f>
        <v>0</v>
      </c>
      <c r="S120" s="121" t="str">
        <f t="shared" si="12"/>
        <v/>
      </c>
      <c r="T120" s="121" t="str">
        <f t="shared" si="14"/>
        <v/>
      </c>
    </row>
    <row r="121" spans="1:20" x14ac:dyDescent="0.35">
      <c r="A121" s="2">
        <f>WORKDAY.INTL(A120,1,,'Don''t Change'!$A$2:$A$7)</f>
        <v>46282</v>
      </c>
      <c r="B121">
        <f t="shared" si="15"/>
        <v>38</v>
      </c>
      <c r="C121" t="str">
        <f t="shared" si="13"/>
        <v>September</v>
      </c>
      <c r="Q121" s="11">
        <f>+SUM(K121:M121)/Weights!$B$2</f>
        <v>0</v>
      </c>
      <c r="R121" s="11">
        <f>+SUM(N121:O121)/Weights!$B$4</f>
        <v>0</v>
      </c>
      <c r="S121" s="121" t="str">
        <f t="shared" si="12"/>
        <v/>
      </c>
      <c r="T121" s="121" t="str">
        <f t="shared" si="14"/>
        <v/>
      </c>
    </row>
    <row r="122" spans="1:20" x14ac:dyDescent="0.35">
      <c r="A122" s="2">
        <f>WORKDAY.INTL(A121,1,,'Don''t Change'!$A$2:$A$7)</f>
        <v>46283</v>
      </c>
      <c r="B122">
        <f t="shared" si="15"/>
        <v>38</v>
      </c>
      <c r="C122" t="str">
        <f t="shared" si="13"/>
        <v>September</v>
      </c>
      <c r="Q122" s="11">
        <f>+SUM(K122:M122)/Weights!$B$2</f>
        <v>0</v>
      </c>
      <c r="R122" s="11">
        <f>+SUM(N122:O122)/Weights!$B$4</f>
        <v>0</v>
      </c>
      <c r="S122" s="121" t="str">
        <f t="shared" si="12"/>
        <v/>
      </c>
      <c r="T122" s="121" t="str">
        <f t="shared" si="14"/>
        <v/>
      </c>
    </row>
    <row r="123" spans="1:20" x14ac:dyDescent="0.35">
      <c r="A123" s="2">
        <f>WORKDAY.INTL(A122,1,,'Don''t Change'!$A$2:$A$7)</f>
        <v>46286</v>
      </c>
      <c r="B123">
        <f t="shared" si="15"/>
        <v>39</v>
      </c>
      <c r="C123" t="str">
        <f t="shared" si="13"/>
        <v>September</v>
      </c>
      <c r="Q123" s="11">
        <f>+SUM(K123:M123)/Weights!$B$2</f>
        <v>0</v>
      </c>
      <c r="R123" s="11">
        <f>+SUM(N123:O123)/Weights!$B$4</f>
        <v>0</v>
      </c>
      <c r="S123" s="121" t="str">
        <f t="shared" si="12"/>
        <v/>
      </c>
      <c r="T123" s="121" t="str">
        <f t="shared" si="14"/>
        <v/>
      </c>
    </row>
    <row r="124" spans="1:20" x14ac:dyDescent="0.35">
      <c r="A124" s="2">
        <f>WORKDAY.INTL(A123,1,,'Don''t Change'!$A$2:$A$7)</f>
        <v>46287</v>
      </c>
      <c r="B124">
        <f t="shared" si="15"/>
        <v>39</v>
      </c>
      <c r="C124" t="str">
        <f t="shared" si="13"/>
        <v>September</v>
      </c>
      <c r="Q124" s="11">
        <f>+SUM(K124:M124)/Weights!$B$2</f>
        <v>0</v>
      </c>
      <c r="R124" s="11">
        <f>+SUM(N124:O124)/Weights!$B$4</f>
        <v>0</v>
      </c>
      <c r="S124" s="121" t="str">
        <f t="shared" si="12"/>
        <v/>
      </c>
      <c r="T124" s="121" t="str">
        <f t="shared" si="14"/>
        <v/>
      </c>
    </row>
    <row r="125" spans="1:20" x14ac:dyDescent="0.35">
      <c r="A125" s="2">
        <f>WORKDAY.INTL(A124,1,,'Don''t Change'!$A$2:$A$7)</f>
        <v>46288</v>
      </c>
      <c r="B125">
        <f t="shared" si="15"/>
        <v>39</v>
      </c>
      <c r="C125" t="str">
        <f t="shared" si="13"/>
        <v>September</v>
      </c>
      <c r="Q125" s="11">
        <f>+SUM(K125:M125)/Weights!$B$2</f>
        <v>0</v>
      </c>
      <c r="R125" s="11">
        <f>+SUM(N125:O125)/Weights!$B$4</f>
        <v>0</v>
      </c>
      <c r="S125" s="121" t="str">
        <f t="shared" si="12"/>
        <v/>
      </c>
      <c r="T125" s="121" t="str">
        <f t="shared" si="14"/>
        <v/>
      </c>
    </row>
    <row r="126" spans="1:20" x14ac:dyDescent="0.35">
      <c r="A126" s="2">
        <f>WORKDAY.INTL(A125,1,,'Don''t Change'!$A$2:$A$7)</f>
        <v>46289</v>
      </c>
      <c r="B126">
        <f t="shared" si="15"/>
        <v>39</v>
      </c>
      <c r="C126" t="str">
        <f t="shared" si="13"/>
        <v>September</v>
      </c>
      <c r="Q126" s="11">
        <f>+SUM(K126:M126)/Weights!$B$2</f>
        <v>0</v>
      </c>
      <c r="R126" s="11">
        <f>+SUM(N126:O126)/Weights!$B$4</f>
        <v>0</v>
      </c>
      <c r="S126" s="121" t="str">
        <f t="shared" si="12"/>
        <v/>
      </c>
      <c r="T126" s="121" t="str">
        <f t="shared" si="14"/>
        <v/>
      </c>
    </row>
    <row r="127" spans="1:20" x14ac:dyDescent="0.35">
      <c r="A127" s="2">
        <f>WORKDAY.INTL(A126,1,,'Don''t Change'!$A$2:$A$7)</f>
        <v>46290</v>
      </c>
      <c r="B127">
        <f t="shared" si="15"/>
        <v>39</v>
      </c>
      <c r="C127" t="str">
        <f t="shared" si="13"/>
        <v>September</v>
      </c>
      <c r="Q127" s="11">
        <f>+SUM(K127:M127)/Weights!$B$2</f>
        <v>0</v>
      </c>
      <c r="R127" s="11">
        <f>+SUM(N127:O127)/Weights!$B$4</f>
        <v>0</v>
      </c>
      <c r="S127" s="121" t="str">
        <f t="shared" si="12"/>
        <v/>
      </c>
      <c r="T127" s="121" t="str">
        <f t="shared" si="14"/>
        <v/>
      </c>
    </row>
    <row r="128" spans="1:20" x14ac:dyDescent="0.35">
      <c r="A128" s="2">
        <f>WORKDAY.INTL(A127,1,,'Don''t Change'!$A$2:$A$7)</f>
        <v>46293</v>
      </c>
      <c r="B128">
        <f t="shared" si="15"/>
        <v>40</v>
      </c>
      <c r="C128" t="str">
        <f t="shared" si="13"/>
        <v>September</v>
      </c>
      <c r="Q128" s="11">
        <f>+SUM(K128:M128)/Weights!$B$2</f>
        <v>0</v>
      </c>
      <c r="R128" s="11">
        <f>+SUM(N128:O128)/Weights!$B$4</f>
        <v>0</v>
      </c>
      <c r="S128" s="121" t="str">
        <f t="shared" si="12"/>
        <v/>
      </c>
      <c r="T128" s="121" t="str">
        <f t="shared" si="14"/>
        <v/>
      </c>
    </row>
    <row r="129" spans="1:20" x14ac:dyDescent="0.35">
      <c r="A129" s="2">
        <f>WORKDAY.INTL(A128,1,,'Don''t Change'!$A$2:$A$7)</f>
        <v>46294</v>
      </c>
      <c r="B129">
        <f t="shared" si="15"/>
        <v>40</v>
      </c>
      <c r="C129" t="str">
        <f t="shared" si="13"/>
        <v>September</v>
      </c>
      <c r="Q129" s="11">
        <f>+SUM(K129:M129)/Weights!$B$2</f>
        <v>0</v>
      </c>
      <c r="R129" s="11">
        <f>+SUM(N129:O129)/Weights!$B$4</f>
        <v>0</v>
      </c>
      <c r="S129" s="121" t="str">
        <f t="shared" si="12"/>
        <v/>
      </c>
      <c r="T129" s="121" t="str">
        <f t="shared" si="14"/>
        <v/>
      </c>
    </row>
    <row r="130" spans="1:20" x14ac:dyDescent="0.35">
      <c r="A130" s="2">
        <f>WORKDAY.INTL(A129,1,,'Don''t Change'!$A$2:$A$7)</f>
        <v>46295</v>
      </c>
      <c r="B130">
        <f t="shared" si="15"/>
        <v>40</v>
      </c>
      <c r="C130" t="str">
        <f t="shared" si="13"/>
        <v>September</v>
      </c>
      <c r="Q130" s="11">
        <f>+SUM(K130:M130)/Weights!$B$2</f>
        <v>0</v>
      </c>
      <c r="R130" s="11">
        <f>+SUM(N130:O130)/Weights!$B$4</f>
        <v>0</v>
      </c>
      <c r="S130" s="121" t="str">
        <f t="shared" si="12"/>
        <v/>
      </c>
      <c r="T130" s="121" t="str">
        <f t="shared" si="14"/>
        <v/>
      </c>
    </row>
    <row r="131" spans="1:20" x14ac:dyDescent="0.35">
      <c r="A131" s="2">
        <f>WORKDAY.INTL(A130,1,,'Don''t Change'!$A$2:$A$7)</f>
        <v>46296</v>
      </c>
      <c r="B131">
        <f t="shared" si="15"/>
        <v>40</v>
      </c>
      <c r="C131" t="str">
        <f t="shared" si="13"/>
        <v>October</v>
      </c>
      <c r="Q131" s="11">
        <f>+SUM(K131:M131)/Weights!$B$2</f>
        <v>0</v>
      </c>
      <c r="R131" s="11">
        <f>+SUM(N131:O131)/Weights!$B$4</f>
        <v>0</v>
      </c>
      <c r="S131" s="121" t="str">
        <f t="shared" si="12"/>
        <v/>
      </c>
      <c r="T131" s="121" t="str">
        <f t="shared" si="14"/>
        <v/>
      </c>
    </row>
    <row r="132" spans="1:20" x14ac:dyDescent="0.35">
      <c r="A132" s="2">
        <f>WORKDAY.INTL(A131,1,,'Don''t Change'!$A$2:$A$7)</f>
        <v>46297</v>
      </c>
      <c r="B132">
        <f t="shared" si="15"/>
        <v>40</v>
      </c>
      <c r="C132" t="str">
        <f t="shared" si="13"/>
        <v>October</v>
      </c>
      <c r="Q132" s="11">
        <f>+SUM(K132:M132)/Weights!$B$2</f>
        <v>0</v>
      </c>
      <c r="R132" s="11">
        <f>+SUM(N132:O132)/Weights!$B$4</f>
        <v>0</v>
      </c>
      <c r="S132" s="121" t="str">
        <f t="shared" ref="S132:S193" si="16">IFERROR(Q132/SUM(D132:F132),"")</f>
        <v/>
      </c>
      <c r="T132" s="121" t="str">
        <f t="shared" si="14"/>
        <v/>
      </c>
    </row>
    <row r="133" spans="1:20" x14ac:dyDescent="0.35">
      <c r="A133" s="2">
        <f>WORKDAY.INTL(A132,1,,'Don''t Change'!$A$2:$A$7)</f>
        <v>46300</v>
      </c>
      <c r="B133">
        <f t="shared" si="15"/>
        <v>41</v>
      </c>
      <c r="C133" t="str">
        <f t="shared" si="13"/>
        <v>October</v>
      </c>
      <c r="Q133" s="11">
        <f>+SUM(K133:M133)/Weights!$B$2</f>
        <v>0</v>
      </c>
      <c r="R133" s="11">
        <f>+SUM(N133:O133)/Weights!$B$4</f>
        <v>0</v>
      </c>
      <c r="S133" s="121" t="str">
        <f t="shared" si="16"/>
        <v/>
      </c>
      <c r="T133" s="121" t="str">
        <f t="shared" si="14"/>
        <v/>
      </c>
    </row>
    <row r="134" spans="1:20" x14ac:dyDescent="0.35">
      <c r="A134" s="2">
        <f>WORKDAY.INTL(A133,1,,'Don''t Change'!$A$2:$A$7)</f>
        <v>46301</v>
      </c>
      <c r="B134">
        <f t="shared" si="15"/>
        <v>41</v>
      </c>
      <c r="C134" t="str">
        <f t="shared" si="13"/>
        <v>October</v>
      </c>
      <c r="Q134" s="11">
        <f>+SUM(K134:M134)/Weights!$B$2</f>
        <v>0</v>
      </c>
      <c r="R134" s="11">
        <f>+SUM(N134:O134)/Weights!$B$4</f>
        <v>0</v>
      </c>
      <c r="S134" s="121" t="str">
        <f t="shared" si="16"/>
        <v/>
      </c>
      <c r="T134" s="121" t="str">
        <f t="shared" si="14"/>
        <v/>
      </c>
    </row>
    <row r="135" spans="1:20" x14ac:dyDescent="0.35">
      <c r="A135" s="2">
        <f>WORKDAY.INTL(A134,1,,'Don''t Change'!$A$2:$A$7)</f>
        <v>46302</v>
      </c>
      <c r="B135">
        <f t="shared" si="15"/>
        <v>41</v>
      </c>
      <c r="C135" t="str">
        <f t="shared" si="13"/>
        <v>October</v>
      </c>
      <c r="Q135" s="11">
        <f>+SUM(K135:M135)/Weights!$B$2</f>
        <v>0</v>
      </c>
      <c r="R135" s="11">
        <f>+SUM(N135:O135)/Weights!$B$4</f>
        <v>0</v>
      </c>
      <c r="S135" s="121" t="str">
        <f t="shared" si="16"/>
        <v/>
      </c>
      <c r="T135" s="121" t="str">
        <f t="shared" si="14"/>
        <v/>
      </c>
    </row>
    <row r="136" spans="1:20" x14ac:dyDescent="0.35">
      <c r="A136" s="2">
        <f>WORKDAY.INTL(A135,1,,'Don''t Change'!$A$2:$A$7)</f>
        <v>46303</v>
      </c>
      <c r="B136">
        <f t="shared" si="15"/>
        <v>41</v>
      </c>
      <c r="C136" t="str">
        <f t="shared" ref="C136:C192" si="17">+TEXT(A136,"mmmm")</f>
        <v>October</v>
      </c>
      <c r="Q136" s="11">
        <f>+SUM(K136:M136)/Weights!$B$2</f>
        <v>0</v>
      </c>
      <c r="R136" s="11">
        <f>+SUM(N136:O136)/Weights!$B$4</f>
        <v>0</v>
      </c>
      <c r="S136" s="121" t="str">
        <f t="shared" si="16"/>
        <v/>
      </c>
      <c r="T136" s="121" t="str">
        <f t="shared" si="14"/>
        <v/>
      </c>
    </row>
    <row r="137" spans="1:20" x14ac:dyDescent="0.35">
      <c r="A137" s="2">
        <f>WORKDAY.INTL(A136,1,,'Don''t Change'!$A$2:$A$7)</f>
        <v>46304</v>
      </c>
      <c r="B137">
        <f t="shared" si="15"/>
        <v>41</v>
      </c>
      <c r="C137" t="str">
        <f t="shared" si="17"/>
        <v>October</v>
      </c>
      <c r="Q137" s="11">
        <f>+SUM(K137:M137)/Weights!$B$2</f>
        <v>0</v>
      </c>
      <c r="R137" s="11">
        <f>+SUM(N137:O137)/Weights!$B$4</f>
        <v>0</v>
      </c>
      <c r="S137" s="121" t="str">
        <f t="shared" si="16"/>
        <v/>
      </c>
      <c r="T137" s="121" t="str">
        <f t="shared" si="14"/>
        <v/>
      </c>
    </row>
    <row r="138" spans="1:20" x14ac:dyDescent="0.35">
      <c r="A138" s="2">
        <f>WORKDAY.INTL(A137,1,,'Don''t Change'!$A$2:$A$7)</f>
        <v>46307</v>
      </c>
      <c r="B138">
        <f t="shared" si="15"/>
        <v>42</v>
      </c>
      <c r="C138" t="str">
        <f t="shared" si="17"/>
        <v>October</v>
      </c>
      <c r="Q138" s="11">
        <f>+SUM(K138:M138)/Weights!$B$2</f>
        <v>0</v>
      </c>
      <c r="R138" s="11">
        <f>+SUM(N138:O138)/Weights!$B$4</f>
        <v>0</v>
      </c>
      <c r="S138" s="121" t="str">
        <f t="shared" si="16"/>
        <v/>
      </c>
      <c r="T138" s="121" t="str">
        <f t="shared" si="14"/>
        <v/>
      </c>
    </row>
    <row r="139" spans="1:20" x14ac:dyDescent="0.35">
      <c r="A139" s="2">
        <f>WORKDAY.INTL(A138,1,,'Don''t Change'!$A$2:$A$7)</f>
        <v>46308</v>
      </c>
      <c r="B139">
        <f t="shared" si="15"/>
        <v>42</v>
      </c>
      <c r="C139" t="str">
        <f t="shared" si="17"/>
        <v>October</v>
      </c>
      <c r="Q139" s="11">
        <f>+SUM(K139:M139)/Weights!$B$2</f>
        <v>0</v>
      </c>
      <c r="R139" s="11">
        <f>+SUM(N139:O139)/Weights!$B$4</f>
        <v>0</v>
      </c>
      <c r="S139" s="121" t="str">
        <f t="shared" si="16"/>
        <v/>
      </c>
      <c r="T139" s="121" t="str">
        <f t="shared" si="14"/>
        <v/>
      </c>
    </row>
    <row r="140" spans="1:20" x14ac:dyDescent="0.35">
      <c r="A140" s="2">
        <f>WORKDAY.INTL(A139,1,,'Don''t Change'!$A$2:$A$7)</f>
        <v>46309</v>
      </c>
      <c r="B140">
        <f t="shared" si="15"/>
        <v>42</v>
      </c>
      <c r="C140" t="str">
        <f t="shared" si="17"/>
        <v>October</v>
      </c>
      <c r="Q140" s="11">
        <f>+SUM(K140:M140)/Weights!$B$2</f>
        <v>0</v>
      </c>
      <c r="R140" s="11">
        <f>+SUM(N140:O140)/Weights!$B$4</f>
        <v>0</v>
      </c>
      <c r="S140" s="121" t="str">
        <f t="shared" si="16"/>
        <v/>
      </c>
      <c r="T140" s="121" t="str">
        <f t="shared" si="14"/>
        <v/>
      </c>
    </row>
    <row r="141" spans="1:20" x14ac:dyDescent="0.35">
      <c r="A141" s="2">
        <f>WORKDAY.INTL(A140,1,,'Don''t Change'!$A$2:$A$7)</f>
        <v>46310</v>
      </c>
      <c r="B141">
        <f t="shared" si="15"/>
        <v>42</v>
      </c>
      <c r="C141" t="str">
        <f t="shared" si="17"/>
        <v>October</v>
      </c>
      <c r="Q141" s="11">
        <f>+SUM(K141:M141)/Weights!$B$2</f>
        <v>0</v>
      </c>
      <c r="R141" s="11">
        <f>+SUM(N141:O141)/Weights!$B$4</f>
        <v>0</v>
      </c>
      <c r="S141" s="121" t="str">
        <f t="shared" si="16"/>
        <v/>
      </c>
      <c r="T141" s="121" t="str">
        <f t="shared" ref="T141:T193" si="18">IFERROR(R141/SUM(G141:I141),"")</f>
        <v/>
      </c>
    </row>
    <row r="142" spans="1:20" x14ac:dyDescent="0.35">
      <c r="A142" s="2">
        <f>WORKDAY.INTL(A141,1,,'Don''t Change'!$A$2:$A$7)</f>
        <v>46311</v>
      </c>
      <c r="B142">
        <f t="shared" si="15"/>
        <v>42</v>
      </c>
      <c r="C142" t="str">
        <f t="shared" si="17"/>
        <v>October</v>
      </c>
      <c r="Q142" s="11">
        <f>+SUM(K142:M142)/Weights!$B$2</f>
        <v>0</v>
      </c>
      <c r="R142" s="11">
        <f>+SUM(N142:O142)/Weights!$B$4</f>
        <v>0</v>
      </c>
      <c r="S142" s="121" t="str">
        <f t="shared" si="16"/>
        <v/>
      </c>
      <c r="T142" s="121" t="str">
        <f t="shared" si="18"/>
        <v/>
      </c>
    </row>
    <row r="143" spans="1:20" x14ac:dyDescent="0.35">
      <c r="A143" s="2">
        <f>WORKDAY.INTL(A142,1,,'Don''t Change'!$A$2:$A$7)</f>
        <v>46314</v>
      </c>
      <c r="B143">
        <f t="shared" si="15"/>
        <v>43</v>
      </c>
      <c r="C143" t="str">
        <f t="shared" si="17"/>
        <v>October</v>
      </c>
      <c r="Q143" s="11">
        <f>+SUM(K143:M143)/Weights!$B$2</f>
        <v>0</v>
      </c>
      <c r="R143" s="11">
        <f>+SUM(N143:O143)/Weights!$B$4</f>
        <v>0</v>
      </c>
      <c r="S143" s="121" t="str">
        <f t="shared" si="16"/>
        <v/>
      </c>
      <c r="T143" s="121" t="str">
        <f t="shared" si="18"/>
        <v/>
      </c>
    </row>
    <row r="144" spans="1:20" x14ac:dyDescent="0.35">
      <c r="A144" s="2">
        <f>WORKDAY.INTL(A143,1,,'Don''t Change'!$A$2:$A$7)</f>
        <v>46315</v>
      </c>
      <c r="B144">
        <f t="shared" si="15"/>
        <v>43</v>
      </c>
      <c r="C144" t="str">
        <f t="shared" si="17"/>
        <v>October</v>
      </c>
      <c r="Q144" s="11">
        <f>+SUM(K144:M144)/Weights!$B$2</f>
        <v>0</v>
      </c>
      <c r="R144" s="11">
        <f>+SUM(N144:O144)/Weights!$B$4</f>
        <v>0</v>
      </c>
      <c r="S144" s="121" t="str">
        <f t="shared" si="16"/>
        <v/>
      </c>
      <c r="T144" s="121" t="str">
        <f t="shared" si="18"/>
        <v/>
      </c>
    </row>
    <row r="145" spans="1:20" x14ac:dyDescent="0.35">
      <c r="A145" s="2">
        <f>WORKDAY.INTL(A144,1,,'Don''t Change'!$A$2:$A$7)</f>
        <v>46316</v>
      </c>
      <c r="B145">
        <f t="shared" si="15"/>
        <v>43</v>
      </c>
      <c r="C145" t="str">
        <f t="shared" si="17"/>
        <v>October</v>
      </c>
      <c r="Q145" s="11">
        <f>+SUM(K145:M145)/Weights!$B$2</f>
        <v>0</v>
      </c>
      <c r="R145" s="11">
        <f>+SUM(N145:O145)/Weights!$B$4</f>
        <v>0</v>
      </c>
      <c r="S145" s="121" t="str">
        <f t="shared" si="16"/>
        <v/>
      </c>
      <c r="T145" s="121" t="str">
        <f t="shared" si="18"/>
        <v/>
      </c>
    </row>
    <row r="146" spans="1:20" x14ac:dyDescent="0.35">
      <c r="A146" s="2">
        <f>WORKDAY.INTL(A145,1,,'Don''t Change'!$A$2:$A$7)</f>
        <v>46317</v>
      </c>
      <c r="B146">
        <f t="shared" si="15"/>
        <v>43</v>
      </c>
      <c r="C146" t="str">
        <f t="shared" si="17"/>
        <v>October</v>
      </c>
      <c r="Q146" s="11">
        <f>+SUM(K146:M146)/Weights!$B$2</f>
        <v>0</v>
      </c>
      <c r="R146" s="11">
        <f>+SUM(N146:O146)/Weights!$B$4</f>
        <v>0</v>
      </c>
      <c r="S146" s="121" t="str">
        <f t="shared" si="16"/>
        <v/>
      </c>
      <c r="T146" s="121" t="str">
        <f t="shared" si="18"/>
        <v/>
      </c>
    </row>
    <row r="147" spans="1:20" x14ac:dyDescent="0.35">
      <c r="A147" s="2">
        <f>WORKDAY.INTL(A146,1,,'Don''t Change'!$A$2:$A$7)</f>
        <v>46318</v>
      </c>
      <c r="B147">
        <f t="shared" si="15"/>
        <v>43</v>
      </c>
      <c r="C147" t="str">
        <f t="shared" si="17"/>
        <v>October</v>
      </c>
      <c r="Q147" s="11">
        <f>+SUM(K147:M147)/Weights!$B$2</f>
        <v>0</v>
      </c>
      <c r="R147" s="11">
        <f>+SUM(N147:O147)/Weights!$B$4</f>
        <v>0</v>
      </c>
      <c r="S147" s="121" t="str">
        <f t="shared" si="16"/>
        <v/>
      </c>
      <c r="T147" s="121" t="str">
        <f t="shared" si="18"/>
        <v/>
      </c>
    </row>
    <row r="148" spans="1:20" x14ac:dyDescent="0.35">
      <c r="A148" s="2">
        <f>WORKDAY.INTL(A147,1,,'Don''t Change'!$A$2:$A$7)</f>
        <v>46321</v>
      </c>
      <c r="B148">
        <f t="shared" si="15"/>
        <v>44</v>
      </c>
      <c r="C148" t="str">
        <f t="shared" si="17"/>
        <v>October</v>
      </c>
      <c r="Q148" s="11">
        <f>+SUM(K148:M148)/Weights!$B$2</f>
        <v>0</v>
      </c>
      <c r="R148" s="11">
        <f>+SUM(N148:O148)/Weights!$B$4</f>
        <v>0</v>
      </c>
      <c r="S148" s="121" t="str">
        <f t="shared" si="16"/>
        <v/>
      </c>
      <c r="T148" s="121" t="str">
        <f t="shared" si="18"/>
        <v/>
      </c>
    </row>
    <row r="149" spans="1:20" x14ac:dyDescent="0.35">
      <c r="A149" s="2">
        <f>WORKDAY.INTL(A148,1,,'Don''t Change'!$A$2:$A$7)</f>
        <v>46322</v>
      </c>
      <c r="B149">
        <f t="shared" si="15"/>
        <v>44</v>
      </c>
      <c r="C149" t="str">
        <f t="shared" si="17"/>
        <v>October</v>
      </c>
      <c r="Q149" s="11">
        <f>+SUM(K149:M149)/Weights!$B$2</f>
        <v>0</v>
      </c>
      <c r="R149" s="11">
        <f>+SUM(N149:O149)/Weights!$B$4</f>
        <v>0</v>
      </c>
      <c r="S149" s="121" t="str">
        <f t="shared" si="16"/>
        <v/>
      </c>
      <c r="T149" s="121" t="str">
        <f t="shared" si="18"/>
        <v/>
      </c>
    </row>
    <row r="150" spans="1:20" x14ac:dyDescent="0.35">
      <c r="A150" s="2">
        <f>WORKDAY.INTL(A149,1,,'Don''t Change'!$A$2:$A$7)</f>
        <v>46323</v>
      </c>
      <c r="B150">
        <f t="shared" si="15"/>
        <v>44</v>
      </c>
      <c r="C150" t="str">
        <f t="shared" si="17"/>
        <v>October</v>
      </c>
      <c r="Q150" s="11">
        <f>+SUM(K150:M150)/Weights!$B$2</f>
        <v>0</v>
      </c>
      <c r="R150" s="11">
        <f>+SUM(N150:O150)/Weights!$B$4</f>
        <v>0</v>
      </c>
      <c r="S150" s="121" t="str">
        <f t="shared" si="16"/>
        <v/>
      </c>
      <c r="T150" s="121" t="str">
        <f t="shared" si="18"/>
        <v/>
      </c>
    </row>
    <row r="151" spans="1:20" x14ac:dyDescent="0.35">
      <c r="A151" s="2">
        <f>WORKDAY.INTL(A150,1,,'Don''t Change'!$A$2:$A$7)</f>
        <v>46324</v>
      </c>
      <c r="B151">
        <f t="shared" si="15"/>
        <v>44</v>
      </c>
      <c r="C151" t="str">
        <f t="shared" si="17"/>
        <v>October</v>
      </c>
      <c r="Q151" s="11">
        <f>+SUM(K151:M151)/Weights!$B$2</f>
        <v>0</v>
      </c>
      <c r="R151" s="11">
        <f>+SUM(N151:O151)/Weights!$B$4</f>
        <v>0</v>
      </c>
      <c r="S151" s="121" t="str">
        <f t="shared" si="16"/>
        <v/>
      </c>
      <c r="T151" s="121" t="str">
        <f t="shared" si="18"/>
        <v/>
      </c>
    </row>
    <row r="152" spans="1:20" x14ac:dyDescent="0.35">
      <c r="A152" s="2">
        <f>WORKDAY.INTL(A151,1,,'Don''t Change'!$A$2:$A$7)</f>
        <v>46325</v>
      </c>
      <c r="B152">
        <f t="shared" si="15"/>
        <v>44</v>
      </c>
      <c r="C152" t="str">
        <f t="shared" si="17"/>
        <v>October</v>
      </c>
      <c r="Q152" s="11">
        <f>+SUM(K152:M152)/Weights!$B$2</f>
        <v>0</v>
      </c>
      <c r="R152" s="11">
        <f>+SUM(N152:O152)/Weights!$B$4</f>
        <v>0</v>
      </c>
      <c r="S152" s="121" t="str">
        <f t="shared" si="16"/>
        <v/>
      </c>
      <c r="T152" s="121" t="str">
        <f t="shared" si="18"/>
        <v/>
      </c>
    </row>
    <row r="153" spans="1:20" x14ac:dyDescent="0.35">
      <c r="A153" s="2">
        <f>WORKDAY.INTL(A152,1,,'Don''t Change'!$A$2:$A$7)</f>
        <v>46328</v>
      </c>
      <c r="B153">
        <f t="shared" si="15"/>
        <v>45</v>
      </c>
      <c r="C153" t="str">
        <f t="shared" si="17"/>
        <v>November</v>
      </c>
      <c r="Q153" s="11">
        <f>+SUM(K153:M153)/Weights!$B$2</f>
        <v>0</v>
      </c>
      <c r="R153" s="11">
        <f>+SUM(N153:O153)/Weights!$B$4</f>
        <v>0</v>
      </c>
      <c r="S153" s="121" t="str">
        <f t="shared" si="16"/>
        <v/>
      </c>
      <c r="T153" s="121" t="str">
        <f t="shared" si="18"/>
        <v/>
      </c>
    </row>
    <row r="154" spans="1:20" x14ac:dyDescent="0.35">
      <c r="A154" s="2">
        <f>WORKDAY.INTL(A153,1,,'Don''t Change'!$A$2:$A$7)</f>
        <v>46329</v>
      </c>
      <c r="B154">
        <f t="shared" si="15"/>
        <v>45</v>
      </c>
      <c r="C154" t="str">
        <f t="shared" si="17"/>
        <v>November</v>
      </c>
      <c r="Q154" s="11">
        <f>+SUM(K154:M154)/Weights!$B$2</f>
        <v>0</v>
      </c>
      <c r="R154" s="11">
        <f>+SUM(N154:O154)/Weights!$B$4</f>
        <v>0</v>
      </c>
      <c r="S154" s="121" t="str">
        <f t="shared" si="16"/>
        <v/>
      </c>
      <c r="T154" s="121" t="str">
        <f t="shared" si="18"/>
        <v/>
      </c>
    </row>
    <row r="155" spans="1:20" x14ac:dyDescent="0.35">
      <c r="A155" s="2">
        <f>WORKDAY.INTL(A154,1,,'Don''t Change'!$A$2:$A$7)</f>
        <v>46330</v>
      </c>
      <c r="B155">
        <f t="shared" si="15"/>
        <v>45</v>
      </c>
      <c r="C155" t="str">
        <f t="shared" si="17"/>
        <v>November</v>
      </c>
      <c r="Q155" s="11">
        <f>+SUM(K155:M155)/Weights!$B$2</f>
        <v>0</v>
      </c>
      <c r="R155" s="11">
        <f>+SUM(N155:O155)/Weights!$B$4</f>
        <v>0</v>
      </c>
      <c r="S155" s="121" t="str">
        <f t="shared" si="16"/>
        <v/>
      </c>
      <c r="T155" s="121" t="str">
        <f t="shared" si="18"/>
        <v/>
      </c>
    </row>
    <row r="156" spans="1:20" x14ac:dyDescent="0.35">
      <c r="A156" s="2">
        <f>WORKDAY.INTL(A155,1,,'Don''t Change'!$A$2:$A$7)</f>
        <v>46331</v>
      </c>
      <c r="B156">
        <f t="shared" si="15"/>
        <v>45</v>
      </c>
      <c r="C156" t="str">
        <f t="shared" si="17"/>
        <v>November</v>
      </c>
      <c r="Q156" s="11">
        <f>+SUM(K156:M156)/Weights!$B$2</f>
        <v>0</v>
      </c>
      <c r="R156" s="11">
        <f>+SUM(N156:O156)/Weights!$B$4</f>
        <v>0</v>
      </c>
      <c r="S156" s="121" t="str">
        <f t="shared" si="16"/>
        <v/>
      </c>
      <c r="T156" s="121" t="str">
        <f t="shared" si="18"/>
        <v/>
      </c>
    </row>
    <row r="157" spans="1:20" x14ac:dyDescent="0.35">
      <c r="A157" s="2">
        <f>WORKDAY.INTL(A156,1,,'Don''t Change'!$A$2:$A$7)</f>
        <v>46332</v>
      </c>
      <c r="B157">
        <f t="shared" si="15"/>
        <v>45</v>
      </c>
      <c r="C157" t="str">
        <f t="shared" si="17"/>
        <v>November</v>
      </c>
      <c r="Q157" s="11">
        <f>+SUM(K157:M157)/Weights!$B$2</f>
        <v>0</v>
      </c>
      <c r="R157" s="11">
        <f>+SUM(N157:O157)/Weights!$B$4</f>
        <v>0</v>
      </c>
      <c r="S157" s="121" t="str">
        <f t="shared" si="16"/>
        <v/>
      </c>
      <c r="T157" s="121" t="str">
        <f t="shared" si="18"/>
        <v/>
      </c>
    </row>
    <row r="158" spans="1:20" x14ac:dyDescent="0.35">
      <c r="A158" s="2">
        <f>WORKDAY.INTL(A157,1,,'Don''t Change'!$A$2:$A$7)</f>
        <v>46335</v>
      </c>
      <c r="B158">
        <f t="shared" si="15"/>
        <v>46</v>
      </c>
      <c r="C158" t="str">
        <f t="shared" si="17"/>
        <v>November</v>
      </c>
      <c r="Q158" s="11">
        <f>+SUM(K158:M158)/Weights!$B$2</f>
        <v>0</v>
      </c>
      <c r="R158" s="11">
        <f>+SUM(N158:O158)/Weights!$B$4</f>
        <v>0</v>
      </c>
      <c r="S158" s="121" t="str">
        <f t="shared" si="16"/>
        <v/>
      </c>
      <c r="T158" s="121" t="str">
        <f t="shared" si="18"/>
        <v/>
      </c>
    </row>
    <row r="159" spans="1:20" x14ac:dyDescent="0.35">
      <c r="A159" s="2">
        <f>WORKDAY.INTL(A158,1,,'Don''t Change'!$A$2:$A$7)</f>
        <v>46336</v>
      </c>
      <c r="B159">
        <f t="shared" si="15"/>
        <v>46</v>
      </c>
      <c r="C159" t="str">
        <f t="shared" si="17"/>
        <v>November</v>
      </c>
      <c r="Q159" s="11">
        <f>+SUM(K159:M159)/Weights!$B$2</f>
        <v>0</v>
      </c>
      <c r="R159" s="11">
        <f>+SUM(N159:O159)/Weights!$B$4</f>
        <v>0</v>
      </c>
      <c r="S159" s="121" t="str">
        <f t="shared" si="16"/>
        <v/>
      </c>
      <c r="T159" s="121" t="str">
        <f t="shared" si="18"/>
        <v/>
      </c>
    </row>
    <row r="160" spans="1:20" x14ac:dyDescent="0.35">
      <c r="A160" s="2">
        <f>WORKDAY.INTL(A159,1,,'Don''t Change'!$A$2:$A$7)</f>
        <v>46337</v>
      </c>
      <c r="B160">
        <f t="shared" si="15"/>
        <v>46</v>
      </c>
      <c r="C160" t="str">
        <f t="shared" si="17"/>
        <v>November</v>
      </c>
      <c r="Q160" s="11">
        <f>+SUM(K160:M160)/Weights!$B$2</f>
        <v>0</v>
      </c>
      <c r="R160" s="11">
        <f>+SUM(N160:O160)/Weights!$B$4</f>
        <v>0</v>
      </c>
      <c r="S160" s="121" t="str">
        <f t="shared" si="16"/>
        <v/>
      </c>
      <c r="T160" s="121" t="str">
        <f t="shared" si="18"/>
        <v/>
      </c>
    </row>
    <row r="161" spans="1:20" x14ac:dyDescent="0.35">
      <c r="A161" s="2">
        <f>WORKDAY.INTL(A160,1,,'Don''t Change'!$A$2:$A$7)</f>
        <v>46338</v>
      </c>
      <c r="B161">
        <f t="shared" ref="B161:B192" si="19">+WEEKNUM(A161)</f>
        <v>46</v>
      </c>
      <c r="C161" t="str">
        <f t="shared" si="17"/>
        <v>November</v>
      </c>
      <c r="Q161" s="11">
        <f>+SUM(K161:M161)/Weights!$B$2</f>
        <v>0</v>
      </c>
      <c r="R161" s="11">
        <f>+SUM(N161:O161)/Weights!$B$4</f>
        <v>0</v>
      </c>
      <c r="S161" s="121" t="str">
        <f t="shared" si="16"/>
        <v/>
      </c>
      <c r="T161" s="121" t="str">
        <f t="shared" si="18"/>
        <v/>
      </c>
    </row>
    <row r="162" spans="1:20" x14ac:dyDescent="0.35">
      <c r="A162" s="2">
        <f>WORKDAY.INTL(A161,1,,'Don''t Change'!$A$2:$A$7)</f>
        <v>46339</v>
      </c>
      <c r="B162">
        <f t="shared" si="19"/>
        <v>46</v>
      </c>
      <c r="C162" t="str">
        <f t="shared" si="17"/>
        <v>November</v>
      </c>
      <c r="Q162" s="11">
        <f>+SUM(K162:M162)/Weights!$B$2</f>
        <v>0</v>
      </c>
      <c r="R162" s="11">
        <f>+SUM(N162:O162)/Weights!$B$4</f>
        <v>0</v>
      </c>
      <c r="S162" s="121" t="str">
        <f t="shared" si="16"/>
        <v/>
      </c>
      <c r="T162" s="121" t="str">
        <f t="shared" si="18"/>
        <v/>
      </c>
    </row>
    <row r="163" spans="1:20" x14ac:dyDescent="0.35">
      <c r="A163" s="2">
        <f>WORKDAY.INTL(A162,1,,'Don''t Change'!$A$2:$A$7)</f>
        <v>46342</v>
      </c>
      <c r="B163">
        <f t="shared" si="19"/>
        <v>47</v>
      </c>
      <c r="C163" t="str">
        <f t="shared" si="17"/>
        <v>November</v>
      </c>
      <c r="Q163" s="11">
        <f>+SUM(K163:M163)/Weights!$B$2</f>
        <v>0</v>
      </c>
      <c r="R163" s="11">
        <f>+SUM(N163:O163)/Weights!$B$4</f>
        <v>0</v>
      </c>
      <c r="S163" s="121" t="str">
        <f t="shared" si="16"/>
        <v/>
      </c>
      <c r="T163" s="121" t="str">
        <f t="shared" si="18"/>
        <v/>
      </c>
    </row>
    <row r="164" spans="1:20" x14ac:dyDescent="0.35">
      <c r="A164" s="2">
        <f>WORKDAY.INTL(A163,1,,'Don''t Change'!$A$2:$A$7)</f>
        <v>46343</v>
      </c>
      <c r="B164">
        <f t="shared" si="19"/>
        <v>47</v>
      </c>
      <c r="C164" t="str">
        <f t="shared" si="17"/>
        <v>November</v>
      </c>
      <c r="Q164" s="11">
        <f>+SUM(K164:M164)/Weights!$B$2</f>
        <v>0</v>
      </c>
      <c r="R164" s="11">
        <f>+SUM(N164:O164)/Weights!$B$4</f>
        <v>0</v>
      </c>
      <c r="S164" s="121" t="str">
        <f t="shared" si="16"/>
        <v/>
      </c>
      <c r="T164" s="121" t="str">
        <f t="shared" si="18"/>
        <v/>
      </c>
    </row>
    <row r="165" spans="1:20" x14ac:dyDescent="0.35">
      <c r="A165" s="2">
        <f>WORKDAY.INTL(A164,1,,'Don''t Change'!$A$2:$A$7)</f>
        <v>46344</v>
      </c>
      <c r="B165">
        <f t="shared" si="19"/>
        <v>47</v>
      </c>
      <c r="C165" t="str">
        <f t="shared" si="17"/>
        <v>November</v>
      </c>
      <c r="Q165" s="11">
        <f>+SUM(K165:M165)/Weights!$B$2</f>
        <v>0</v>
      </c>
      <c r="R165" s="11">
        <f>+SUM(N165:O165)/Weights!$B$4</f>
        <v>0</v>
      </c>
      <c r="S165" s="121" t="str">
        <f t="shared" si="16"/>
        <v/>
      </c>
      <c r="T165" s="121" t="str">
        <f t="shared" si="18"/>
        <v/>
      </c>
    </row>
    <row r="166" spans="1:20" x14ac:dyDescent="0.35">
      <c r="A166" s="2">
        <f>WORKDAY.INTL(A165,1,,'Don''t Change'!$A$2:$A$7)</f>
        <v>46345</v>
      </c>
      <c r="B166">
        <f t="shared" si="19"/>
        <v>47</v>
      </c>
      <c r="C166" t="str">
        <f t="shared" si="17"/>
        <v>November</v>
      </c>
      <c r="Q166" s="11">
        <f>+SUM(K166:M166)/Weights!$B$2</f>
        <v>0</v>
      </c>
      <c r="R166" s="11">
        <f>+SUM(N166:O166)/Weights!$B$4</f>
        <v>0</v>
      </c>
      <c r="S166" s="121" t="str">
        <f t="shared" si="16"/>
        <v/>
      </c>
      <c r="T166" s="121" t="str">
        <f t="shared" si="18"/>
        <v/>
      </c>
    </row>
    <row r="167" spans="1:20" x14ac:dyDescent="0.35">
      <c r="A167" s="2">
        <f>WORKDAY.INTL(A166,1,,'Don''t Change'!$A$2:$A$7)</f>
        <v>46346</v>
      </c>
      <c r="B167">
        <f t="shared" si="19"/>
        <v>47</v>
      </c>
      <c r="C167" t="str">
        <f t="shared" si="17"/>
        <v>November</v>
      </c>
      <c r="Q167" s="11">
        <f>+SUM(K167:M167)/Weights!$B$2</f>
        <v>0</v>
      </c>
      <c r="R167" s="11">
        <f>+SUM(N167:O167)/Weights!$B$4</f>
        <v>0</v>
      </c>
      <c r="S167" s="121" t="str">
        <f t="shared" si="16"/>
        <v/>
      </c>
      <c r="T167" s="121" t="str">
        <f t="shared" si="18"/>
        <v/>
      </c>
    </row>
    <row r="168" spans="1:20" x14ac:dyDescent="0.35">
      <c r="A168" s="2">
        <f>WORKDAY.INTL(A167,1,,'Don''t Change'!$A$2:$A$7)</f>
        <v>46349</v>
      </c>
      <c r="B168">
        <f t="shared" si="19"/>
        <v>48</v>
      </c>
      <c r="C168" t="str">
        <f t="shared" si="17"/>
        <v>November</v>
      </c>
      <c r="Q168" s="11">
        <f>+SUM(K168:M168)/Weights!$B$2</f>
        <v>0</v>
      </c>
      <c r="R168" s="11">
        <f>+SUM(N168:O168)/Weights!$B$4</f>
        <v>0</v>
      </c>
      <c r="S168" s="121" t="str">
        <f t="shared" si="16"/>
        <v/>
      </c>
      <c r="T168" s="121" t="str">
        <f t="shared" si="18"/>
        <v/>
      </c>
    </row>
    <row r="169" spans="1:20" x14ac:dyDescent="0.35">
      <c r="A169" s="2">
        <f>WORKDAY.INTL(A168,1,,'Don''t Change'!$A$2:$A$7)</f>
        <v>46350</v>
      </c>
      <c r="B169">
        <f t="shared" si="19"/>
        <v>48</v>
      </c>
      <c r="C169" t="str">
        <f t="shared" si="17"/>
        <v>November</v>
      </c>
      <c r="Q169" s="11">
        <f>+SUM(K169:M169)/Weights!$B$2</f>
        <v>0</v>
      </c>
      <c r="R169" s="11">
        <f>+SUM(N169:O169)/Weights!$B$4</f>
        <v>0</v>
      </c>
      <c r="S169" s="121" t="str">
        <f t="shared" si="16"/>
        <v/>
      </c>
      <c r="T169" s="121" t="str">
        <f t="shared" si="18"/>
        <v/>
      </c>
    </row>
    <row r="170" spans="1:20" x14ac:dyDescent="0.35">
      <c r="A170" s="2">
        <f>WORKDAY.INTL(A169,1,,'Don''t Change'!$A$2:$A$7)</f>
        <v>46351</v>
      </c>
      <c r="B170">
        <f t="shared" si="19"/>
        <v>48</v>
      </c>
      <c r="C170" t="str">
        <f t="shared" si="17"/>
        <v>November</v>
      </c>
      <c r="Q170" s="11">
        <f>+SUM(K170:M170)/Weights!$B$2</f>
        <v>0</v>
      </c>
      <c r="R170" s="11">
        <f>+SUM(N170:O170)/Weights!$B$4</f>
        <v>0</v>
      </c>
      <c r="S170" s="121" t="str">
        <f t="shared" si="16"/>
        <v/>
      </c>
      <c r="T170" s="121" t="str">
        <f t="shared" si="18"/>
        <v/>
      </c>
    </row>
    <row r="171" spans="1:20" x14ac:dyDescent="0.35">
      <c r="A171" s="2">
        <f>WORKDAY.INTL(A170,1,,'Don''t Change'!$A$2:$A$7)</f>
        <v>46356</v>
      </c>
      <c r="B171">
        <f t="shared" si="19"/>
        <v>49</v>
      </c>
      <c r="C171" t="str">
        <f t="shared" si="17"/>
        <v>November</v>
      </c>
      <c r="Q171" s="11">
        <f>+SUM(K171:M171)/Weights!$B$2</f>
        <v>0</v>
      </c>
      <c r="R171" s="11">
        <f>+SUM(N171:O171)/Weights!$B$4</f>
        <v>0</v>
      </c>
      <c r="S171" s="121" t="str">
        <f t="shared" si="16"/>
        <v/>
      </c>
      <c r="T171" s="121" t="str">
        <f t="shared" si="18"/>
        <v/>
      </c>
    </row>
    <row r="172" spans="1:20" x14ac:dyDescent="0.35">
      <c r="A172" s="2">
        <f>WORKDAY.INTL(A171,1,,'Don''t Change'!$A$2:$A$7)</f>
        <v>46357</v>
      </c>
      <c r="B172">
        <f t="shared" si="19"/>
        <v>49</v>
      </c>
      <c r="C172" t="str">
        <f t="shared" si="17"/>
        <v>December</v>
      </c>
      <c r="Q172" s="11">
        <f>+SUM(K172:M172)/Weights!$B$2</f>
        <v>0</v>
      </c>
      <c r="R172" s="11">
        <f>+SUM(N172:O172)/Weights!$B$4</f>
        <v>0</v>
      </c>
      <c r="S172" s="121" t="str">
        <f t="shared" si="16"/>
        <v/>
      </c>
      <c r="T172" s="121" t="str">
        <f t="shared" si="18"/>
        <v/>
      </c>
    </row>
    <row r="173" spans="1:20" x14ac:dyDescent="0.35">
      <c r="A173" s="2">
        <f>WORKDAY.INTL(A172,1,,'Don''t Change'!$A$2:$A$7)</f>
        <v>46358</v>
      </c>
      <c r="B173">
        <f t="shared" si="19"/>
        <v>49</v>
      </c>
      <c r="C173" t="str">
        <f t="shared" si="17"/>
        <v>December</v>
      </c>
      <c r="Q173" s="11">
        <f>+SUM(K173:M173)/Weights!$B$2</f>
        <v>0</v>
      </c>
      <c r="R173" s="11">
        <f>+SUM(N173:O173)/Weights!$B$4</f>
        <v>0</v>
      </c>
      <c r="S173" s="121" t="str">
        <f t="shared" si="16"/>
        <v/>
      </c>
      <c r="T173" s="121" t="str">
        <f t="shared" si="18"/>
        <v/>
      </c>
    </row>
    <row r="174" spans="1:20" x14ac:dyDescent="0.35">
      <c r="A174" s="2">
        <f>WORKDAY.INTL(A173,1,,'Don''t Change'!$A$2:$A$7)</f>
        <v>46359</v>
      </c>
      <c r="B174">
        <f t="shared" si="19"/>
        <v>49</v>
      </c>
      <c r="C174" t="str">
        <f t="shared" si="17"/>
        <v>December</v>
      </c>
      <c r="Q174" s="11">
        <f>+SUM(K174:M174)/Weights!$B$2</f>
        <v>0</v>
      </c>
      <c r="R174" s="11">
        <f>+SUM(N174:O174)/Weights!$B$4</f>
        <v>0</v>
      </c>
      <c r="S174" s="121" t="str">
        <f t="shared" si="16"/>
        <v/>
      </c>
      <c r="T174" s="121" t="str">
        <f t="shared" si="18"/>
        <v/>
      </c>
    </row>
    <row r="175" spans="1:20" x14ac:dyDescent="0.35">
      <c r="A175" s="2">
        <f>WORKDAY.INTL(A174,1,,'Don''t Change'!$A$2:$A$7)</f>
        <v>46360</v>
      </c>
      <c r="B175">
        <f t="shared" si="19"/>
        <v>49</v>
      </c>
      <c r="C175" t="str">
        <f t="shared" si="17"/>
        <v>December</v>
      </c>
      <c r="Q175" s="11">
        <f>+SUM(K175:M175)/Weights!$B$2</f>
        <v>0</v>
      </c>
      <c r="R175" s="11">
        <f>+SUM(N175:O175)/Weights!$B$4</f>
        <v>0</v>
      </c>
      <c r="S175" s="121" t="str">
        <f t="shared" si="16"/>
        <v/>
      </c>
      <c r="T175" s="121" t="str">
        <f t="shared" si="18"/>
        <v/>
      </c>
    </row>
    <row r="176" spans="1:20" x14ac:dyDescent="0.35">
      <c r="A176" s="2">
        <f>WORKDAY.INTL(A175,1,,'Don''t Change'!$A$2:$A$7)</f>
        <v>46363</v>
      </c>
      <c r="B176">
        <f t="shared" si="19"/>
        <v>50</v>
      </c>
      <c r="C176" t="str">
        <f t="shared" si="17"/>
        <v>December</v>
      </c>
      <c r="Q176" s="11">
        <f>+SUM(K176:M176)/Weights!$B$2</f>
        <v>0</v>
      </c>
      <c r="R176" s="11">
        <f>+SUM(N176:O176)/Weights!$B$4</f>
        <v>0</v>
      </c>
      <c r="S176" s="121" t="str">
        <f t="shared" si="16"/>
        <v/>
      </c>
      <c r="T176" s="121" t="str">
        <f t="shared" si="18"/>
        <v/>
      </c>
    </row>
    <row r="177" spans="1:20" x14ac:dyDescent="0.35">
      <c r="A177" s="2">
        <f>WORKDAY.INTL(A176,1,,'Don''t Change'!$A$2:$A$7)</f>
        <v>46364</v>
      </c>
      <c r="B177">
        <f t="shared" si="19"/>
        <v>50</v>
      </c>
      <c r="C177" t="str">
        <f t="shared" si="17"/>
        <v>December</v>
      </c>
      <c r="Q177" s="11">
        <f>+SUM(K177:M177)/Weights!$B$2</f>
        <v>0</v>
      </c>
      <c r="R177" s="11">
        <f>+SUM(N177:O177)/Weights!$B$4</f>
        <v>0</v>
      </c>
      <c r="S177" s="121" t="str">
        <f t="shared" si="16"/>
        <v/>
      </c>
      <c r="T177" s="121" t="str">
        <f t="shared" si="18"/>
        <v/>
      </c>
    </row>
    <row r="178" spans="1:20" x14ac:dyDescent="0.35">
      <c r="A178" s="2">
        <f>WORKDAY.INTL(A177,1,,'Don''t Change'!$A$2:$A$7)</f>
        <v>46365</v>
      </c>
      <c r="B178">
        <f t="shared" si="19"/>
        <v>50</v>
      </c>
      <c r="C178" t="str">
        <f t="shared" si="17"/>
        <v>December</v>
      </c>
      <c r="Q178" s="11">
        <f>+SUM(K178:M178)/Weights!$B$2</f>
        <v>0</v>
      </c>
      <c r="R178" s="11">
        <f>+SUM(N178:O178)/Weights!$B$4</f>
        <v>0</v>
      </c>
      <c r="S178" s="121" t="str">
        <f t="shared" si="16"/>
        <v/>
      </c>
      <c r="T178" s="121" t="str">
        <f t="shared" si="18"/>
        <v/>
      </c>
    </row>
    <row r="179" spans="1:20" x14ac:dyDescent="0.35">
      <c r="A179" s="2">
        <f>WORKDAY.INTL(A178,1,,'Don''t Change'!$A$2:$A$7)</f>
        <v>46366</v>
      </c>
      <c r="B179">
        <f t="shared" si="19"/>
        <v>50</v>
      </c>
      <c r="C179" t="str">
        <f t="shared" si="17"/>
        <v>December</v>
      </c>
      <c r="Q179" s="11">
        <f>+SUM(K179:M179)/Weights!$B$2</f>
        <v>0</v>
      </c>
      <c r="R179" s="11">
        <f>+SUM(N179:O179)/Weights!$B$4</f>
        <v>0</v>
      </c>
      <c r="S179" s="121" t="str">
        <f t="shared" si="16"/>
        <v/>
      </c>
      <c r="T179" s="121" t="str">
        <f t="shared" si="18"/>
        <v/>
      </c>
    </row>
    <row r="180" spans="1:20" x14ac:dyDescent="0.35">
      <c r="A180" s="2">
        <f>WORKDAY.INTL(A179,1,,'Don''t Change'!$A$2:$A$7)</f>
        <v>46367</v>
      </c>
      <c r="B180">
        <f t="shared" si="19"/>
        <v>50</v>
      </c>
      <c r="C180" t="str">
        <f t="shared" si="17"/>
        <v>December</v>
      </c>
      <c r="Q180" s="11">
        <f>+SUM(K180:M180)/Weights!$B$2</f>
        <v>0</v>
      </c>
      <c r="R180" s="11">
        <f>+SUM(N180:O180)/Weights!$B$4</f>
        <v>0</v>
      </c>
      <c r="S180" s="121" t="str">
        <f t="shared" si="16"/>
        <v/>
      </c>
      <c r="T180" s="121" t="str">
        <f t="shared" si="18"/>
        <v/>
      </c>
    </row>
    <row r="181" spans="1:20" x14ac:dyDescent="0.35">
      <c r="A181" s="2">
        <f>WORKDAY.INTL(A180,1,,'Don''t Change'!$A$2:$A$7)</f>
        <v>46370</v>
      </c>
      <c r="B181">
        <f t="shared" si="19"/>
        <v>51</v>
      </c>
      <c r="C181" t="str">
        <f t="shared" si="17"/>
        <v>December</v>
      </c>
      <c r="Q181" s="11">
        <f>+SUM(K181:M181)/Weights!$B$2</f>
        <v>0</v>
      </c>
      <c r="R181" s="11">
        <f>+SUM(N181:O181)/Weights!$B$4</f>
        <v>0</v>
      </c>
      <c r="S181" s="121" t="str">
        <f t="shared" si="16"/>
        <v/>
      </c>
      <c r="T181" s="121" t="str">
        <f t="shared" si="18"/>
        <v/>
      </c>
    </row>
    <row r="182" spans="1:20" x14ac:dyDescent="0.35">
      <c r="A182" s="2">
        <f>WORKDAY.INTL(A181,1,,'Don''t Change'!$A$2:$A$7)</f>
        <v>46371</v>
      </c>
      <c r="B182">
        <f t="shared" si="19"/>
        <v>51</v>
      </c>
      <c r="C182" t="str">
        <f t="shared" si="17"/>
        <v>December</v>
      </c>
      <c r="Q182" s="11">
        <f>+SUM(K182:M182)/Weights!$B$2</f>
        <v>0</v>
      </c>
      <c r="R182" s="11">
        <f>+SUM(N182:O182)/Weights!$B$4</f>
        <v>0</v>
      </c>
      <c r="S182" s="121" t="str">
        <f t="shared" si="16"/>
        <v/>
      </c>
      <c r="T182" s="121" t="str">
        <f t="shared" si="18"/>
        <v/>
      </c>
    </row>
    <row r="183" spans="1:20" x14ac:dyDescent="0.35">
      <c r="A183" s="2">
        <f>WORKDAY.INTL(A182,1,,'Don''t Change'!$A$2:$A$7)</f>
        <v>46372</v>
      </c>
      <c r="B183">
        <f t="shared" si="19"/>
        <v>51</v>
      </c>
      <c r="C183" t="str">
        <f t="shared" si="17"/>
        <v>December</v>
      </c>
      <c r="Q183" s="11">
        <f>+SUM(K183:M183)/Weights!$B$2</f>
        <v>0</v>
      </c>
      <c r="R183" s="11">
        <f>+SUM(N183:O183)/Weights!$B$4</f>
        <v>0</v>
      </c>
      <c r="S183" s="121" t="str">
        <f t="shared" si="16"/>
        <v/>
      </c>
      <c r="T183" s="121" t="str">
        <f t="shared" si="18"/>
        <v/>
      </c>
    </row>
    <row r="184" spans="1:20" x14ac:dyDescent="0.35">
      <c r="A184" s="2">
        <f>WORKDAY.INTL(A183,1,,'Don''t Change'!$A$2:$A$7)</f>
        <v>46373</v>
      </c>
      <c r="B184">
        <f t="shared" si="19"/>
        <v>51</v>
      </c>
      <c r="C184" t="str">
        <f t="shared" si="17"/>
        <v>December</v>
      </c>
      <c r="Q184" s="11">
        <f>+SUM(K184:M184)/Weights!$B$2</f>
        <v>0</v>
      </c>
      <c r="R184" s="11">
        <f>+SUM(N184:O184)/Weights!$B$4</f>
        <v>0</v>
      </c>
      <c r="S184" s="121" t="str">
        <f t="shared" si="16"/>
        <v/>
      </c>
      <c r="T184" s="121" t="str">
        <f t="shared" si="18"/>
        <v/>
      </c>
    </row>
    <row r="185" spans="1:20" x14ac:dyDescent="0.35">
      <c r="A185" s="2">
        <f>WORKDAY.INTL(A184,1,,'Don''t Change'!$A$2:$A$7)</f>
        <v>46374</v>
      </c>
      <c r="B185">
        <f t="shared" si="19"/>
        <v>51</v>
      </c>
      <c r="C185" t="str">
        <f t="shared" si="17"/>
        <v>December</v>
      </c>
      <c r="Q185" s="11">
        <f>+SUM(K185:M185)/Weights!$B$2</f>
        <v>0</v>
      </c>
      <c r="R185" s="11">
        <f>+SUM(N185:O185)/Weights!$B$4</f>
        <v>0</v>
      </c>
      <c r="S185" s="121" t="str">
        <f t="shared" si="16"/>
        <v/>
      </c>
      <c r="T185" s="121" t="str">
        <f t="shared" si="18"/>
        <v/>
      </c>
    </row>
    <row r="186" spans="1:20" x14ac:dyDescent="0.35">
      <c r="A186" s="2">
        <f>WORKDAY.INTL(A185,1,,'Don''t Change'!$A$2:$A$7)</f>
        <v>46377</v>
      </c>
      <c r="B186">
        <f t="shared" si="19"/>
        <v>52</v>
      </c>
      <c r="C186" t="str">
        <f t="shared" si="17"/>
        <v>December</v>
      </c>
      <c r="Q186" s="11">
        <f>+SUM(K186:M186)/Weights!$B$2</f>
        <v>0</v>
      </c>
      <c r="R186" s="11">
        <f>+SUM(N186:O186)/Weights!$B$4</f>
        <v>0</v>
      </c>
      <c r="S186" s="121" t="str">
        <f t="shared" si="16"/>
        <v/>
      </c>
      <c r="T186" s="121" t="str">
        <f t="shared" si="18"/>
        <v/>
      </c>
    </row>
    <row r="187" spans="1:20" x14ac:dyDescent="0.35">
      <c r="A187" s="2">
        <f>WORKDAY.INTL(A186,1,,'Don''t Change'!$A$2:$A$7)</f>
        <v>46378</v>
      </c>
      <c r="B187">
        <f t="shared" si="19"/>
        <v>52</v>
      </c>
      <c r="C187" t="str">
        <f t="shared" si="17"/>
        <v>December</v>
      </c>
      <c r="Q187" s="11">
        <f>+SUM(K187:M187)/Weights!$B$2</f>
        <v>0</v>
      </c>
      <c r="R187" s="11">
        <f>+SUM(N187:O187)/Weights!$B$4</f>
        <v>0</v>
      </c>
      <c r="S187" s="121" t="str">
        <f t="shared" si="16"/>
        <v/>
      </c>
      <c r="T187" s="121" t="str">
        <f t="shared" si="18"/>
        <v/>
      </c>
    </row>
    <row r="188" spans="1:20" x14ac:dyDescent="0.35">
      <c r="A188" s="2">
        <f>WORKDAY.INTL(A187,1,,'Don''t Change'!$A$2:$A$7)</f>
        <v>46379</v>
      </c>
      <c r="B188">
        <f t="shared" si="19"/>
        <v>52</v>
      </c>
      <c r="C188" t="str">
        <f t="shared" si="17"/>
        <v>December</v>
      </c>
      <c r="Q188" s="11">
        <f>+SUM(K188:M188)/Weights!$B$2</f>
        <v>0</v>
      </c>
      <c r="R188" s="11">
        <f>+SUM(N188:O188)/Weights!$B$4</f>
        <v>0</v>
      </c>
      <c r="S188" s="121" t="str">
        <f t="shared" si="16"/>
        <v/>
      </c>
      <c r="T188" s="121" t="str">
        <f t="shared" si="18"/>
        <v/>
      </c>
    </row>
    <row r="189" spans="1:20" x14ac:dyDescent="0.35">
      <c r="A189" s="2">
        <f>WORKDAY.INTL(A188,1,,'Don''t Change'!$A$2:$A$7)</f>
        <v>46381</v>
      </c>
      <c r="B189">
        <f t="shared" si="19"/>
        <v>52</v>
      </c>
      <c r="C189" t="str">
        <f t="shared" si="17"/>
        <v>December</v>
      </c>
      <c r="Q189" s="11">
        <f>+SUM(K189:M189)/Weights!$B$2</f>
        <v>0</v>
      </c>
      <c r="R189" s="11">
        <f>+SUM(N189:O189)/Weights!$B$4</f>
        <v>0</v>
      </c>
      <c r="S189" s="121" t="str">
        <f t="shared" si="16"/>
        <v/>
      </c>
      <c r="T189" s="121" t="str">
        <f t="shared" si="18"/>
        <v/>
      </c>
    </row>
    <row r="190" spans="1:20" x14ac:dyDescent="0.35">
      <c r="A190" s="2">
        <f>WORKDAY.INTL(A189,1,,'Don''t Change'!$A$2:$A$7)</f>
        <v>46384</v>
      </c>
      <c r="B190">
        <f t="shared" si="19"/>
        <v>53</v>
      </c>
      <c r="C190" t="str">
        <f t="shared" si="17"/>
        <v>December</v>
      </c>
      <c r="Q190" s="11">
        <f>+SUM(K190:M190)/Weights!$B$2</f>
        <v>0</v>
      </c>
      <c r="R190" s="11">
        <f>+SUM(N190:O190)/Weights!$B$4</f>
        <v>0</v>
      </c>
      <c r="S190" s="121" t="str">
        <f t="shared" si="16"/>
        <v/>
      </c>
      <c r="T190" s="121" t="str">
        <f t="shared" si="18"/>
        <v/>
      </c>
    </row>
    <row r="191" spans="1:20" x14ac:dyDescent="0.35">
      <c r="A191" s="2">
        <f>WORKDAY.INTL(A190,1,,'Don''t Change'!$A$2:$A$7)</f>
        <v>46385</v>
      </c>
      <c r="B191">
        <f t="shared" si="19"/>
        <v>53</v>
      </c>
      <c r="C191" t="str">
        <f t="shared" si="17"/>
        <v>December</v>
      </c>
      <c r="Q191" s="11">
        <f>+SUM(K191:M191)/Weights!$B$2</f>
        <v>0</v>
      </c>
      <c r="R191" s="11">
        <f>+SUM(N191:O191)/Weights!$B$4</f>
        <v>0</v>
      </c>
      <c r="S191" s="121" t="str">
        <f t="shared" si="16"/>
        <v/>
      </c>
      <c r="T191" s="121" t="str">
        <f t="shared" si="18"/>
        <v/>
      </c>
    </row>
    <row r="192" spans="1:20" x14ac:dyDescent="0.35">
      <c r="A192" s="2">
        <f>WORKDAY.INTL(A191,1,,'Don''t Change'!$A$2:$A$7)</f>
        <v>46386</v>
      </c>
      <c r="B192">
        <f t="shared" si="19"/>
        <v>53</v>
      </c>
      <c r="C192" t="str">
        <f t="shared" si="17"/>
        <v>December</v>
      </c>
      <c r="Q192" s="11">
        <f>+SUM(K192:M192)/Weights!$B$2</f>
        <v>0</v>
      </c>
      <c r="R192" s="11">
        <f>+SUM(N192:O192)/Weights!$B$4</f>
        <v>0</v>
      </c>
      <c r="S192" s="121" t="str">
        <f t="shared" si="16"/>
        <v/>
      </c>
      <c r="T192" s="121" t="str">
        <f t="shared" si="18"/>
        <v/>
      </c>
    </row>
    <row r="193" spans="1:20" x14ac:dyDescent="0.35">
      <c r="A193" s="2"/>
      <c r="Q193" s="11">
        <f>+SUM(K193:M193)/Weights!$B$2</f>
        <v>0</v>
      </c>
      <c r="R193" s="11">
        <f>+SUM(N193:O193)/Weights!$B$4</f>
        <v>0</v>
      </c>
      <c r="S193" s="121" t="str">
        <f t="shared" si="16"/>
        <v/>
      </c>
      <c r="T193" s="121" t="str">
        <f t="shared" si="18"/>
        <v/>
      </c>
    </row>
    <row r="194" spans="1:20" x14ac:dyDescent="0.35">
      <c r="A194" s="2"/>
    </row>
    <row r="195" spans="1:20" x14ac:dyDescent="0.35">
      <c r="A195" s="2"/>
    </row>
    <row r="196" spans="1:20" x14ac:dyDescent="0.35">
      <c r="A196" s="2"/>
    </row>
    <row r="197" spans="1:20" x14ac:dyDescent="0.35">
      <c r="A197" s="2"/>
    </row>
    <row r="198" spans="1:20" x14ac:dyDescent="0.35">
      <c r="A198" s="2"/>
    </row>
  </sheetData>
  <mergeCells count="4">
    <mergeCell ref="D1:I1"/>
    <mergeCell ref="K1:P1"/>
    <mergeCell ref="U1:AD1"/>
    <mergeCell ref="AF1:A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4EDAA-49EF-40E2-BBD1-6B97367ABCCD}">
  <sheetPr>
    <tabColor rgb="FFFFFF00"/>
  </sheetPr>
  <dimension ref="A1:S199"/>
  <sheetViews>
    <sheetView workbookViewId="0">
      <pane xSplit="1" ySplit="1" topLeftCell="B101" activePane="bottomRight" state="frozen"/>
      <selection pane="topRight" activeCell="B1" sqref="B1"/>
      <selection pane="bottomLeft" activeCell="A2" sqref="A2"/>
      <selection pane="bottomRight" activeCell="I114" sqref="I114"/>
    </sheetView>
  </sheetViews>
  <sheetFormatPr defaultRowHeight="14.5" x14ac:dyDescent="0.35"/>
  <cols>
    <col min="1" max="1" width="10.08984375" bestFit="1" customWidth="1"/>
    <col min="2" max="2" width="7.1796875" bestFit="1" customWidth="1"/>
    <col min="3" max="3" width="7.1796875" customWidth="1"/>
    <col min="4" max="4" width="11.26953125" style="11" bestFit="1" customWidth="1"/>
    <col min="5" max="5" width="2.7265625" style="11" customWidth="1"/>
    <col min="6" max="6" width="12" style="11" bestFit="1" customWidth="1"/>
    <col min="7" max="7" width="2.7265625" style="11" customWidth="1"/>
    <col min="8" max="8" width="2.81640625" style="11" customWidth="1"/>
    <col min="9" max="10" width="8.7265625" style="11"/>
    <col min="12" max="14" width="8.7265625" style="11"/>
    <col min="18" max="18" width="9.1796875" bestFit="1" customWidth="1"/>
  </cols>
  <sheetData>
    <row r="1" spans="1:19" x14ac:dyDescent="0.35">
      <c r="D1" s="22" t="s">
        <v>24</v>
      </c>
      <c r="E1" s="12"/>
      <c r="F1" s="10" t="s">
        <v>25</v>
      </c>
      <c r="G1" s="12"/>
      <c r="H1"/>
      <c r="I1" s="123" t="s">
        <v>26</v>
      </c>
      <c r="J1" s="123"/>
      <c r="L1" s="123" t="s">
        <v>27</v>
      </c>
      <c r="M1" s="123"/>
      <c r="N1" s="10"/>
      <c r="O1" s="123" t="s">
        <v>23</v>
      </c>
      <c r="P1" s="123"/>
      <c r="R1" t="s">
        <v>223</v>
      </c>
      <c r="S1" t="s">
        <v>224</v>
      </c>
    </row>
    <row r="2" spans="1:19" x14ac:dyDescent="0.35">
      <c r="A2" s="3" t="s">
        <v>1</v>
      </c>
      <c r="B2" s="3" t="s">
        <v>31</v>
      </c>
      <c r="C2" s="3" t="s">
        <v>41</v>
      </c>
      <c r="D2" s="3"/>
      <c r="E2" s="3"/>
      <c r="F2" s="11">
        <v>0</v>
      </c>
      <c r="G2" s="3"/>
      <c r="H2"/>
      <c r="I2" s="3" t="s">
        <v>9</v>
      </c>
      <c r="J2" s="3" t="s">
        <v>10</v>
      </c>
      <c r="L2" s="3" t="s">
        <v>9</v>
      </c>
      <c r="M2" s="3" t="s">
        <v>10</v>
      </c>
      <c r="N2" s="3"/>
      <c r="O2" s="3" t="s">
        <v>9</v>
      </c>
      <c r="P2" s="3" t="s">
        <v>10</v>
      </c>
    </row>
    <row r="3" spans="1:19" x14ac:dyDescent="0.35">
      <c r="A3" s="2">
        <v>46104</v>
      </c>
      <c r="B3" s="3"/>
      <c r="C3" s="3"/>
      <c r="D3" s="11">
        <f>170*60</f>
        <v>10200</v>
      </c>
      <c r="E3" s="3"/>
      <c r="F3" s="11">
        <v>0</v>
      </c>
      <c r="G3" s="3"/>
      <c r="H3"/>
      <c r="I3" s="3"/>
      <c r="J3" s="3"/>
      <c r="L3" s="3"/>
      <c r="M3" s="3"/>
      <c r="N3" s="3"/>
      <c r="O3" s="3"/>
      <c r="P3" s="3"/>
    </row>
    <row r="4" spans="1:19" x14ac:dyDescent="0.35">
      <c r="A4" s="2">
        <v>46105</v>
      </c>
      <c r="B4" s="3"/>
      <c r="C4" s="3"/>
      <c r="D4" s="11">
        <f>389*60</f>
        <v>23340</v>
      </c>
      <c r="E4" s="3"/>
      <c r="F4" s="11">
        <v>0</v>
      </c>
      <c r="G4" s="3"/>
      <c r="H4"/>
      <c r="I4" s="3"/>
      <c r="J4" s="3"/>
      <c r="L4" s="3"/>
      <c r="M4" s="3"/>
      <c r="N4" s="3"/>
      <c r="O4" s="3"/>
      <c r="P4" s="3"/>
    </row>
    <row r="5" spans="1:19" x14ac:dyDescent="0.35">
      <c r="A5" s="2">
        <v>46106</v>
      </c>
      <c r="B5" s="3"/>
      <c r="C5" s="3"/>
      <c r="D5" s="11">
        <f>157*60</f>
        <v>9420</v>
      </c>
      <c r="E5" s="3"/>
      <c r="F5" s="11">
        <v>0</v>
      </c>
      <c r="G5" s="3"/>
      <c r="H5"/>
      <c r="I5" s="3"/>
      <c r="J5" s="3"/>
      <c r="L5" s="3"/>
      <c r="M5" s="3"/>
      <c r="N5" s="3"/>
      <c r="O5" s="3"/>
      <c r="P5" s="3"/>
    </row>
    <row r="6" spans="1:19" x14ac:dyDescent="0.35">
      <c r="A6" s="2">
        <v>46107</v>
      </c>
      <c r="B6" s="3"/>
      <c r="C6" s="3"/>
      <c r="D6" s="11">
        <f>556*60</f>
        <v>33360</v>
      </c>
      <c r="E6" s="3"/>
      <c r="F6" s="11">
        <v>0</v>
      </c>
      <c r="G6" s="3"/>
      <c r="H6"/>
      <c r="I6" s="3"/>
      <c r="J6" s="3"/>
      <c r="L6" s="3"/>
      <c r="M6" s="3"/>
      <c r="N6" s="3"/>
      <c r="O6" s="3"/>
      <c r="P6" s="3"/>
    </row>
    <row r="7" spans="1:19" x14ac:dyDescent="0.35">
      <c r="A7" s="2">
        <v>46111</v>
      </c>
      <c r="B7">
        <f t="shared" ref="B7:B70" si="0">+WEEKNUM(A7)</f>
        <v>14</v>
      </c>
      <c r="C7" t="str">
        <f>+TEXT(A7,"mmmm")</f>
        <v>March</v>
      </c>
      <c r="D7" s="11">
        <v>34860</v>
      </c>
      <c r="F7" s="11">
        <v>0</v>
      </c>
      <c r="O7" s="3"/>
      <c r="P7" s="3"/>
      <c r="R7" s="11">
        <f>+SUM(I7:J7)/Weights!$B$3</f>
        <v>0</v>
      </c>
      <c r="S7" s="11">
        <f>+SUM(L7:M7)/Weights!$B$4</f>
        <v>0</v>
      </c>
    </row>
    <row r="8" spans="1:19" x14ac:dyDescent="0.35">
      <c r="A8" s="2">
        <v>46112</v>
      </c>
      <c r="B8">
        <f t="shared" si="0"/>
        <v>14</v>
      </c>
      <c r="C8" t="str">
        <f t="shared" ref="C8:C71" si="1">+TEXT(A8,"mmmm")</f>
        <v>March</v>
      </c>
      <c r="D8" s="11">
        <v>33480</v>
      </c>
      <c r="F8" s="11">
        <v>0</v>
      </c>
      <c r="O8" s="3"/>
      <c r="P8" s="3"/>
      <c r="R8" s="11">
        <f>+SUM(I8:J8)/Weights!$B$3</f>
        <v>0</v>
      </c>
      <c r="S8" s="11">
        <f>+SUM(L8:M8)/Weights!$B$4</f>
        <v>0</v>
      </c>
    </row>
    <row r="9" spans="1:19" x14ac:dyDescent="0.35">
      <c r="A9" s="2">
        <v>46113</v>
      </c>
      <c r="B9">
        <f t="shared" si="0"/>
        <v>14</v>
      </c>
      <c r="C9" t="str">
        <f t="shared" si="1"/>
        <v>April</v>
      </c>
      <c r="D9" s="11">
        <v>52620</v>
      </c>
      <c r="F9" s="11">
        <v>0</v>
      </c>
      <c r="O9" s="3"/>
      <c r="P9" s="3"/>
      <c r="R9" s="11">
        <f>+SUM(I9:J9)/Weights!$B$3</f>
        <v>0</v>
      </c>
      <c r="S9" s="11">
        <f>+SUM(L9:M9)/Weights!$B$4</f>
        <v>0</v>
      </c>
    </row>
    <row r="10" spans="1:19" x14ac:dyDescent="0.35">
      <c r="A10" s="2">
        <v>46114</v>
      </c>
      <c r="B10">
        <f t="shared" si="0"/>
        <v>14</v>
      </c>
      <c r="C10" t="str">
        <f t="shared" si="1"/>
        <v>April</v>
      </c>
      <c r="D10" s="11">
        <v>34080</v>
      </c>
      <c r="F10" s="11">
        <v>0</v>
      </c>
      <c r="O10" s="3"/>
      <c r="P10" s="3"/>
      <c r="R10" s="11">
        <f>+SUM(I10:J10)/Weights!$B$3</f>
        <v>0</v>
      </c>
      <c r="S10" s="11">
        <f>+SUM(L10:M10)/Weights!$B$4</f>
        <v>0</v>
      </c>
    </row>
    <row r="11" spans="1:19" x14ac:dyDescent="0.35">
      <c r="A11" s="2">
        <v>46118</v>
      </c>
      <c r="B11">
        <f t="shared" si="0"/>
        <v>15</v>
      </c>
      <c r="C11" t="str">
        <f t="shared" si="1"/>
        <v>April</v>
      </c>
      <c r="D11" s="11">
        <v>32220</v>
      </c>
      <c r="F11" s="11">
        <v>0</v>
      </c>
      <c r="O11" s="3"/>
      <c r="P11" s="3"/>
      <c r="R11" s="11">
        <f>+SUM(I11:J11)/Weights!$B$3</f>
        <v>0</v>
      </c>
      <c r="S11" s="11">
        <f>+SUM(L11:M11)/Weights!$B$4</f>
        <v>0</v>
      </c>
    </row>
    <row r="12" spans="1:19" x14ac:dyDescent="0.35">
      <c r="A12" s="2">
        <v>46119</v>
      </c>
      <c r="B12">
        <f t="shared" si="0"/>
        <v>15</v>
      </c>
      <c r="C12" t="str">
        <f t="shared" si="1"/>
        <v>April</v>
      </c>
      <c r="D12" s="11">
        <v>46380</v>
      </c>
      <c r="F12" s="11">
        <v>0</v>
      </c>
      <c r="O12" s="3"/>
      <c r="P12" s="3"/>
      <c r="R12" s="11">
        <f>+SUM(I12:J12)/Weights!$B$3</f>
        <v>0</v>
      </c>
      <c r="S12" s="11">
        <f>+SUM(L12:M12)/Weights!$B$4</f>
        <v>0</v>
      </c>
    </row>
    <row r="13" spans="1:19" x14ac:dyDescent="0.35">
      <c r="A13" s="2">
        <v>46120</v>
      </c>
      <c r="B13">
        <f t="shared" si="0"/>
        <v>15</v>
      </c>
      <c r="C13" t="str">
        <f t="shared" si="1"/>
        <v>April</v>
      </c>
      <c r="D13" s="11">
        <v>47220</v>
      </c>
      <c r="F13" s="11">
        <v>0</v>
      </c>
      <c r="O13" s="3"/>
      <c r="P13" s="3"/>
      <c r="R13" s="11">
        <f>+SUM(I13:J13)/Weights!$B$3</f>
        <v>0</v>
      </c>
      <c r="S13" s="11">
        <f>+SUM(L13:M13)/Weights!$B$4</f>
        <v>0</v>
      </c>
    </row>
    <row r="14" spans="1:19" x14ac:dyDescent="0.35">
      <c r="A14" s="2">
        <v>46121</v>
      </c>
      <c r="B14">
        <f t="shared" si="0"/>
        <v>15</v>
      </c>
      <c r="C14" t="str">
        <f t="shared" si="1"/>
        <v>April</v>
      </c>
      <c r="D14" s="11">
        <v>46020</v>
      </c>
      <c r="F14" s="11">
        <v>0</v>
      </c>
      <c r="O14" s="3"/>
      <c r="P14" s="3"/>
      <c r="R14" s="11">
        <f>+SUM(I14:J14)/Weights!$B$3</f>
        <v>0</v>
      </c>
      <c r="S14" s="11">
        <f>+SUM(L14:M14)/Weights!$B$4</f>
        <v>0</v>
      </c>
    </row>
    <row r="15" spans="1:19" x14ac:dyDescent="0.35">
      <c r="A15" s="2">
        <v>46125</v>
      </c>
      <c r="B15">
        <f t="shared" si="0"/>
        <v>16</v>
      </c>
      <c r="C15" t="str">
        <f t="shared" si="1"/>
        <v>April</v>
      </c>
      <c r="D15" s="11">
        <v>42240</v>
      </c>
      <c r="F15" s="11">
        <v>0</v>
      </c>
      <c r="O15" s="3"/>
      <c r="P15" s="3"/>
      <c r="R15" s="11">
        <f>+SUM(I15:J15)/Weights!$B$3</f>
        <v>0</v>
      </c>
      <c r="S15" s="11">
        <f>+SUM(L15:M15)/Weights!$B$4</f>
        <v>0</v>
      </c>
    </row>
    <row r="16" spans="1:19" x14ac:dyDescent="0.35">
      <c r="A16" s="2">
        <v>46126</v>
      </c>
      <c r="B16">
        <f t="shared" si="0"/>
        <v>16</v>
      </c>
      <c r="C16" t="str">
        <f t="shared" si="1"/>
        <v>April</v>
      </c>
      <c r="D16" s="11">
        <v>57960</v>
      </c>
      <c r="F16" s="11">
        <v>0</v>
      </c>
      <c r="O16" s="3"/>
      <c r="P16" s="3"/>
      <c r="R16" s="11">
        <f>+SUM(I16:J16)/Weights!$B$3</f>
        <v>0</v>
      </c>
      <c r="S16" s="11">
        <f>+SUM(L16:M16)/Weights!$B$4</f>
        <v>0</v>
      </c>
    </row>
    <row r="17" spans="1:19" x14ac:dyDescent="0.35">
      <c r="A17" s="2">
        <v>46127</v>
      </c>
      <c r="B17">
        <f t="shared" si="0"/>
        <v>16</v>
      </c>
      <c r="C17" t="str">
        <f t="shared" si="1"/>
        <v>April</v>
      </c>
      <c r="D17" s="11">
        <v>54960</v>
      </c>
      <c r="F17" s="11">
        <v>0</v>
      </c>
      <c r="O17" s="3"/>
      <c r="P17" s="3"/>
      <c r="R17" s="11">
        <f>+SUM(I17:J17)/Weights!$B$3</f>
        <v>0</v>
      </c>
      <c r="S17" s="11">
        <f>+SUM(L17:M17)/Weights!$B$4</f>
        <v>0</v>
      </c>
    </row>
    <row r="18" spans="1:19" x14ac:dyDescent="0.35">
      <c r="A18" s="2">
        <v>46128</v>
      </c>
      <c r="B18">
        <f t="shared" si="0"/>
        <v>16</v>
      </c>
      <c r="C18" t="str">
        <f t="shared" si="1"/>
        <v>April</v>
      </c>
      <c r="D18" s="11">
        <v>34800</v>
      </c>
      <c r="F18" s="11">
        <v>0</v>
      </c>
      <c r="O18" s="3"/>
      <c r="P18" s="3"/>
      <c r="R18" s="11">
        <f>+SUM(I18:J18)/Weights!$B$3</f>
        <v>0</v>
      </c>
      <c r="S18" s="11">
        <f>+SUM(L18:M18)/Weights!$B$4</f>
        <v>0</v>
      </c>
    </row>
    <row r="19" spans="1:19" x14ac:dyDescent="0.35">
      <c r="A19" s="2">
        <v>46132</v>
      </c>
      <c r="B19">
        <f t="shared" si="0"/>
        <v>17</v>
      </c>
      <c r="C19" t="str">
        <f t="shared" si="1"/>
        <v>April</v>
      </c>
      <c r="D19" s="11">
        <v>56280</v>
      </c>
      <c r="F19" s="11">
        <v>0</v>
      </c>
      <c r="O19" s="3"/>
      <c r="P19" s="3"/>
      <c r="R19" s="11">
        <f>+SUM(I19:J19)/Weights!$B$3</f>
        <v>0</v>
      </c>
      <c r="S19" s="11">
        <f>+SUM(L19:M19)/Weights!$B$4</f>
        <v>0</v>
      </c>
    </row>
    <row r="20" spans="1:19" x14ac:dyDescent="0.35">
      <c r="A20" s="2">
        <v>46133</v>
      </c>
      <c r="B20">
        <f t="shared" si="0"/>
        <v>17</v>
      </c>
      <c r="C20" t="str">
        <f t="shared" si="1"/>
        <v>April</v>
      </c>
      <c r="D20" s="11">
        <v>52680</v>
      </c>
      <c r="F20" s="11">
        <v>0</v>
      </c>
      <c r="O20" s="3"/>
      <c r="P20" s="3"/>
      <c r="R20" s="11">
        <f>+SUM(I20:J20)/Weights!$B$3</f>
        <v>0</v>
      </c>
      <c r="S20" s="11">
        <f>+SUM(L20:M20)/Weights!$B$4</f>
        <v>0</v>
      </c>
    </row>
    <row r="21" spans="1:19" x14ac:dyDescent="0.35">
      <c r="A21" s="2">
        <v>46134</v>
      </c>
      <c r="B21">
        <f t="shared" si="0"/>
        <v>17</v>
      </c>
      <c r="C21" t="str">
        <f t="shared" si="1"/>
        <v>April</v>
      </c>
      <c r="D21" s="11">
        <v>67680</v>
      </c>
      <c r="F21" s="11">
        <v>0</v>
      </c>
      <c r="O21" s="3"/>
      <c r="P21" s="3"/>
      <c r="R21" s="11">
        <f>+SUM(I21:J21)/Weights!$B$3</f>
        <v>0</v>
      </c>
      <c r="S21" s="11">
        <f>+SUM(L21:M21)/Weights!$B$4</f>
        <v>0</v>
      </c>
    </row>
    <row r="22" spans="1:19" x14ac:dyDescent="0.35">
      <c r="A22" s="2">
        <v>46135</v>
      </c>
      <c r="B22">
        <f t="shared" si="0"/>
        <v>17</v>
      </c>
      <c r="C22" t="str">
        <f t="shared" si="1"/>
        <v>April</v>
      </c>
      <c r="D22" s="11">
        <v>70200</v>
      </c>
      <c r="F22" s="11">
        <v>0</v>
      </c>
      <c r="O22" s="3"/>
      <c r="P22" s="3"/>
      <c r="R22" s="11">
        <f>+SUM(I22:J22)/Weights!$B$3</f>
        <v>0</v>
      </c>
      <c r="S22" s="11">
        <f>+SUM(L22:M22)/Weights!$B$4</f>
        <v>0</v>
      </c>
    </row>
    <row r="23" spans="1:19" x14ac:dyDescent="0.35">
      <c r="A23" s="2">
        <v>46139</v>
      </c>
      <c r="B23">
        <f t="shared" si="0"/>
        <v>18</v>
      </c>
      <c r="C23" t="str">
        <f t="shared" si="1"/>
        <v>April</v>
      </c>
      <c r="D23" s="11">
        <v>66480</v>
      </c>
      <c r="F23" s="11">
        <v>0</v>
      </c>
      <c r="O23" s="3"/>
      <c r="P23" s="3"/>
      <c r="R23" s="11">
        <f>+SUM(I23:J23)/Weights!$B$3</f>
        <v>0</v>
      </c>
      <c r="S23" s="11">
        <f>+SUM(L23:M23)/Weights!$B$4</f>
        <v>0</v>
      </c>
    </row>
    <row r="24" spans="1:19" x14ac:dyDescent="0.35">
      <c r="A24" s="2">
        <v>46140</v>
      </c>
      <c r="B24">
        <f t="shared" si="0"/>
        <v>18</v>
      </c>
      <c r="C24" t="str">
        <f t="shared" si="1"/>
        <v>April</v>
      </c>
      <c r="D24" s="11">
        <v>0</v>
      </c>
      <c r="F24" s="11">
        <v>0</v>
      </c>
      <c r="O24" s="3"/>
      <c r="P24" s="3"/>
      <c r="R24" s="11">
        <f>+SUM(I24:J24)/Weights!$B$3</f>
        <v>0</v>
      </c>
      <c r="S24" s="11">
        <f>+SUM(L24:M24)/Weights!$B$4</f>
        <v>0</v>
      </c>
    </row>
    <row r="25" spans="1:19" x14ac:dyDescent="0.35">
      <c r="A25" s="2">
        <v>46141</v>
      </c>
      <c r="B25">
        <f t="shared" si="0"/>
        <v>18</v>
      </c>
      <c r="C25" t="str">
        <f t="shared" si="1"/>
        <v>April</v>
      </c>
      <c r="D25" s="11">
        <v>75960</v>
      </c>
      <c r="F25" s="11">
        <v>0</v>
      </c>
      <c r="O25" s="3"/>
      <c r="P25" s="3"/>
      <c r="R25" s="11">
        <f>+SUM(I25:J25)/Weights!$B$3</f>
        <v>0</v>
      </c>
      <c r="S25" s="11">
        <f>+SUM(L25:M25)/Weights!$B$4</f>
        <v>0</v>
      </c>
    </row>
    <row r="26" spans="1:19" x14ac:dyDescent="0.35">
      <c r="A26" s="2">
        <v>46142</v>
      </c>
      <c r="B26">
        <f t="shared" si="0"/>
        <v>18</v>
      </c>
      <c r="C26" t="str">
        <f t="shared" si="1"/>
        <v>April</v>
      </c>
      <c r="D26" s="11">
        <v>90270</v>
      </c>
      <c r="F26" s="11">
        <v>0</v>
      </c>
      <c r="O26" s="3"/>
      <c r="P26" s="3"/>
      <c r="R26" s="11">
        <f>+SUM(I26:J26)/Weights!$B$3</f>
        <v>0</v>
      </c>
      <c r="S26" s="11">
        <f>+SUM(L26:M26)/Weights!$B$4</f>
        <v>0</v>
      </c>
    </row>
    <row r="27" spans="1:19" x14ac:dyDescent="0.35">
      <c r="A27" s="2">
        <v>46146</v>
      </c>
      <c r="B27">
        <f t="shared" si="0"/>
        <v>19</v>
      </c>
      <c r="C27" t="str">
        <f t="shared" si="1"/>
        <v>May</v>
      </c>
      <c r="D27" s="11">
        <v>52920</v>
      </c>
      <c r="F27" s="11">
        <v>0</v>
      </c>
      <c r="O27" s="3"/>
      <c r="P27" s="3"/>
      <c r="R27" s="11">
        <f>+SUM(I27:J27)/Weights!$B$3</f>
        <v>0</v>
      </c>
      <c r="S27" s="11">
        <f>+SUM(L27:M27)/Weights!$B$4</f>
        <v>0</v>
      </c>
    </row>
    <row r="28" spans="1:19" x14ac:dyDescent="0.35">
      <c r="A28" s="2">
        <v>46147</v>
      </c>
      <c r="B28">
        <f t="shared" si="0"/>
        <v>19</v>
      </c>
      <c r="C28" t="str">
        <f t="shared" si="1"/>
        <v>May</v>
      </c>
      <c r="D28" s="11">
        <v>108840</v>
      </c>
      <c r="F28" s="11">
        <v>0</v>
      </c>
      <c r="O28" s="3"/>
      <c r="P28" s="3"/>
      <c r="R28" s="11">
        <f>+SUM(I28:J28)/Weights!$B$3</f>
        <v>0</v>
      </c>
      <c r="S28" s="11">
        <f>+SUM(L28:M28)/Weights!$B$4</f>
        <v>0</v>
      </c>
    </row>
    <row r="29" spans="1:19" x14ac:dyDescent="0.35">
      <c r="A29" s="2">
        <v>46148</v>
      </c>
      <c r="B29">
        <f t="shared" si="0"/>
        <v>19</v>
      </c>
      <c r="C29" t="str">
        <f t="shared" si="1"/>
        <v>May</v>
      </c>
      <c r="D29" s="11">
        <v>73740</v>
      </c>
      <c r="F29" s="11">
        <v>0</v>
      </c>
      <c r="O29" s="3"/>
      <c r="P29" s="3"/>
      <c r="R29" s="11">
        <f>+SUM(I29:J29)/Weights!$B$3</f>
        <v>0</v>
      </c>
      <c r="S29" s="11">
        <f>+SUM(L29:M29)/Weights!$B$4</f>
        <v>0</v>
      </c>
    </row>
    <row r="30" spans="1:19" x14ac:dyDescent="0.35">
      <c r="A30" s="2">
        <v>46149</v>
      </c>
      <c r="B30">
        <f t="shared" si="0"/>
        <v>19</v>
      </c>
      <c r="C30" t="str">
        <f t="shared" si="1"/>
        <v>May</v>
      </c>
      <c r="D30" s="11">
        <v>0</v>
      </c>
      <c r="F30" s="11">
        <v>0</v>
      </c>
      <c r="O30" s="3"/>
      <c r="P30" s="3"/>
      <c r="R30" s="11">
        <f>+SUM(I30:J30)/Weights!$B$3</f>
        <v>0</v>
      </c>
      <c r="S30" s="11">
        <f>+SUM(L30:M30)/Weights!$B$4</f>
        <v>0</v>
      </c>
    </row>
    <row r="31" spans="1:19" x14ac:dyDescent="0.35">
      <c r="A31" s="2">
        <v>46153</v>
      </c>
      <c r="B31">
        <f t="shared" si="0"/>
        <v>20</v>
      </c>
      <c r="C31" t="str">
        <f t="shared" si="1"/>
        <v>May</v>
      </c>
      <c r="D31" s="11">
        <v>33060</v>
      </c>
      <c r="F31" s="11">
        <v>0</v>
      </c>
      <c r="O31" s="3"/>
      <c r="P31" s="3"/>
      <c r="R31" s="11">
        <f>+SUM(I31:J31)/Weights!$B$3</f>
        <v>0</v>
      </c>
      <c r="S31" s="11">
        <f>+SUM(L31:M31)/Weights!$B$4</f>
        <v>0</v>
      </c>
    </row>
    <row r="32" spans="1:19" x14ac:dyDescent="0.35">
      <c r="A32" s="2">
        <v>46154</v>
      </c>
      <c r="B32">
        <f t="shared" si="0"/>
        <v>20</v>
      </c>
      <c r="C32" t="str">
        <f t="shared" si="1"/>
        <v>May</v>
      </c>
      <c r="D32" s="11">
        <v>64320</v>
      </c>
      <c r="F32" s="11">
        <v>0</v>
      </c>
      <c r="O32" s="3"/>
      <c r="P32" s="3"/>
      <c r="R32" s="11">
        <f>+SUM(I32:J32)/Weights!$B$3</f>
        <v>0</v>
      </c>
      <c r="S32" s="11">
        <f>+SUM(L32:M32)/Weights!$B$4</f>
        <v>0</v>
      </c>
    </row>
    <row r="33" spans="1:19" x14ac:dyDescent="0.35">
      <c r="A33" s="2">
        <v>46155</v>
      </c>
      <c r="B33">
        <f t="shared" si="0"/>
        <v>20</v>
      </c>
      <c r="C33" t="str">
        <f t="shared" si="1"/>
        <v>May</v>
      </c>
      <c r="D33" s="11">
        <v>68700</v>
      </c>
      <c r="F33" s="11">
        <v>0</v>
      </c>
      <c r="O33" s="3"/>
      <c r="P33" s="3"/>
      <c r="R33" s="11">
        <f>+SUM(I33:J33)/Weights!$B$3</f>
        <v>0</v>
      </c>
      <c r="S33" s="11">
        <f>+SUM(L33:M33)/Weights!$B$4</f>
        <v>0</v>
      </c>
    </row>
    <row r="34" spans="1:19" x14ac:dyDescent="0.35">
      <c r="A34" s="2">
        <v>46156</v>
      </c>
      <c r="B34">
        <f t="shared" si="0"/>
        <v>20</v>
      </c>
      <c r="C34" t="str">
        <f t="shared" si="1"/>
        <v>May</v>
      </c>
      <c r="D34" s="11">
        <v>63240</v>
      </c>
      <c r="F34" s="11">
        <v>0</v>
      </c>
      <c r="O34" s="3"/>
      <c r="P34" s="3"/>
      <c r="R34" s="11">
        <f>+SUM(I34:J34)/Weights!$B$3</f>
        <v>0</v>
      </c>
      <c r="S34" s="11">
        <f>+SUM(L34:M34)/Weights!$B$4</f>
        <v>0</v>
      </c>
    </row>
    <row r="35" spans="1:19" x14ac:dyDescent="0.35">
      <c r="A35" s="2">
        <v>46160</v>
      </c>
      <c r="B35">
        <f t="shared" si="0"/>
        <v>21</v>
      </c>
      <c r="C35" t="str">
        <f t="shared" si="1"/>
        <v>May</v>
      </c>
      <c r="D35" s="11">
        <v>66480</v>
      </c>
      <c r="F35" s="11">
        <v>4320</v>
      </c>
      <c r="R35" s="11">
        <f>+SUM(I35:J35)/Weights!$B$3</f>
        <v>0</v>
      </c>
      <c r="S35" s="11">
        <f>+SUM(L35:M35)/Weights!$B$4</f>
        <v>0</v>
      </c>
    </row>
    <row r="36" spans="1:19" x14ac:dyDescent="0.35">
      <c r="A36" s="2">
        <f>WORKDAY.INTL(A35,1,,'Don''t Change'!$A$2:$A$7)</f>
        <v>46161</v>
      </c>
      <c r="B36">
        <f t="shared" si="0"/>
        <v>21</v>
      </c>
      <c r="C36" t="str">
        <f t="shared" si="1"/>
        <v>May</v>
      </c>
      <c r="D36" s="11">
        <v>30780</v>
      </c>
      <c r="F36" s="11">
        <v>0</v>
      </c>
      <c r="R36" s="11">
        <f>+SUM(I36:J36)/Weights!$B$3</f>
        <v>0</v>
      </c>
      <c r="S36" s="11">
        <f>+SUM(L36:M36)/Weights!$B$4</f>
        <v>0</v>
      </c>
    </row>
    <row r="37" spans="1:19" x14ac:dyDescent="0.35">
      <c r="A37" s="2">
        <f>WORKDAY.INTL(A36,1,,'Don''t Change'!$A$2:$A$7)</f>
        <v>46162</v>
      </c>
      <c r="B37">
        <f t="shared" si="0"/>
        <v>21</v>
      </c>
      <c r="C37" t="str">
        <f t="shared" si="1"/>
        <v>May</v>
      </c>
      <c r="D37" s="11">
        <v>49200</v>
      </c>
      <c r="F37" s="11">
        <v>8640</v>
      </c>
      <c r="R37" s="11">
        <f>+SUM(I37:J37)/Weights!$B$3</f>
        <v>0</v>
      </c>
      <c r="S37" s="11">
        <f>+SUM(L37:M37)/Weights!$B$4</f>
        <v>0</v>
      </c>
    </row>
    <row r="38" spans="1:19" x14ac:dyDescent="0.35">
      <c r="A38" s="2">
        <f>WORKDAY.INTL(A37,1,,'Don''t Change'!$A$2:$A$7)</f>
        <v>46163</v>
      </c>
      <c r="B38">
        <f t="shared" si="0"/>
        <v>21</v>
      </c>
      <c r="C38" t="str">
        <f t="shared" si="1"/>
        <v>May</v>
      </c>
      <c r="D38" s="11">
        <v>10380</v>
      </c>
      <c r="F38" s="11">
        <v>13664</v>
      </c>
      <c r="R38" s="11">
        <f>+SUM(I38:J38)/Weights!$B$3</f>
        <v>0</v>
      </c>
      <c r="S38" s="11">
        <f>+SUM(L38:M38)/Weights!$B$4</f>
        <v>0</v>
      </c>
    </row>
    <row r="39" spans="1:19" x14ac:dyDescent="0.35">
      <c r="A39" s="2">
        <f>WORKDAY.INTL(A38,1,,'Don''t Change'!$A$2:$A$7)</f>
        <v>46164</v>
      </c>
      <c r="B39">
        <f t="shared" si="0"/>
        <v>21</v>
      </c>
      <c r="C39" t="str">
        <f t="shared" si="1"/>
        <v>May</v>
      </c>
      <c r="D39" s="11">
        <v>0</v>
      </c>
      <c r="F39" s="11">
        <v>0</v>
      </c>
      <c r="R39" s="11">
        <f>+SUM(I39:J39)/Weights!$B$3</f>
        <v>0</v>
      </c>
      <c r="S39" s="11">
        <f>+SUM(L39:M39)/Weights!$B$4</f>
        <v>0</v>
      </c>
    </row>
    <row r="40" spans="1:19" x14ac:dyDescent="0.35">
      <c r="A40" s="2">
        <f>WORKDAY.INTL(A39,1,,'Don''t Change'!$A$2:$A$7)</f>
        <v>46168</v>
      </c>
      <c r="B40">
        <f t="shared" si="0"/>
        <v>22</v>
      </c>
      <c r="C40" t="str">
        <f t="shared" si="1"/>
        <v>May</v>
      </c>
      <c r="D40" s="11">
        <v>43980</v>
      </c>
      <c r="F40" s="11">
        <v>2112</v>
      </c>
      <c r="R40" s="11">
        <f>+SUM(I40:J40)/Weights!$B$3</f>
        <v>0</v>
      </c>
      <c r="S40" s="11">
        <f>+SUM(L40:M40)/Weights!$B$4</f>
        <v>0</v>
      </c>
    </row>
    <row r="41" spans="1:19" x14ac:dyDescent="0.35">
      <c r="A41" s="2">
        <f>WORKDAY.INTL(A40,1,,'Don''t Change'!$A$2:$A$7)</f>
        <v>46169</v>
      </c>
      <c r="B41">
        <f t="shared" si="0"/>
        <v>22</v>
      </c>
      <c r="C41" t="str">
        <f t="shared" si="1"/>
        <v>May</v>
      </c>
      <c r="D41" s="11">
        <v>37800</v>
      </c>
      <c r="F41" s="11">
        <v>0</v>
      </c>
      <c r="R41" s="11">
        <f>+SUM(I41:J41)/Weights!$B$3</f>
        <v>0</v>
      </c>
      <c r="S41" s="11">
        <f>+SUM(L41:M41)/Weights!$B$4</f>
        <v>0</v>
      </c>
    </row>
    <row r="42" spans="1:19" x14ac:dyDescent="0.35">
      <c r="A42" s="2">
        <f>WORKDAY.INTL(A41,1,,'Don''t Change'!$A$2:$A$7)</f>
        <v>46170</v>
      </c>
      <c r="B42">
        <f t="shared" si="0"/>
        <v>22</v>
      </c>
      <c r="C42" t="str">
        <f t="shared" si="1"/>
        <v>May</v>
      </c>
      <c r="D42" s="11">
        <v>63480</v>
      </c>
      <c r="F42" s="11">
        <v>2656</v>
      </c>
      <c r="I42" s="11">
        <v>250</v>
      </c>
      <c r="R42" s="11">
        <f>+SUM(I42:J42)/Weights!$B$3</f>
        <v>3950.6172839506175</v>
      </c>
      <c r="S42" s="11">
        <f>+SUM(L42:M42)/Weights!$B$4</f>
        <v>0</v>
      </c>
    </row>
    <row r="43" spans="1:19" x14ac:dyDescent="0.35">
      <c r="A43" s="2">
        <f>WORKDAY.INTL(A42,1,,'Don''t Change'!$A$2:$A$7)</f>
        <v>46171</v>
      </c>
      <c r="B43">
        <f t="shared" si="0"/>
        <v>22</v>
      </c>
      <c r="C43" t="str">
        <f t="shared" si="1"/>
        <v>May</v>
      </c>
      <c r="D43" s="11">
        <v>34080</v>
      </c>
      <c r="F43" s="11">
        <v>3760</v>
      </c>
      <c r="R43" s="11">
        <f>+SUM(I43:J43)/Weights!$B$3</f>
        <v>0</v>
      </c>
      <c r="S43" s="11">
        <f>+SUM(L43:M43)/Weights!$B$4</f>
        <v>0</v>
      </c>
    </row>
    <row r="44" spans="1:19" x14ac:dyDescent="0.35">
      <c r="A44" s="2">
        <f>WORKDAY.INTL(A43,1,,'Don''t Change'!$A$2:$A$7)</f>
        <v>46174</v>
      </c>
      <c r="B44">
        <f t="shared" si="0"/>
        <v>23</v>
      </c>
      <c r="C44" t="str">
        <f t="shared" si="1"/>
        <v>June</v>
      </c>
      <c r="D44" s="11">
        <v>96000</v>
      </c>
      <c r="F44" s="11">
        <f>13*32</f>
        <v>416</v>
      </c>
      <c r="R44" s="11">
        <f>+SUM(I44:J44)/Weights!$B$3</f>
        <v>0</v>
      </c>
      <c r="S44" s="11">
        <f>+SUM(L44:M44)/Weights!$B$4</f>
        <v>0</v>
      </c>
    </row>
    <row r="45" spans="1:19" x14ac:dyDescent="0.35">
      <c r="A45" s="2">
        <f>WORKDAY.INTL(A44,1,,'Don''t Change'!$A$2:$A$7)</f>
        <v>46175</v>
      </c>
      <c r="B45">
        <f t="shared" si="0"/>
        <v>23</v>
      </c>
      <c r="C45" t="str">
        <f t="shared" si="1"/>
        <v>June</v>
      </c>
      <c r="D45" s="11">
        <f>909*60</f>
        <v>54540</v>
      </c>
      <c r="F45" s="11">
        <v>12100</v>
      </c>
      <c r="R45" s="11">
        <f>+SUM(I45:J45)/Weights!$B$3</f>
        <v>0</v>
      </c>
      <c r="S45" s="11">
        <f>+SUM(L45:M45)/Weights!$B$4</f>
        <v>0</v>
      </c>
    </row>
    <row r="46" spans="1:19" x14ac:dyDescent="0.35">
      <c r="A46" s="2">
        <f>WORKDAY.INTL(A45,1,,'Don''t Change'!$A$2:$A$7)</f>
        <v>46176</v>
      </c>
      <c r="B46">
        <f t="shared" si="0"/>
        <v>23</v>
      </c>
      <c r="C46" t="str">
        <f t="shared" si="1"/>
        <v>June</v>
      </c>
      <c r="D46" s="11">
        <f>792*60</f>
        <v>47520</v>
      </c>
      <c r="F46" s="11">
        <f>73*50</f>
        <v>3650</v>
      </c>
      <c r="R46" s="11">
        <f>+SUM(I46:J46)/Weights!$B$3</f>
        <v>0</v>
      </c>
      <c r="S46" s="11">
        <f>+SUM(L46:M46)/Weights!$B$4</f>
        <v>0</v>
      </c>
    </row>
    <row r="47" spans="1:19" x14ac:dyDescent="0.35">
      <c r="A47" s="2">
        <f>WORKDAY.INTL(A46,1,,'Don''t Change'!$A$2:$A$7)</f>
        <v>46177</v>
      </c>
      <c r="B47">
        <f t="shared" si="0"/>
        <v>23</v>
      </c>
      <c r="C47" t="str">
        <f t="shared" si="1"/>
        <v>June</v>
      </c>
      <c r="D47" s="11">
        <f>630*60</f>
        <v>37800</v>
      </c>
      <c r="F47" s="11">
        <v>0</v>
      </c>
      <c r="R47" s="11">
        <f>+SUM(I47:J47)/Weights!$B$3</f>
        <v>0</v>
      </c>
      <c r="S47" s="11">
        <f>+SUM(L47:M47)/Weights!$B$4</f>
        <v>0</v>
      </c>
    </row>
    <row r="48" spans="1:19" x14ac:dyDescent="0.35">
      <c r="A48" s="2">
        <f>WORKDAY.INTL(A47,1,,'Don''t Change'!$A$2:$A$7)</f>
        <v>46178</v>
      </c>
      <c r="B48">
        <f t="shared" si="0"/>
        <v>23</v>
      </c>
      <c r="C48" t="str">
        <f t="shared" si="1"/>
        <v>June</v>
      </c>
      <c r="D48" s="11">
        <f>1032*60</f>
        <v>61920</v>
      </c>
      <c r="F48" s="11">
        <v>0</v>
      </c>
      <c r="R48" s="11">
        <f>+SUM(I48:J48)/Weights!$B$3</f>
        <v>0</v>
      </c>
      <c r="S48" s="11">
        <f>+SUM(L48:M48)/Weights!$B$4</f>
        <v>0</v>
      </c>
    </row>
    <row r="49" spans="1:19" x14ac:dyDescent="0.35">
      <c r="A49" s="2">
        <f>WORKDAY.INTL(A48,1,,'Don''t Change'!$A$2:$A$7)</f>
        <v>46181</v>
      </c>
      <c r="B49">
        <f t="shared" si="0"/>
        <v>24</v>
      </c>
      <c r="C49" t="str">
        <f t="shared" si="1"/>
        <v>June</v>
      </c>
      <c r="D49" s="11">
        <f>1260*60+63*60+66*60</f>
        <v>83340</v>
      </c>
      <c r="F49" s="11">
        <v>0</v>
      </c>
      <c r="I49" s="11">
        <v>121</v>
      </c>
      <c r="R49" s="11">
        <f>+SUM(I49:J49)/Weights!$B$3</f>
        <v>1912.0987654320988</v>
      </c>
      <c r="S49" s="11">
        <f>+SUM(L49:M49)/Weights!$B$4</f>
        <v>0</v>
      </c>
    </row>
    <row r="50" spans="1:19" x14ac:dyDescent="0.35">
      <c r="A50" s="2">
        <f>WORKDAY.INTL(A49,1,,'Don''t Change'!$A$2:$A$7)</f>
        <v>46182</v>
      </c>
      <c r="B50">
        <f t="shared" si="0"/>
        <v>24</v>
      </c>
      <c r="C50" t="str">
        <f t="shared" si="1"/>
        <v>June</v>
      </c>
      <c r="D50" s="11">
        <f>6*126*60+122*60</f>
        <v>52680</v>
      </c>
      <c r="F50" s="11">
        <v>0</v>
      </c>
      <c r="R50" s="11">
        <f>+SUM(I50:J50)/Weights!$B$3</f>
        <v>0</v>
      </c>
      <c r="S50" s="11">
        <f>+SUM(L50:M50)/Weights!$B$4</f>
        <v>0</v>
      </c>
    </row>
    <row r="51" spans="1:19" x14ac:dyDescent="0.35">
      <c r="A51" s="2">
        <f>WORKDAY.INTL(A50,1,,'Don''t Change'!$A$2:$A$7)</f>
        <v>46183</v>
      </c>
      <c r="B51">
        <f t="shared" si="0"/>
        <v>24</v>
      </c>
      <c r="C51" t="str">
        <f t="shared" si="1"/>
        <v>June</v>
      </c>
      <c r="D51" s="11">
        <v>50280</v>
      </c>
      <c r="F51" s="11">
        <v>0</v>
      </c>
      <c r="R51" s="11">
        <f>+SUM(I51:J51)/Weights!$B$3</f>
        <v>0</v>
      </c>
      <c r="S51" s="11">
        <f>+SUM(L51:M51)/Weights!$B$4</f>
        <v>0</v>
      </c>
    </row>
    <row r="52" spans="1:19" x14ac:dyDescent="0.35">
      <c r="A52" s="2">
        <f>WORKDAY.INTL(A51,1,,'Don''t Change'!$A$2:$A$7)</f>
        <v>46184</v>
      </c>
      <c r="B52">
        <f t="shared" si="0"/>
        <v>24</v>
      </c>
      <c r="C52" t="str">
        <f t="shared" si="1"/>
        <v>June</v>
      </c>
      <c r="D52" s="11">
        <f>196*60</f>
        <v>11760</v>
      </c>
      <c r="F52" s="11">
        <f>434*32</f>
        <v>13888</v>
      </c>
      <c r="R52" s="11">
        <f>+SUM(I52:J52)/Weights!$B$3</f>
        <v>0</v>
      </c>
      <c r="S52" s="11">
        <f>+SUM(L52:M52)/Weights!$B$4</f>
        <v>0</v>
      </c>
    </row>
    <row r="53" spans="1:19" x14ac:dyDescent="0.35">
      <c r="A53" s="2">
        <f>WORKDAY.INTL(A52,1,,'Don''t Change'!$A$2:$A$7)</f>
        <v>46185</v>
      </c>
      <c r="B53">
        <f t="shared" si="0"/>
        <v>24</v>
      </c>
      <c r="C53" t="str">
        <f t="shared" si="1"/>
        <v>June</v>
      </c>
      <c r="D53" s="11">
        <v>0</v>
      </c>
      <c r="F53" s="11">
        <v>0</v>
      </c>
      <c r="R53" s="11">
        <f>+SUM(I53:J53)/Weights!$B$3</f>
        <v>0</v>
      </c>
      <c r="S53" s="11">
        <f>+SUM(L53:M53)/Weights!$B$4</f>
        <v>0</v>
      </c>
    </row>
    <row r="54" spans="1:19" x14ac:dyDescent="0.35">
      <c r="A54" s="2">
        <f>WORKDAY.INTL(A53,1,,'Don''t Change'!$A$2:$A$7)</f>
        <v>46188</v>
      </c>
      <c r="B54">
        <f t="shared" si="0"/>
        <v>25</v>
      </c>
      <c r="C54" t="str">
        <f t="shared" si="1"/>
        <v>June</v>
      </c>
      <c r="D54" s="11">
        <v>29100</v>
      </c>
      <c r="F54" s="11">
        <v>12514</v>
      </c>
      <c r="R54" s="11">
        <f>+SUM(I54:J54)/Weights!$B$3</f>
        <v>0</v>
      </c>
      <c r="S54" s="11">
        <f>+SUM(L54:M54)/Weights!$B$4</f>
        <v>0</v>
      </c>
    </row>
    <row r="55" spans="1:19" x14ac:dyDescent="0.35">
      <c r="A55" s="2">
        <f>WORKDAY.INTL(A54,1,,'Don''t Change'!$A$2:$A$7)</f>
        <v>46189</v>
      </c>
      <c r="B55">
        <f t="shared" si="0"/>
        <v>25</v>
      </c>
      <c r="C55" t="str">
        <f t="shared" si="1"/>
        <v>June</v>
      </c>
      <c r="D55" s="11">
        <f>1765*60</f>
        <v>105900</v>
      </c>
      <c r="F55" s="11">
        <v>0</v>
      </c>
      <c r="R55" s="11">
        <f>+SUM(I55:J55)/Weights!$B$3</f>
        <v>0</v>
      </c>
      <c r="S55" s="11">
        <f>+SUM(L55:M55)/Weights!$B$4</f>
        <v>0</v>
      </c>
    </row>
    <row r="56" spans="1:19" x14ac:dyDescent="0.35">
      <c r="A56" s="2">
        <f>WORKDAY.INTL(A55,1,,'Don''t Change'!$A$2:$A$7)</f>
        <v>46190</v>
      </c>
      <c r="B56">
        <f t="shared" si="0"/>
        <v>25</v>
      </c>
      <c r="C56" t="str">
        <f t="shared" si="1"/>
        <v>June</v>
      </c>
      <c r="D56" s="11">
        <f>1058*60+4*126*60</f>
        <v>93720</v>
      </c>
      <c r="F56" s="11">
        <f>41*32</f>
        <v>1312</v>
      </c>
      <c r="R56" s="11">
        <f>+SUM(I56:J56)/Weights!$B$3</f>
        <v>0</v>
      </c>
      <c r="S56" s="11">
        <f>+SUM(L56:M56)/Weights!$B$4</f>
        <v>0</v>
      </c>
    </row>
    <row r="57" spans="1:19" x14ac:dyDescent="0.35">
      <c r="A57" s="2">
        <f>WORKDAY.INTL(A56,1,,'Don''t Change'!$A$2:$A$7)</f>
        <v>46191</v>
      </c>
      <c r="B57">
        <f t="shared" si="0"/>
        <v>25</v>
      </c>
      <c r="C57" t="str">
        <f t="shared" si="1"/>
        <v>June</v>
      </c>
      <c r="D57" s="11">
        <v>62352</v>
      </c>
      <c r="F57" s="11">
        <f>338*32</f>
        <v>10816</v>
      </c>
      <c r="R57" s="11">
        <f>+SUM(I57:J57)/Weights!$B$3</f>
        <v>0</v>
      </c>
      <c r="S57" s="11">
        <f>+SUM(L57:M57)/Weights!$B$4</f>
        <v>0</v>
      </c>
    </row>
    <row r="58" spans="1:19" x14ac:dyDescent="0.35">
      <c r="A58" s="2">
        <f>WORKDAY.INTL(A57,1,,'Don''t Change'!$A$2:$A$7)</f>
        <v>46192</v>
      </c>
      <c r="B58">
        <f t="shared" si="0"/>
        <v>25</v>
      </c>
      <c r="C58" t="str">
        <f t="shared" si="1"/>
        <v>June</v>
      </c>
      <c r="D58" s="11">
        <v>0</v>
      </c>
      <c r="F58" s="11">
        <f>120*32</f>
        <v>3840</v>
      </c>
      <c r="R58" s="11">
        <f>+SUM(I58:J58)/Weights!$B$3</f>
        <v>0</v>
      </c>
      <c r="S58" s="11">
        <f>+SUM(L58:M58)/Weights!$B$4</f>
        <v>0</v>
      </c>
    </row>
    <row r="59" spans="1:19" x14ac:dyDescent="0.35">
      <c r="A59" s="2">
        <f>WORKDAY.INTL(A58,1,,'Don''t Change'!$A$2:$A$7)</f>
        <v>46195</v>
      </c>
      <c r="B59">
        <f t="shared" si="0"/>
        <v>26</v>
      </c>
      <c r="C59" t="str">
        <f t="shared" si="1"/>
        <v>June</v>
      </c>
      <c r="D59" s="11">
        <f>1207*60</f>
        <v>72420</v>
      </c>
      <c r="F59" s="11">
        <f>185*32</f>
        <v>5920</v>
      </c>
      <c r="R59" s="11">
        <f>+SUM(I59:J59)/Weights!$B$3</f>
        <v>0</v>
      </c>
      <c r="S59" s="11">
        <f>+SUM(L59:M59)/Weights!$B$4</f>
        <v>0</v>
      </c>
    </row>
    <row r="60" spans="1:19" x14ac:dyDescent="0.35">
      <c r="A60" s="2">
        <f>WORKDAY.INTL(A59,1,,'Don''t Change'!$A$2:$A$7)</f>
        <v>46196</v>
      </c>
      <c r="B60">
        <f t="shared" si="0"/>
        <v>26</v>
      </c>
      <c r="C60" t="str">
        <f t="shared" si="1"/>
        <v>June</v>
      </c>
      <c r="D60" s="11">
        <f>+(7*126+64)*60</f>
        <v>56760</v>
      </c>
      <c r="F60" s="11">
        <f>241*32</f>
        <v>7712</v>
      </c>
      <c r="I60" s="11">
        <v>161</v>
      </c>
      <c r="L60" s="11">
        <v>52</v>
      </c>
      <c r="R60" s="11">
        <f>+SUM(I60:J60)/Weights!$B$3</f>
        <v>2544.1975308641977</v>
      </c>
      <c r="S60" s="11">
        <f>+SUM(L60:M60)/Weights!$B$4</f>
        <v>332.8</v>
      </c>
    </row>
    <row r="61" spans="1:19" x14ac:dyDescent="0.35">
      <c r="A61" s="2">
        <f>WORKDAY.INTL(A60,1,,'Don''t Change'!$A$2:$A$7)</f>
        <v>46197</v>
      </c>
      <c r="B61">
        <f t="shared" si="0"/>
        <v>26</v>
      </c>
      <c r="C61" t="str">
        <f t="shared" si="1"/>
        <v>June</v>
      </c>
      <c r="D61" s="11">
        <f>1289*60</f>
        <v>77340</v>
      </c>
      <c r="F61" s="11">
        <f>391*32</f>
        <v>12512</v>
      </c>
      <c r="R61" s="11">
        <f>+SUM(I61:J61)/Weights!$B$3</f>
        <v>0</v>
      </c>
      <c r="S61" s="11">
        <f>+SUM(L61:M61)/Weights!$B$4</f>
        <v>0</v>
      </c>
    </row>
    <row r="62" spans="1:19" x14ac:dyDescent="0.35">
      <c r="A62" s="2">
        <f>WORKDAY.INTL(A61,1,,'Don''t Change'!$A$2:$A$7)</f>
        <v>46198</v>
      </c>
      <c r="B62">
        <f t="shared" si="0"/>
        <v>26</v>
      </c>
      <c r="C62" t="str">
        <f t="shared" si="1"/>
        <v>June</v>
      </c>
      <c r="D62" s="11">
        <f>1616*60</f>
        <v>96960</v>
      </c>
      <c r="F62" s="11">
        <f>60*32</f>
        <v>1920</v>
      </c>
      <c r="R62" s="11">
        <f>+SUM(I62:J62)/Weights!$B$3</f>
        <v>0</v>
      </c>
      <c r="S62" s="11">
        <f>+SUM(L62:M62)/Weights!$B$4</f>
        <v>0</v>
      </c>
    </row>
    <row r="63" spans="1:19" x14ac:dyDescent="0.35">
      <c r="A63" s="2">
        <f>WORKDAY.INTL(A62,1,,'Don''t Change'!$A$2:$A$7)</f>
        <v>46199</v>
      </c>
      <c r="B63">
        <f t="shared" si="0"/>
        <v>26</v>
      </c>
      <c r="C63" t="str">
        <f t="shared" si="1"/>
        <v>June</v>
      </c>
      <c r="D63" s="11">
        <v>0</v>
      </c>
      <c r="F63" s="11">
        <v>0</v>
      </c>
      <c r="R63" s="11">
        <f>+SUM(I63:J63)/Weights!$B$3</f>
        <v>0</v>
      </c>
      <c r="S63" s="11">
        <f>+SUM(L63:M63)/Weights!$B$4</f>
        <v>0</v>
      </c>
    </row>
    <row r="64" spans="1:19" x14ac:dyDescent="0.35">
      <c r="A64" s="2">
        <f>WORKDAY.INTL(A63,1,,'Don''t Change'!$A$2:$A$7)</f>
        <v>46202</v>
      </c>
      <c r="B64">
        <f t="shared" si="0"/>
        <v>27</v>
      </c>
      <c r="C64" t="str">
        <f t="shared" si="1"/>
        <v>June</v>
      </c>
      <c r="D64" s="11">
        <f>1008*60</f>
        <v>60480</v>
      </c>
      <c r="F64" s="11">
        <f>447*32</f>
        <v>14304</v>
      </c>
      <c r="R64" s="11">
        <f>+SUM(I64:J64)/Weights!$B$3</f>
        <v>0</v>
      </c>
      <c r="S64" s="11">
        <f>+SUM(L64:M64)/Weights!$B$4</f>
        <v>0</v>
      </c>
    </row>
    <row r="65" spans="1:19" x14ac:dyDescent="0.35">
      <c r="A65" s="2">
        <f>WORKDAY.INTL(A64,1,,'Don''t Change'!$A$2:$A$7)</f>
        <v>46203</v>
      </c>
      <c r="B65">
        <f t="shared" si="0"/>
        <v>27</v>
      </c>
      <c r="C65" t="str">
        <f t="shared" si="1"/>
        <v>June</v>
      </c>
      <c r="D65" s="11">
        <f>1513*60</f>
        <v>90780</v>
      </c>
      <c r="F65" s="11">
        <f>472*32</f>
        <v>15104</v>
      </c>
      <c r="I65" s="11">
        <v>80</v>
      </c>
      <c r="L65" s="11">
        <v>95</v>
      </c>
      <c r="R65" s="11">
        <f>+SUM(I65:J65)/Weights!$B$3</f>
        <v>1264.1975308641977</v>
      </c>
      <c r="S65" s="11">
        <f>+SUM(L65:M65)/Weights!$B$4</f>
        <v>608</v>
      </c>
    </row>
    <row r="66" spans="1:19" x14ac:dyDescent="0.35">
      <c r="A66" s="2">
        <f>WORKDAY.INTL(A65,1,,'Don''t Change'!$A$2:$A$7)</f>
        <v>46204</v>
      </c>
      <c r="B66">
        <f t="shared" si="0"/>
        <v>27</v>
      </c>
      <c r="C66" t="str">
        <f t="shared" si="1"/>
        <v>July</v>
      </c>
      <c r="D66" s="11">
        <f>1134*60</f>
        <v>68040</v>
      </c>
      <c r="F66" s="11">
        <f>356*32</f>
        <v>11392</v>
      </c>
      <c r="R66" s="11">
        <f>+SUM(I66:J66)/Weights!$B$3</f>
        <v>0</v>
      </c>
      <c r="S66" s="11">
        <f>+SUM(L66:M66)/Weights!$B$4</f>
        <v>0</v>
      </c>
    </row>
    <row r="67" spans="1:19" x14ac:dyDescent="0.35">
      <c r="A67" s="2">
        <v>46205</v>
      </c>
      <c r="B67">
        <f t="shared" si="0"/>
        <v>27</v>
      </c>
      <c r="C67" t="str">
        <f t="shared" si="1"/>
        <v>July</v>
      </c>
      <c r="D67" s="11">
        <f>1501*60</f>
        <v>90060</v>
      </c>
      <c r="F67" s="11">
        <f>547*32</f>
        <v>17504</v>
      </c>
      <c r="R67" s="11">
        <f>+SUM(I67:J67)/Weights!$B$3</f>
        <v>0</v>
      </c>
      <c r="S67" s="11">
        <f>+SUM(L67:M67)/Weights!$B$4</f>
        <v>0</v>
      </c>
    </row>
    <row r="68" spans="1:19" x14ac:dyDescent="0.35">
      <c r="A68" s="2">
        <f>WORKDAY.INTL(A67,1,,'Don''t Change'!$A$2:$A$7)</f>
        <v>46206</v>
      </c>
      <c r="B68">
        <f t="shared" si="0"/>
        <v>27</v>
      </c>
      <c r="C68" t="str">
        <f t="shared" si="1"/>
        <v>July</v>
      </c>
      <c r="D68" s="11">
        <v>0</v>
      </c>
      <c r="F68" s="11">
        <v>0</v>
      </c>
      <c r="R68" s="11">
        <f>+SUM(I68:J68)/Weights!$B$3</f>
        <v>0</v>
      </c>
      <c r="S68" s="11">
        <f>+SUM(L68:M68)/Weights!$B$4</f>
        <v>0</v>
      </c>
    </row>
    <row r="69" spans="1:19" x14ac:dyDescent="0.35">
      <c r="A69" s="2">
        <f>WORKDAY.INTL(A68,1,,'Don''t Change'!$A$2:$A$7)</f>
        <v>46209</v>
      </c>
      <c r="B69">
        <f t="shared" si="0"/>
        <v>28</v>
      </c>
      <c r="C69" t="str">
        <f t="shared" si="1"/>
        <v>July</v>
      </c>
      <c r="D69" s="11">
        <f>743*60</f>
        <v>44580</v>
      </c>
      <c r="F69" s="11">
        <f>242*35</f>
        <v>8470</v>
      </c>
      <c r="R69" s="11">
        <f>+SUM(I69:J69)/Weights!$B$3</f>
        <v>0</v>
      </c>
      <c r="S69" s="11">
        <f>+SUM(L69:M69)/Weights!$B$4</f>
        <v>0</v>
      </c>
    </row>
    <row r="70" spans="1:19" x14ac:dyDescent="0.35">
      <c r="A70" s="2">
        <f>WORKDAY.INTL(A69,1,,'Don''t Change'!$A$2:$A$7)</f>
        <v>46210</v>
      </c>
      <c r="B70">
        <f t="shared" si="0"/>
        <v>28</v>
      </c>
      <c r="C70" t="str">
        <f t="shared" si="1"/>
        <v>July</v>
      </c>
      <c r="D70" s="11">
        <f>1260*60</f>
        <v>75600</v>
      </c>
      <c r="F70" s="11">
        <f>270*32</f>
        <v>8640</v>
      </c>
      <c r="R70" s="11">
        <f>+SUM(I70:J70)/Weights!$B$3</f>
        <v>0</v>
      </c>
      <c r="S70" s="11">
        <f>+SUM(L70:M70)/Weights!$B$4</f>
        <v>0</v>
      </c>
    </row>
    <row r="71" spans="1:19" x14ac:dyDescent="0.35">
      <c r="A71" s="2">
        <f>WORKDAY.INTL(A70,1,,'Don''t Change'!$A$2:$A$7)</f>
        <v>46211</v>
      </c>
      <c r="B71">
        <f t="shared" ref="B71:B134" si="2">+WEEKNUM(A71)</f>
        <v>28</v>
      </c>
      <c r="C71" t="str">
        <f t="shared" si="1"/>
        <v>July</v>
      </c>
      <c r="D71" s="11">
        <f>508*60</f>
        <v>30480</v>
      </c>
      <c r="F71" s="11">
        <f>(135+45+108)*32</f>
        <v>9216</v>
      </c>
      <c r="I71" s="11">
        <v>310</v>
      </c>
      <c r="L71" s="11">
        <f>68+24+156+48</f>
        <v>296</v>
      </c>
      <c r="R71" s="11">
        <f>+SUM(I71:J71)/Weights!$B$3</f>
        <v>4898.7654320987658</v>
      </c>
      <c r="S71" s="11">
        <f>+SUM(L71:M71)/Weights!$B$4</f>
        <v>1894.4</v>
      </c>
    </row>
    <row r="72" spans="1:19" x14ac:dyDescent="0.35">
      <c r="A72" s="2">
        <f>WORKDAY.INTL(A71,1,,'Don''t Change'!$A$2:$A$7)</f>
        <v>46212</v>
      </c>
      <c r="B72">
        <f t="shared" si="2"/>
        <v>28</v>
      </c>
      <c r="C72" t="str">
        <f t="shared" ref="C72:C135" si="3">+TEXT(A72,"mmmm")</f>
        <v>July</v>
      </c>
      <c r="F72" s="11">
        <f>765*35</f>
        <v>26775</v>
      </c>
      <c r="R72" s="11">
        <f>+SUM(I72:J72)/Weights!$B$3</f>
        <v>0</v>
      </c>
      <c r="S72" s="11">
        <f>+SUM(L72:M72)/Weights!$B$4</f>
        <v>0</v>
      </c>
    </row>
    <row r="73" spans="1:19" x14ac:dyDescent="0.35">
      <c r="A73" s="2">
        <f>WORKDAY.INTL(A72,1,,'Don''t Change'!$A$2:$A$7)</f>
        <v>46213</v>
      </c>
      <c r="B73">
        <f t="shared" si="2"/>
        <v>28</v>
      </c>
      <c r="C73" t="str">
        <f t="shared" si="3"/>
        <v>July</v>
      </c>
      <c r="D73" s="11">
        <v>0</v>
      </c>
      <c r="F73" s="11">
        <v>0</v>
      </c>
      <c r="R73" s="11">
        <f>+SUM(I73:J73)/Weights!$B$3</f>
        <v>0</v>
      </c>
      <c r="S73" s="11">
        <f>+SUM(L73:M73)/Weights!$B$4</f>
        <v>0</v>
      </c>
    </row>
    <row r="74" spans="1:19" x14ac:dyDescent="0.35">
      <c r="A74" s="2">
        <f>WORKDAY.INTL(A73,1,,'Don''t Change'!$A$2:$A$7)</f>
        <v>46216</v>
      </c>
      <c r="B74">
        <f t="shared" si="2"/>
        <v>29</v>
      </c>
      <c r="C74" t="str">
        <f t="shared" si="3"/>
        <v>July</v>
      </c>
      <c r="D74" s="11">
        <f>370*225</f>
        <v>83250</v>
      </c>
      <c r="F74" s="11">
        <v>10080</v>
      </c>
      <c r="R74" s="11">
        <f>+SUM(I74:J74)/Weights!$B$3</f>
        <v>0</v>
      </c>
      <c r="S74" s="11">
        <f>+SUM(L74:M74)/Weights!$B$4</f>
        <v>0</v>
      </c>
    </row>
    <row r="75" spans="1:19" x14ac:dyDescent="0.35">
      <c r="A75" s="2">
        <f>WORKDAY.INTL(A74,1,,'Don''t Change'!$A$2:$A$7)</f>
        <v>46217</v>
      </c>
      <c r="B75">
        <f t="shared" si="2"/>
        <v>29</v>
      </c>
      <c r="C75" t="str">
        <f t="shared" si="3"/>
        <v>July</v>
      </c>
      <c r="D75" s="11">
        <v>0</v>
      </c>
      <c r="F75" s="11">
        <v>0</v>
      </c>
      <c r="R75" s="11">
        <f>+SUM(I75:J75)/Weights!$B$3</f>
        <v>0</v>
      </c>
      <c r="S75" s="11">
        <f>+SUM(L75:M75)/Weights!$B$4</f>
        <v>0</v>
      </c>
    </row>
    <row r="76" spans="1:19" x14ac:dyDescent="0.35">
      <c r="A76" s="2">
        <f>WORKDAY.INTL(A75,1,,'Don''t Change'!$A$2:$A$7)</f>
        <v>46218</v>
      </c>
      <c r="B76">
        <f t="shared" si="2"/>
        <v>29</v>
      </c>
      <c r="C76" t="str">
        <f t="shared" si="3"/>
        <v>July</v>
      </c>
      <c r="D76" s="11">
        <v>0</v>
      </c>
      <c r="F76" s="11">
        <v>0</v>
      </c>
      <c r="R76" s="11">
        <f>+SUM(I76:J76)/Weights!$B$3</f>
        <v>0</v>
      </c>
      <c r="S76" s="11">
        <f>+SUM(L76:M76)/Weights!$B$4</f>
        <v>0</v>
      </c>
    </row>
    <row r="77" spans="1:19" x14ac:dyDescent="0.35">
      <c r="A77" s="2">
        <f>WORKDAY.INTL(A76,1,,'Don''t Change'!$A$2:$A$7)</f>
        <v>46219</v>
      </c>
      <c r="B77">
        <f t="shared" si="2"/>
        <v>29</v>
      </c>
      <c r="C77" t="str">
        <f t="shared" si="3"/>
        <v>July</v>
      </c>
      <c r="D77" s="11">
        <v>0</v>
      </c>
      <c r="F77" s="11">
        <f>176*35</f>
        <v>6160</v>
      </c>
      <c r="R77" s="11">
        <f>+SUM(I77:J77)/Weights!$B$3</f>
        <v>0</v>
      </c>
      <c r="S77" s="11">
        <f>+SUM(L77:M77)/Weights!$B$4</f>
        <v>0</v>
      </c>
    </row>
    <row r="78" spans="1:19" x14ac:dyDescent="0.35">
      <c r="A78" s="2">
        <f>WORKDAY.INTL(A77,1,,'Don''t Change'!$A$2:$A$7)</f>
        <v>46220</v>
      </c>
      <c r="B78">
        <f t="shared" si="2"/>
        <v>29</v>
      </c>
      <c r="C78" t="str">
        <f t="shared" si="3"/>
        <v>July</v>
      </c>
      <c r="D78" s="11">
        <v>0</v>
      </c>
      <c r="F78" s="11">
        <v>0</v>
      </c>
      <c r="R78" s="11">
        <f>+SUM(I78:J78)/Weights!$B$3</f>
        <v>0</v>
      </c>
      <c r="S78" s="11">
        <f>+SUM(L78:M78)/Weights!$B$4</f>
        <v>0</v>
      </c>
    </row>
    <row r="79" spans="1:19" x14ac:dyDescent="0.35">
      <c r="A79" s="2">
        <f>WORKDAY.INTL(A78,1,,'Don''t Change'!$A$2:$A$7)</f>
        <v>46223</v>
      </c>
      <c r="B79">
        <f t="shared" si="2"/>
        <v>30</v>
      </c>
      <c r="C79" t="str">
        <f t="shared" si="3"/>
        <v>July</v>
      </c>
      <c r="D79" s="11">
        <v>0</v>
      </c>
      <c r="F79" s="11">
        <v>0</v>
      </c>
      <c r="R79" s="11">
        <f>+SUM(I79:J79)/Weights!$B$3</f>
        <v>0</v>
      </c>
      <c r="S79" s="11">
        <f>+SUM(L79:M79)/Weights!$B$4</f>
        <v>0</v>
      </c>
    </row>
    <row r="80" spans="1:19" x14ac:dyDescent="0.35">
      <c r="A80" s="2">
        <f>WORKDAY.INTL(A79,1,,'Don''t Change'!$A$2:$A$7)</f>
        <v>46224</v>
      </c>
      <c r="B80">
        <f t="shared" si="2"/>
        <v>30</v>
      </c>
      <c r="C80" t="str">
        <f t="shared" si="3"/>
        <v>July</v>
      </c>
      <c r="D80" s="11">
        <v>0</v>
      </c>
      <c r="F80" s="11">
        <v>21440</v>
      </c>
      <c r="L80" s="11">
        <v>100</v>
      </c>
      <c r="R80" s="11">
        <f>+SUM(I80:J80)/Weights!$B$3</f>
        <v>0</v>
      </c>
      <c r="S80" s="11">
        <f>+SUM(L80:M80)/Weights!$B$4</f>
        <v>640</v>
      </c>
    </row>
    <row r="81" spans="1:19" x14ac:dyDescent="0.35">
      <c r="A81" s="2">
        <f>WORKDAY.INTL(A80,1,,'Don''t Change'!$A$2:$A$7)</f>
        <v>46225</v>
      </c>
      <c r="B81">
        <f t="shared" si="2"/>
        <v>30</v>
      </c>
      <c r="C81" t="str">
        <f t="shared" si="3"/>
        <v>July</v>
      </c>
      <c r="D81" s="11">
        <f>630*60</f>
        <v>37800</v>
      </c>
      <c r="F81" s="11">
        <f>1022*32</f>
        <v>32704</v>
      </c>
      <c r="R81" s="11">
        <f>+SUM(I81:J81)/Weights!$B$3</f>
        <v>0</v>
      </c>
      <c r="S81" s="11">
        <f>+SUM(L81:M81)/Weights!$B$4</f>
        <v>0</v>
      </c>
    </row>
    <row r="82" spans="1:19" x14ac:dyDescent="0.35">
      <c r="A82" s="2">
        <f>WORKDAY.INTL(A81,1,,'Don''t Change'!$A$2:$A$7)</f>
        <v>46226</v>
      </c>
      <c r="B82">
        <f t="shared" si="2"/>
        <v>30</v>
      </c>
      <c r="C82" t="str">
        <f t="shared" si="3"/>
        <v>July</v>
      </c>
      <c r="D82" s="11">
        <f>1008*60</f>
        <v>60480</v>
      </c>
      <c r="F82" s="11">
        <f>759*32</f>
        <v>24288</v>
      </c>
      <c r="L82" s="11">
        <v>396</v>
      </c>
      <c r="R82" s="11">
        <f>+SUM(I82:J82)/Weights!$B$3</f>
        <v>0</v>
      </c>
      <c r="S82" s="11">
        <f>+SUM(L82:M82)/Weights!$B$4</f>
        <v>2534.4</v>
      </c>
    </row>
    <row r="83" spans="1:19" x14ac:dyDescent="0.35">
      <c r="A83" s="2">
        <f>WORKDAY.INTL(A82,1,,'Don''t Change'!$A$2:$A$7)</f>
        <v>46227</v>
      </c>
      <c r="B83">
        <f t="shared" si="2"/>
        <v>30</v>
      </c>
      <c r="C83" t="str">
        <f t="shared" si="3"/>
        <v>July</v>
      </c>
      <c r="D83" s="11">
        <f>526*60+247*225</f>
        <v>87135</v>
      </c>
      <c r="F83" s="11">
        <f>59*32</f>
        <v>1888</v>
      </c>
      <c r="I83" s="11">
        <v>147</v>
      </c>
      <c r="R83" s="11">
        <f>+SUM(I83:J83)/Weights!$B$3</f>
        <v>2322.962962962963</v>
      </c>
      <c r="S83" s="11">
        <f>+SUM(L83:M83)/Weights!$B$4</f>
        <v>0</v>
      </c>
    </row>
    <row r="84" spans="1:19" x14ac:dyDescent="0.35">
      <c r="A84" s="2">
        <f>WORKDAY.INTL(A83,1,,'Don''t Change'!$A$2:$A$7)</f>
        <v>46230</v>
      </c>
      <c r="B84">
        <f t="shared" si="2"/>
        <v>31</v>
      </c>
      <c r="C84" t="str">
        <f t="shared" si="3"/>
        <v>July</v>
      </c>
      <c r="D84" s="11">
        <f>29*60+(126*5)*60+102*225</f>
        <v>62490</v>
      </c>
      <c r="F84" s="11">
        <f>606*32</f>
        <v>19392</v>
      </c>
      <c r="R84" s="11">
        <f>+SUM(I84:J84)/Weights!$B$3</f>
        <v>0</v>
      </c>
      <c r="S84" s="11">
        <f>+SUM(L84:M84)/Weights!$B$4</f>
        <v>0</v>
      </c>
    </row>
    <row r="85" spans="1:19" x14ac:dyDescent="0.35">
      <c r="A85" s="2">
        <f>WORKDAY.INTL(A84,1,,'Don''t Change'!$A$2:$A$7)</f>
        <v>46231</v>
      </c>
      <c r="B85">
        <f t="shared" si="2"/>
        <v>31</v>
      </c>
      <c r="C85" t="str">
        <f t="shared" si="3"/>
        <v>July</v>
      </c>
      <c r="D85" s="11">
        <f>231*225+880*60</f>
        <v>104775</v>
      </c>
      <c r="F85" s="11">
        <f>842*32</f>
        <v>26944</v>
      </c>
      <c r="I85" s="11">
        <v>198</v>
      </c>
      <c r="L85" s="11">
        <v>42</v>
      </c>
      <c r="R85" s="11">
        <f>+SUM(I85:J85)/Weights!$B$3</f>
        <v>3128.8888888888891</v>
      </c>
      <c r="S85" s="11">
        <f>+SUM(L85:M85)/Weights!$B$4</f>
        <v>268.8</v>
      </c>
    </row>
    <row r="86" spans="1:19" x14ac:dyDescent="0.35">
      <c r="A86" s="2">
        <f>WORKDAY.INTL(A85,1,,'Don''t Change'!$A$2:$A$7)</f>
        <v>46232</v>
      </c>
      <c r="B86">
        <f t="shared" si="2"/>
        <v>31</v>
      </c>
      <c r="C86" t="str">
        <f t="shared" si="3"/>
        <v>July</v>
      </c>
      <c r="D86" s="11">
        <f>972*60</f>
        <v>58320</v>
      </c>
      <c r="F86" s="11">
        <f>705*32</f>
        <v>22560</v>
      </c>
      <c r="I86" s="11">
        <f>52+40+34+20</f>
        <v>146</v>
      </c>
      <c r="R86" s="11">
        <f>+SUM(I86:J86)/Weights!$B$3</f>
        <v>2307.1604938271607</v>
      </c>
      <c r="S86" s="11">
        <f>+SUM(L86:M86)/Weights!$B$4</f>
        <v>0</v>
      </c>
    </row>
    <row r="87" spans="1:19" x14ac:dyDescent="0.35">
      <c r="A87" s="2">
        <f>WORKDAY.INTL(A86,1,,'Don''t Change'!$A$2:$A$7)</f>
        <v>46233</v>
      </c>
      <c r="B87">
        <f t="shared" si="2"/>
        <v>31</v>
      </c>
      <c r="C87" t="str">
        <f t="shared" si="3"/>
        <v>July</v>
      </c>
      <c r="D87" s="11">
        <f>756*60</f>
        <v>45360</v>
      </c>
      <c r="F87" s="11">
        <f>266*32</f>
        <v>8512</v>
      </c>
      <c r="L87" s="11">
        <v>431.25</v>
      </c>
      <c r="R87" s="11">
        <f>+SUM(I87:J87)/Weights!$B$3</f>
        <v>0</v>
      </c>
      <c r="S87" s="11">
        <f>+SUM(L87:M87)/Weights!$B$4</f>
        <v>2760</v>
      </c>
    </row>
    <row r="88" spans="1:19" x14ac:dyDescent="0.35">
      <c r="A88" s="2">
        <f>WORKDAY.INTL(A87,1,,'Don''t Change'!$A$2:$A$7)</f>
        <v>46234</v>
      </c>
      <c r="B88">
        <f t="shared" si="2"/>
        <v>31</v>
      </c>
      <c r="C88" t="str">
        <f t="shared" si="3"/>
        <v>July</v>
      </c>
      <c r="D88" s="11">
        <v>0</v>
      </c>
      <c r="F88" s="11">
        <v>0</v>
      </c>
      <c r="R88" s="11">
        <f>+SUM(I88:J88)/Weights!$B$3</f>
        <v>0</v>
      </c>
      <c r="S88" s="11">
        <f>+SUM(L88:M88)/Weights!$B$4</f>
        <v>0</v>
      </c>
    </row>
    <row r="89" spans="1:19" x14ac:dyDescent="0.35">
      <c r="A89" s="2">
        <f>WORKDAY.INTL(A88,1,,'Don''t Change'!$A$2:$A$7)</f>
        <v>46237</v>
      </c>
      <c r="B89">
        <f t="shared" si="2"/>
        <v>32</v>
      </c>
      <c r="C89" t="str">
        <f t="shared" si="3"/>
        <v>August</v>
      </c>
      <c r="D89" s="11">
        <f>753*60+246*60</f>
        <v>59940</v>
      </c>
      <c r="F89" s="11">
        <f>675*32</f>
        <v>21600</v>
      </c>
      <c r="I89" s="11">
        <f>36+18</f>
        <v>54</v>
      </c>
      <c r="L89" s="11">
        <v>256</v>
      </c>
      <c r="R89" s="11">
        <f>+SUM(I89:J89)/Weights!$B$3</f>
        <v>853.33333333333337</v>
      </c>
      <c r="S89" s="11">
        <f>+SUM(L89:M89)/Weights!$B$4</f>
        <v>1638.4</v>
      </c>
    </row>
    <row r="90" spans="1:19" x14ac:dyDescent="0.35">
      <c r="A90" s="2">
        <f>WORKDAY.INTL(A89,1,,'Don''t Change'!$A$2:$A$7)</f>
        <v>46238</v>
      </c>
      <c r="B90">
        <f t="shared" si="2"/>
        <v>32</v>
      </c>
      <c r="C90" t="str">
        <f t="shared" si="3"/>
        <v>August</v>
      </c>
      <c r="D90" s="11">
        <f>1313*60</f>
        <v>78780</v>
      </c>
      <c r="F90" s="11">
        <f>810*32</f>
        <v>25920</v>
      </c>
      <c r="I90" s="11">
        <v>72</v>
      </c>
      <c r="L90" s="11">
        <f>50+60+62+92</f>
        <v>264</v>
      </c>
      <c r="R90" s="11">
        <f>+SUM(I90:J90)/Weights!$B$3</f>
        <v>1137.7777777777778</v>
      </c>
      <c r="S90" s="11">
        <f>+SUM(L90:M90)/Weights!$B$4</f>
        <v>1689.6</v>
      </c>
    </row>
    <row r="91" spans="1:19" x14ac:dyDescent="0.35">
      <c r="A91" s="2">
        <f>WORKDAY.INTL(A90,1,,'Don''t Change'!$A$2:$A$7)</f>
        <v>46239</v>
      </c>
      <c r="B91">
        <f t="shared" si="2"/>
        <v>32</v>
      </c>
      <c r="C91" t="str">
        <f t="shared" si="3"/>
        <v>August</v>
      </c>
      <c r="D91" s="11">
        <f>882*60</f>
        <v>52920</v>
      </c>
      <c r="F91" s="11">
        <f>675*32</f>
        <v>21600</v>
      </c>
      <c r="I91" s="11">
        <v>32</v>
      </c>
      <c r="L91" s="11">
        <f>24+28+48+34</f>
        <v>134</v>
      </c>
      <c r="R91" s="11">
        <f>+SUM(I91:J91)/Weights!$B$3</f>
        <v>505.67901234567904</v>
      </c>
      <c r="S91" s="11">
        <f>+SUM(L91:M91)/Weights!$B$4</f>
        <v>857.6</v>
      </c>
    </row>
    <row r="92" spans="1:19" x14ac:dyDescent="0.35">
      <c r="A92" s="2">
        <f>WORKDAY.INTL(A91,1,,'Don''t Change'!$A$2:$A$7)</f>
        <v>46240</v>
      </c>
      <c r="B92">
        <f t="shared" si="2"/>
        <v>32</v>
      </c>
      <c r="C92" t="str">
        <f t="shared" si="3"/>
        <v>August</v>
      </c>
      <c r="D92" s="11">
        <f>726*60</f>
        <v>43560</v>
      </c>
      <c r="F92" s="11">
        <f>945*32</f>
        <v>30240</v>
      </c>
      <c r="L92" s="11">
        <f>24+50+44</f>
        <v>118</v>
      </c>
      <c r="R92" s="11">
        <f>+SUM(I92:J92)/Weights!$B$3</f>
        <v>0</v>
      </c>
      <c r="S92" s="11">
        <f>+SUM(L92:M92)/Weights!$B$4</f>
        <v>755.2</v>
      </c>
    </row>
    <row r="93" spans="1:19" x14ac:dyDescent="0.35">
      <c r="A93" s="2">
        <f>WORKDAY.INTL(A92,1,,'Don''t Change'!$A$2:$A$7)</f>
        <v>46241</v>
      </c>
      <c r="B93">
        <f t="shared" si="2"/>
        <v>32</v>
      </c>
      <c r="C93" t="str">
        <f t="shared" si="3"/>
        <v>August</v>
      </c>
      <c r="D93" s="11">
        <v>0</v>
      </c>
      <c r="F93" s="11">
        <v>0</v>
      </c>
      <c r="R93" s="11">
        <f>+SUM(I93:J93)/Weights!$B$3</f>
        <v>0</v>
      </c>
      <c r="S93" s="11">
        <f>+SUM(L93:M93)/Weights!$B$4</f>
        <v>0</v>
      </c>
    </row>
    <row r="94" spans="1:19" x14ac:dyDescent="0.35">
      <c r="A94" s="2">
        <f>WORKDAY.INTL(A93,1,,'Don''t Change'!$A$2:$A$7)</f>
        <v>46244</v>
      </c>
      <c r="B94">
        <f t="shared" si="2"/>
        <v>33</v>
      </c>
      <c r="C94" t="str">
        <f t="shared" si="3"/>
        <v>August</v>
      </c>
      <c r="D94" s="11">
        <f>1063*60</f>
        <v>63780</v>
      </c>
      <c r="F94" s="11">
        <f>948*32</f>
        <v>30336</v>
      </c>
      <c r="I94" s="11">
        <v>42</v>
      </c>
      <c r="L94" s="11">
        <f>106+42+92</f>
        <v>240</v>
      </c>
      <c r="R94" s="11">
        <f>+SUM(I94:J94)/Weights!$B$3</f>
        <v>663.7037037037037</v>
      </c>
      <c r="S94" s="11">
        <f>+SUM(L94:M94)/Weights!$B$4</f>
        <v>1536</v>
      </c>
    </row>
    <row r="95" spans="1:19" x14ac:dyDescent="0.35">
      <c r="A95" s="2">
        <f>WORKDAY.INTL(A94,1,,'Don''t Change'!$A$2:$A$7)</f>
        <v>46245</v>
      </c>
      <c r="B95">
        <f t="shared" si="2"/>
        <v>33</v>
      </c>
      <c r="C95" t="str">
        <f t="shared" si="3"/>
        <v>August</v>
      </c>
      <c r="D95" s="11">
        <f>801*60</f>
        <v>48060</v>
      </c>
      <c r="F95" s="11">
        <f>1125*32+91*50</f>
        <v>40550</v>
      </c>
      <c r="L95" s="11">
        <v>74</v>
      </c>
      <c r="R95" s="11">
        <f>+SUM(I95:J95)/Weights!$B$3</f>
        <v>0</v>
      </c>
      <c r="S95" s="11">
        <f>+SUM(L95:M95)/Weights!$B$4</f>
        <v>473.6</v>
      </c>
    </row>
    <row r="96" spans="1:19" x14ac:dyDescent="0.35">
      <c r="A96" s="2">
        <f>WORKDAY.INTL(A95,1,,'Don''t Change'!$A$2:$A$7)</f>
        <v>46246</v>
      </c>
      <c r="B96">
        <f t="shared" si="2"/>
        <v>33</v>
      </c>
      <c r="C96" t="str">
        <f t="shared" si="3"/>
        <v>August</v>
      </c>
      <c r="D96" s="11">
        <f>1008*60</f>
        <v>60480</v>
      </c>
      <c r="F96" s="11">
        <f>576*50</f>
        <v>28800</v>
      </c>
      <c r="I96" s="11">
        <v>56</v>
      </c>
      <c r="R96" s="11">
        <f>+SUM(I96:J96)/Weights!$B$3</f>
        <v>884.93827160493834</v>
      </c>
      <c r="S96" s="11">
        <f>+SUM(L96:M96)/Weights!$B$4</f>
        <v>0</v>
      </c>
    </row>
    <row r="97" spans="1:19" x14ac:dyDescent="0.35">
      <c r="A97" s="2">
        <f>WORKDAY.INTL(A96,1,,'Don''t Change'!$A$2:$A$7)</f>
        <v>46247</v>
      </c>
      <c r="B97">
        <f t="shared" si="2"/>
        <v>33</v>
      </c>
      <c r="C97" t="str">
        <f t="shared" si="3"/>
        <v>August</v>
      </c>
      <c r="D97" s="11">
        <f>422*60</f>
        <v>25320</v>
      </c>
      <c r="F97" s="11">
        <f>401*32+110*50</f>
        <v>18332</v>
      </c>
      <c r="R97" s="11">
        <f>+SUM(I97:J97)/Weights!$B$3</f>
        <v>0</v>
      </c>
      <c r="S97" s="11">
        <f>+SUM(L97:M97)/Weights!$B$4</f>
        <v>0</v>
      </c>
    </row>
    <row r="98" spans="1:19" x14ac:dyDescent="0.35">
      <c r="A98" s="2">
        <f>WORKDAY.INTL(A97,1,,'Don''t Change'!$A$2:$A$7)</f>
        <v>46248</v>
      </c>
      <c r="B98">
        <f t="shared" si="2"/>
        <v>33</v>
      </c>
      <c r="C98" t="str">
        <f t="shared" si="3"/>
        <v>August</v>
      </c>
      <c r="D98" s="11">
        <v>0</v>
      </c>
      <c r="F98" s="11">
        <v>0</v>
      </c>
      <c r="R98" s="11">
        <f>+SUM(I98:J98)/Weights!$B$3</f>
        <v>0</v>
      </c>
      <c r="S98" s="11">
        <f>+SUM(L98:M98)/Weights!$B$4</f>
        <v>0</v>
      </c>
    </row>
    <row r="99" spans="1:19" x14ac:dyDescent="0.35">
      <c r="A99" s="2">
        <f>WORKDAY.INTL(A98,1,,'Don''t Change'!$A$2:$A$7)</f>
        <v>46251</v>
      </c>
      <c r="B99">
        <f t="shared" si="2"/>
        <v>34</v>
      </c>
      <c r="C99" t="str">
        <f t="shared" si="3"/>
        <v>August</v>
      </c>
      <c r="D99" s="11">
        <v>30240</v>
      </c>
      <c r="F99" s="11">
        <v>21600</v>
      </c>
      <c r="I99" s="11">
        <v>20</v>
      </c>
      <c r="R99" s="11">
        <f>+SUM(I99:J99)/Weights!$B$3</f>
        <v>316.04938271604942</v>
      </c>
      <c r="S99" s="11">
        <f>+SUM(L99:M99)/Weights!$B$4</f>
        <v>0</v>
      </c>
    </row>
    <row r="100" spans="1:19" x14ac:dyDescent="0.35">
      <c r="A100" s="2">
        <f>WORKDAY.INTL(A99,1,,'Don''t Change'!$A$2:$A$7)</f>
        <v>46252</v>
      </c>
      <c r="B100">
        <f t="shared" si="2"/>
        <v>34</v>
      </c>
      <c r="C100" t="str">
        <f t="shared" si="3"/>
        <v>August</v>
      </c>
      <c r="D100" s="11">
        <v>15120</v>
      </c>
      <c r="F100" s="11">
        <v>22880</v>
      </c>
      <c r="R100" s="11">
        <f>+SUM(I100:J100)/Weights!$B$3</f>
        <v>0</v>
      </c>
      <c r="S100" s="11">
        <f>+SUM(L100:M100)/Weights!$B$4</f>
        <v>0</v>
      </c>
    </row>
    <row r="101" spans="1:19" x14ac:dyDescent="0.35">
      <c r="A101" s="2">
        <f>WORKDAY.INTL(A100,1,,'Don''t Change'!$A$2:$A$7)</f>
        <v>46253</v>
      </c>
      <c r="B101">
        <f t="shared" si="2"/>
        <v>34</v>
      </c>
      <c r="C101" t="str">
        <f t="shared" si="3"/>
        <v>August</v>
      </c>
      <c r="D101" s="11">
        <v>99300</v>
      </c>
      <c r="F101" s="11">
        <v>8576</v>
      </c>
      <c r="R101" s="11">
        <f>+SUM(I101:J101)/Weights!$B$3</f>
        <v>0</v>
      </c>
      <c r="S101" s="11">
        <f>+SUM(L101:M101)/Weights!$B$4</f>
        <v>0</v>
      </c>
    </row>
    <row r="102" spans="1:19" x14ac:dyDescent="0.35">
      <c r="A102" s="2">
        <f>WORKDAY.INTL(A101,1,,'Don''t Change'!$A$2:$A$7)</f>
        <v>46254</v>
      </c>
      <c r="B102">
        <f t="shared" si="2"/>
        <v>34</v>
      </c>
      <c r="C102" t="str">
        <f t="shared" si="3"/>
        <v>August</v>
      </c>
      <c r="D102" s="11">
        <v>0</v>
      </c>
      <c r="F102" s="11">
        <v>0</v>
      </c>
      <c r="R102" s="11">
        <f>+SUM(I102:J102)/Weights!$B$3</f>
        <v>0</v>
      </c>
      <c r="S102" s="11">
        <f>+SUM(L102:M102)/Weights!$B$4</f>
        <v>0</v>
      </c>
    </row>
    <row r="103" spans="1:19" x14ac:dyDescent="0.35">
      <c r="A103" s="2">
        <f>WORKDAY.INTL(A102,1,,'Don''t Change'!$A$2:$A$7)</f>
        <v>46255</v>
      </c>
      <c r="B103">
        <f t="shared" si="2"/>
        <v>34</v>
      </c>
      <c r="C103" t="str">
        <f t="shared" si="3"/>
        <v>August</v>
      </c>
      <c r="D103" s="11">
        <v>0</v>
      </c>
      <c r="F103" s="11">
        <v>0</v>
      </c>
      <c r="R103" s="11">
        <f>+SUM(I103:J103)/Weights!$B$3</f>
        <v>0</v>
      </c>
      <c r="S103" s="11">
        <f>+SUM(L103:M103)/Weights!$B$4</f>
        <v>0</v>
      </c>
    </row>
    <row r="104" spans="1:19" x14ac:dyDescent="0.35">
      <c r="A104" s="2">
        <f>WORKDAY.INTL(A103,1,,'Don''t Change'!$A$2:$A$7)</f>
        <v>46258</v>
      </c>
      <c r="B104">
        <f t="shared" si="2"/>
        <v>35</v>
      </c>
      <c r="C104" t="str">
        <f t="shared" si="3"/>
        <v>August</v>
      </c>
      <c r="D104" s="11">
        <v>0</v>
      </c>
      <c r="F104" s="11">
        <f>945*32</f>
        <v>30240</v>
      </c>
      <c r="R104" s="11">
        <f>+SUM(I104:J104)/Weights!$B$3</f>
        <v>0</v>
      </c>
      <c r="S104" s="11">
        <f>+SUM(L104:M104)/Weights!$B$4</f>
        <v>0</v>
      </c>
    </row>
    <row r="105" spans="1:19" x14ac:dyDescent="0.35">
      <c r="A105" s="2">
        <f>WORKDAY.INTL(A104,1,,'Don''t Change'!$A$2:$A$7)</f>
        <v>46259</v>
      </c>
      <c r="B105">
        <f t="shared" si="2"/>
        <v>35</v>
      </c>
      <c r="C105" t="str">
        <f t="shared" si="3"/>
        <v>August</v>
      </c>
      <c r="D105" s="11">
        <f>1554*60</f>
        <v>93240</v>
      </c>
      <c r="F105" s="11">
        <f>768*32</f>
        <v>24576</v>
      </c>
      <c r="L105" s="11">
        <v>388</v>
      </c>
      <c r="R105" s="11">
        <f>+SUM(I105:J105)/Weights!$B$3</f>
        <v>0</v>
      </c>
      <c r="S105" s="11">
        <f>+SUM(L105:M105)/Weights!$B$4</f>
        <v>2483.1999999999998</v>
      </c>
    </row>
    <row r="106" spans="1:19" x14ac:dyDescent="0.35">
      <c r="A106" s="2">
        <f>WORKDAY.INTL(A105,1,,'Don''t Change'!$A$2:$A$7)</f>
        <v>46260</v>
      </c>
      <c r="B106">
        <f t="shared" si="2"/>
        <v>35</v>
      </c>
      <c r="C106" t="str">
        <f t="shared" si="3"/>
        <v>August</v>
      </c>
      <c r="D106" s="11">
        <f>1442*60</f>
        <v>86520</v>
      </c>
      <c r="F106" s="11">
        <f>200*56</f>
        <v>11200</v>
      </c>
      <c r="I106" s="11">
        <f>194+232</f>
        <v>426</v>
      </c>
      <c r="R106" s="11">
        <f>+SUM(I106:J106)/Weights!$B$3</f>
        <v>6731.8518518518522</v>
      </c>
      <c r="S106" s="11">
        <f>+SUM(L106:M106)/Weights!$B$4</f>
        <v>0</v>
      </c>
    </row>
    <row r="107" spans="1:19" x14ac:dyDescent="0.35">
      <c r="A107" s="2">
        <f>WORKDAY.INTL(A106,1,,'Don''t Change'!$A$2:$A$7)</f>
        <v>46261</v>
      </c>
      <c r="B107">
        <f t="shared" si="2"/>
        <v>35</v>
      </c>
      <c r="C107" t="str">
        <f t="shared" si="3"/>
        <v>August</v>
      </c>
      <c r="D107" s="11">
        <f>8*126*60</f>
        <v>60480</v>
      </c>
      <c r="F107" s="11">
        <f>607*56</f>
        <v>33992</v>
      </c>
      <c r="R107" s="11">
        <f>+SUM(I107:J107)/Weights!$B$3</f>
        <v>0</v>
      </c>
      <c r="S107" s="11">
        <f>+SUM(L107:M107)/Weights!$B$4</f>
        <v>0</v>
      </c>
    </row>
    <row r="108" spans="1:19" x14ac:dyDescent="0.35">
      <c r="A108" s="2">
        <f>WORKDAY.INTL(A107,1,,'Don''t Change'!$A$2:$A$7)</f>
        <v>46262</v>
      </c>
      <c r="B108">
        <f t="shared" si="2"/>
        <v>35</v>
      </c>
      <c r="C108" t="str">
        <f t="shared" si="3"/>
        <v>August</v>
      </c>
      <c r="D108" s="11">
        <f>823*60</f>
        <v>49380</v>
      </c>
      <c r="F108" s="11">
        <f>410*56</f>
        <v>22960</v>
      </c>
      <c r="L108" s="11">
        <v>70</v>
      </c>
      <c r="R108" s="11">
        <f>+SUM(I108:J108)/Weights!$B$3</f>
        <v>0</v>
      </c>
      <c r="S108" s="11">
        <f>+SUM(L108:M108)/Weights!$B$4</f>
        <v>448</v>
      </c>
    </row>
    <row r="109" spans="1:19" x14ac:dyDescent="0.35">
      <c r="A109" s="2">
        <f>WORKDAY.INTL(A108,1,,'Don''t Change'!$A$2:$A$7)</f>
        <v>46265</v>
      </c>
      <c r="B109">
        <f t="shared" si="2"/>
        <v>36</v>
      </c>
      <c r="C109" t="str">
        <f t="shared" si="3"/>
        <v>August</v>
      </c>
      <c r="D109" s="11">
        <f>95*250</f>
        <v>23750</v>
      </c>
      <c r="F109" s="11">
        <f>200*56</f>
        <v>11200</v>
      </c>
      <c r="I109" s="11">
        <v>230</v>
      </c>
      <c r="L109" s="11">
        <v>102</v>
      </c>
      <c r="R109" s="11">
        <f>+SUM(I109:J109)/Weights!$B$3</f>
        <v>3634.5679012345681</v>
      </c>
      <c r="S109" s="11">
        <f>+SUM(L109:M109)/Weights!$B$4</f>
        <v>652.79999999999995</v>
      </c>
    </row>
    <row r="110" spans="1:19" x14ac:dyDescent="0.35">
      <c r="A110" s="2">
        <f>WORKDAY.INTL(A109,1,,'Don''t Change'!$A$2:$A$7)</f>
        <v>46266</v>
      </c>
      <c r="B110">
        <f t="shared" si="2"/>
        <v>36</v>
      </c>
      <c r="C110" t="str">
        <f t="shared" si="3"/>
        <v>September</v>
      </c>
      <c r="D110" s="11">
        <f>77*240+1008*60</f>
        <v>78960</v>
      </c>
      <c r="F110" s="11">
        <f>285*32+254*56</f>
        <v>23344</v>
      </c>
      <c r="I110" s="11">
        <v>110</v>
      </c>
      <c r="L110" s="11">
        <v>111</v>
      </c>
      <c r="R110" s="11">
        <f>+SUM(I110:J110)/Weights!$B$3</f>
        <v>1738.2716049382716</v>
      </c>
      <c r="S110" s="11">
        <f>+SUM(L110:M110)/Weights!$B$4</f>
        <v>710.4</v>
      </c>
    </row>
    <row r="111" spans="1:19" x14ac:dyDescent="0.35">
      <c r="A111" s="2">
        <f>WORKDAY.INTL(A110,1,,'Don''t Change'!$A$2:$A$7)</f>
        <v>46267</v>
      </c>
      <c r="B111">
        <f t="shared" si="2"/>
        <v>36</v>
      </c>
      <c r="C111" t="str">
        <f t="shared" si="3"/>
        <v>September</v>
      </c>
      <c r="D111" s="11">
        <f>105*250+126*60</f>
        <v>33810</v>
      </c>
      <c r="F111" s="11">
        <v>0</v>
      </c>
      <c r="R111" s="11">
        <f>+SUM(I111:J111)/Weights!$B$3</f>
        <v>0</v>
      </c>
      <c r="S111" s="11">
        <f>+SUM(L111:M111)/Weights!$B$4</f>
        <v>0</v>
      </c>
    </row>
    <row r="112" spans="1:19" x14ac:dyDescent="0.35">
      <c r="A112" s="2">
        <f>WORKDAY.INTL(A111,1,,'Don''t Change'!$A$2:$A$7)</f>
        <v>46268</v>
      </c>
      <c r="B112">
        <f t="shared" si="2"/>
        <v>36</v>
      </c>
      <c r="C112" t="str">
        <f t="shared" si="3"/>
        <v>September</v>
      </c>
      <c r="D112" s="11">
        <f>780*240+132*250+123*60</f>
        <v>227580</v>
      </c>
      <c r="F112" s="11">
        <f>7560</f>
        <v>7560</v>
      </c>
      <c r="R112" s="11">
        <f>+SUM(I112:J112)/Weights!$B$3</f>
        <v>0</v>
      </c>
      <c r="S112" s="11">
        <f>+SUM(L112:M112)/Weights!$B$4</f>
        <v>0</v>
      </c>
    </row>
    <row r="113" spans="1:19" x14ac:dyDescent="0.35">
      <c r="A113" s="2">
        <f>WORKDAY.INTL(A112,1,,'Don''t Change'!$A$2:$A$7)</f>
        <v>46269</v>
      </c>
      <c r="B113">
        <f t="shared" si="2"/>
        <v>36</v>
      </c>
      <c r="C113" t="str">
        <f t="shared" si="3"/>
        <v>September</v>
      </c>
      <c r="D113" s="11">
        <v>0</v>
      </c>
      <c r="F113" s="11">
        <v>0</v>
      </c>
      <c r="R113" s="11">
        <f>+SUM(I113:J113)/Weights!$B$3</f>
        <v>0</v>
      </c>
      <c r="S113" s="11">
        <f>+SUM(L113:M113)/Weights!$B$4</f>
        <v>0</v>
      </c>
    </row>
    <row r="114" spans="1:19" x14ac:dyDescent="0.35">
      <c r="A114" s="2">
        <f>WORKDAY.INTL(A113,1,,'Don''t Change'!$A$2:$A$7)</f>
        <v>46273</v>
      </c>
      <c r="B114">
        <f t="shared" si="2"/>
        <v>37</v>
      </c>
      <c r="C114" t="str">
        <f t="shared" si="3"/>
        <v>September</v>
      </c>
      <c r="D114" s="11">
        <v>93360</v>
      </c>
      <c r="F114" s="11">
        <v>0</v>
      </c>
      <c r="I114" s="11">
        <v>78</v>
      </c>
      <c r="R114" s="11">
        <f>+SUM(I114:J114)/Weights!$B$3</f>
        <v>1232.5925925925926</v>
      </c>
      <c r="S114" s="11">
        <f>+SUM(L114:M114)/Weights!$B$4</f>
        <v>0</v>
      </c>
    </row>
    <row r="115" spans="1:19" x14ac:dyDescent="0.35">
      <c r="A115" s="2">
        <f>WORKDAY.INTL(A114,1,,'Don''t Change'!$A$2:$A$7)</f>
        <v>46274</v>
      </c>
      <c r="B115">
        <f t="shared" si="2"/>
        <v>37</v>
      </c>
      <c r="C115" t="str">
        <f t="shared" si="3"/>
        <v>September</v>
      </c>
      <c r="D115" s="11">
        <v>0</v>
      </c>
      <c r="F115" s="11">
        <v>0</v>
      </c>
      <c r="R115" s="11">
        <f>+SUM(I115:J115)/Weights!$B$3</f>
        <v>0</v>
      </c>
      <c r="S115" s="11">
        <f>+SUM(L115:M115)/Weights!$B$4</f>
        <v>0</v>
      </c>
    </row>
    <row r="116" spans="1:19" x14ac:dyDescent="0.35">
      <c r="A116" s="2">
        <f>WORKDAY.INTL(A115,1,,'Don''t Change'!$A$2:$A$7)</f>
        <v>46275</v>
      </c>
      <c r="B116">
        <f t="shared" si="2"/>
        <v>37</v>
      </c>
      <c r="C116" t="str">
        <f t="shared" si="3"/>
        <v>September</v>
      </c>
      <c r="D116" s="11">
        <v>0</v>
      </c>
      <c r="F116" s="11">
        <v>0</v>
      </c>
      <c r="R116" s="11">
        <f>+SUM(I116:J116)/Weights!$B$3</f>
        <v>0</v>
      </c>
      <c r="S116" s="11">
        <f>+SUM(L116:M116)/Weights!$B$4</f>
        <v>0</v>
      </c>
    </row>
    <row r="117" spans="1:19" x14ac:dyDescent="0.35">
      <c r="A117" s="2">
        <f>WORKDAY.INTL(A116,1,,'Don''t Change'!$A$2:$A$7)</f>
        <v>46276</v>
      </c>
      <c r="B117">
        <f t="shared" si="2"/>
        <v>37</v>
      </c>
      <c r="C117" t="str">
        <f t="shared" si="3"/>
        <v>September</v>
      </c>
      <c r="D117" s="11">
        <v>0</v>
      </c>
      <c r="F117" s="11">
        <v>0</v>
      </c>
      <c r="R117" s="11">
        <f>+SUM(I117:J117)/Weights!$B$3</f>
        <v>0</v>
      </c>
      <c r="S117" s="11">
        <f>+SUM(L117:M117)/Weights!$B$4</f>
        <v>0</v>
      </c>
    </row>
    <row r="118" spans="1:19" x14ac:dyDescent="0.35">
      <c r="A118" s="2">
        <f>WORKDAY.INTL(A117,1,,'Don''t Change'!$A$2:$A$7)</f>
        <v>46279</v>
      </c>
      <c r="B118">
        <f t="shared" si="2"/>
        <v>38</v>
      </c>
      <c r="C118" t="str">
        <f t="shared" si="3"/>
        <v>September</v>
      </c>
      <c r="D118" s="11">
        <v>0</v>
      </c>
      <c r="F118" s="11">
        <v>0</v>
      </c>
      <c r="R118" s="11">
        <f>+SUM(I118:J118)/Weights!$B$3</f>
        <v>0</v>
      </c>
      <c r="S118" s="11">
        <f>+SUM(L118:M118)/Weights!$B$4</f>
        <v>0</v>
      </c>
    </row>
    <row r="119" spans="1:19" x14ac:dyDescent="0.35">
      <c r="A119" s="2">
        <f>WORKDAY.INTL(A118,1,,'Don''t Change'!$A$2:$A$7)</f>
        <v>46280</v>
      </c>
      <c r="B119">
        <f t="shared" si="2"/>
        <v>38</v>
      </c>
      <c r="C119" t="str">
        <f t="shared" si="3"/>
        <v>September</v>
      </c>
      <c r="D119" s="11">
        <v>0</v>
      </c>
      <c r="F119" s="11">
        <v>0</v>
      </c>
      <c r="R119" s="11">
        <f>+SUM(I119:J119)/Weights!$B$3</f>
        <v>0</v>
      </c>
      <c r="S119" s="11">
        <f>+SUM(L119:M119)/Weights!$B$4</f>
        <v>0</v>
      </c>
    </row>
    <row r="120" spans="1:19" x14ac:dyDescent="0.35">
      <c r="A120" s="2">
        <f>WORKDAY.INTL(A119,1,,'Don''t Change'!$A$2:$A$7)</f>
        <v>46281</v>
      </c>
      <c r="B120">
        <f t="shared" si="2"/>
        <v>38</v>
      </c>
      <c r="C120" t="str">
        <f t="shared" si="3"/>
        <v>September</v>
      </c>
      <c r="D120" s="11">
        <v>0</v>
      </c>
      <c r="F120" s="11">
        <v>0</v>
      </c>
      <c r="R120" s="11">
        <f>+SUM(I120:J120)/Weights!$B$3</f>
        <v>0</v>
      </c>
      <c r="S120" s="11">
        <f>+SUM(L120:M120)/Weights!$B$4</f>
        <v>0</v>
      </c>
    </row>
    <row r="121" spans="1:19" x14ac:dyDescent="0.35">
      <c r="A121" s="2">
        <f>WORKDAY.INTL(A120,1,,'Don''t Change'!$A$2:$A$7)</f>
        <v>46282</v>
      </c>
      <c r="B121">
        <f t="shared" si="2"/>
        <v>38</v>
      </c>
      <c r="C121" t="str">
        <f t="shared" si="3"/>
        <v>September</v>
      </c>
      <c r="D121" s="11">
        <v>0</v>
      </c>
      <c r="F121" s="11">
        <v>0</v>
      </c>
      <c r="R121" s="11">
        <f>+SUM(I121:J121)/Weights!$B$3</f>
        <v>0</v>
      </c>
      <c r="S121" s="11">
        <f>+SUM(L121:M121)/Weights!$B$4</f>
        <v>0</v>
      </c>
    </row>
    <row r="122" spans="1:19" x14ac:dyDescent="0.35">
      <c r="A122" s="2">
        <f>WORKDAY.INTL(A121,1,,'Don''t Change'!$A$2:$A$7)</f>
        <v>46283</v>
      </c>
      <c r="B122">
        <f t="shared" si="2"/>
        <v>38</v>
      </c>
      <c r="C122" t="str">
        <f t="shared" si="3"/>
        <v>September</v>
      </c>
      <c r="D122" s="11">
        <v>0</v>
      </c>
      <c r="F122" s="11">
        <v>0</v>
      </c>
      <c r="R122" s="11">
        <f>+SUM(I122:J122)/Weights!$B$3</f>
        <v>0</v>
      </c>
      <c r="S122" s="11">
        <f>+SUM(L122:M122)/Weights!$B$4</f>
        <v>0</v>
      </c>
    </row>
    <row r="123" spans="1:19" x14ac:dyDescent="0.35">
      <c r="A123" s="2">
        <f>WORKDAY.INTL(A122,1,,'Don''t Change'!$A$2:$A$7)</f>
        <v>46286</v>
      </c>
      <c r="B123">
        <f t="shared" si="2"/>
        <v>39</v>
      </c>
      <c r="C123" t="str">
        <f t="shared" si="3"/>
        <v>September</v>
      </c>
      <c r="D123" s="11">
        <v>0</v>
      </c>
      <c r="F123" s="11">
        <v>0</v>
      </c>
      <c r="R123" s="11">
        <f>+SUM(I123:J123)/Weights!$B$3</f>
        <v>0</v>
      </c>
      <c r="S123" s="11">
        <f>+SUM(L123:M123)/Weights!$B$4</f>
        <v>0</v>
      </c>
    </row>
    <row r="124" spans="1:19" x14ac:dyDescent="0.35">
      <c r="A124" s="2">
        <f>WORKDAY.INTL(A123,1,,'Don''t Change'!$A$2:$A$7)</f>
        <v>46287</v>
      </c>
      <c r="B124">
        <f t="shared" si="2"/>
        <v>39</v>
      </c>
      <c r="C124" t="str">
        <f t="shared" si="3"/>
        <v>September</v>
      </c>
      <c r="D124" s="11">
        <v>0</v>
      </c>
      <c r="F124" s="11">
        <v>0</v>
      </c>
      <c r="R124" s="11">
        <f>+SUM(I124:J124)/Weights!$B$3</f>
        <v>0</v>
      </c>
      <c r="S124" s="11">
        <f>+SUM(L124:M124)/Weights!$B$4</f>
        <v>0</v>
      </c>
    </row>
    <row r="125" spans="1:19" x14ac:dyDescent="0.35">
      <c r="A125" s="2">
        <f>WORKDAY.INTL(A124,1,,'Don''t Change'!$A$2:$A$7)</f>
        <v>46288</v>
      </c>
      <c r="B125">
        <f t="shared" si="2"/>
        <v>39</v>
      </c>
      <c r="C125" t="str">
        <f t="shared" si="3"/>
        <v>September</v>
      </c>
      <c r="D125" s="11">
        <v>0</v>
      </c>
      <c r="F125" s="11">
        <v>0</v>
      </c>
      <c r="R125" s="11">
        <f>+SUM(I125:J125)/Weights!$B$3</f>
        <v>0</v>
      </c>
      <c r="S125" s="11">
        <f>+SUM(L125:M125)/Weights!$B$4</f>
        <v>0</v>
      </c>
    </row>
    <row r="126" spans="1:19" x14ac:dyDescent="0.35">
      <c r="A126" s="2">
        <f>WORKDAY.INTL(A125,1,,'Don''t Change'!$A$2:$A$7)</f>
        <v>46289</v>
      </c>
      <c r="B126">
        <f t="shared" si="2"/>
        <v>39</v>
      </c>
      <c r="C126" t="str">
        <f t="shared" si="3"/>
        <v>September</v>
      </c>
      <c r="D126" s="11">
        <v>0</v>
      </c>
      <c r="F126" s="11">
        <v>0</v>
      </c>
      <c r="R126" s="11">
        <f>+SUM(I126:J126)/Weights!$B$3</f>
        <v>0</v>
      </c>
      <c r="S126" s="11">
        <f>+SUM(L126:M126)/Weights!$B$4</f>
        <v>0</v>
      </c>
    </row>
    <row r="127" spans="1:19" x14ac:dyDescent="0.35">
      <c r="A127" s="2">
        <f>WORKDAY.INTL(A126,1,,'Don''t Change'!$A$2:$A$7)</f>
        <v>46290</v>
      </c>
      <c r="B127">
        <f t="shared" si="2"/>
        <v>39</v>
      </c>
      <c r="C127" t="str">
        <f t="shared" si="3"/>
        <v>September</v>
      </c>
      <c r="D127" s="11">
        <v>0</v>
      </c>
      <c r="F127" s="11">
        <v>0</v>
      </c>
      <c r="R127" s="11">
        <f>+SUM(I127:J127)/Weights!$B$3</f>
        <v>0</v>
      </c>
      <c r="S127" s="11">
        <f>+SUM(L127:M127)/Weights!$B$4</f>
        <v>0</v>
      </c>
    </row>
    <row r="128" spans="1:19" x14ac:dyDescent="0.35">
      <c r="A128" s="2">
        <f>WORKDAY.INTL(A127,1,,'Don''t Change'!$A$2:$A$7)</f>
        <v>46293</v>
      </c>
      <c r="B128">
        <f t="shared" si="2"/>
        <v>40</v>
      </c>
      <c r="C128" t="str">
        <f t="shared" si="3"/>
        <v>September</v>
      </c>
      <c r="D128" s="11">
        <v>0</v>
      </c>
      <c r="F128" s="11">
        <v>0</v>
      </c>
      <c r="R128" s="11">
        <f>+SUM(I128:J128)/Weights!$B$3</f>
        <v>0</v>
      </c>
      <c r="S128" s="11">
        <f>+SUM(L128:M128)/Weights!$B$4</f>
        <v>0</v>
      </c>
    </row>
    <row r="129" spans="1:19" x14ac:dyDescent="0.35">
      <c r="A129" s="2">
        <f>WORKDAY.INTL(A128,1,,'Don''t Change'!$A$2:$A$7)</f>
        <v>46294</v>
      </c>
      <c r="B129">
        <f t="shared" si="2"/>
        <v>40</v>
      </c>
      <c r="C129" t="str">
        <f t="shared" si="3"/>
        <v>September</v>
      </c>
      <c r="D129" s="11">
        <v>0</v>
      </c>
      <c r="F129" s="11">
        <v>0</v>
      </c>
      <c r="R129" s="11">
        <f>+SUM(I129:J129)/Weights!$B$3</f>
        <v>0</v>
      </c>
      <c r="S129" s="11">
        <f>+SUM(L129:M129)/Weights!$B$4</f>
        <v>0</v>
      </c>
    </row>
    <row r="130" spans="1:19" x14ac:dyDescent="0.35">
      <c r="A130" s="2">
        <f>WORKDAY.INTL(A129,1,,'Don''t Change'!$A$2:$A$7)</f>
        <v>46295</v>
      </c>
      <c r="B130">
        <f t="shared" si="2"/>
        <v>40</v>
      </c>
      <c r="C130" t="str">
        <f t="shared" si="3"/>
        <v>September</v>
      </c>
      <c r="D130" s="11">
        <v>0</v>
      </c>
      <c r="F130" s="11">
        <v>0</v>
      </c>
      <c r="R130" s="11">
        <f>+SUM(I130:J130)/Weights!$B$3</f>
        <v>0</v>
      </c>
      <c r="S130" s="11">
        <f>+SUM(L130:M130)/Weights!$B$4</f>
        <v>0</v>
      </c>
    </row>
    <row r="131" spans="1:19" x14ac:dyDescent="0.35">
      <c r="A131" s="2">
        <f>WORKDAY.INTL(A130,1,,'Don''t Change'!$A$2:$A$7)</f>
        <v>46296</v>
      </c>
      <c r="B131">
        <f t="shared" si="2"/>
        <v>40</v>
      </c>
      <c r="C131" t="str">
        <f t="shared" si="3"/>
        <v>October</v>
      </c>
      <c r="D131" s="11">
        <v>0</v>
      </c>
      <c r="F131" s="11">
        <v>0</v>
      </c>
      <c r="R131" s="11">
        <f>+SUM(I131:J131)/Weights!$B$3</f>
        <v>0</v>
      </c>
      <c r="S131" s="11">
        <f>+SUM(L131:M131)/Weights!$B$4</f>
        <v>0</v>
      </c>
    </row>
    <row r="132" spans="1:19" x14ac:dyDescent="0.35">
      <c r="A132" s="2">
        <f>WORKDAY.INTL(A131,1,,'Don''t Change'!$A$2:$A$7)</f>
        <v>46297</v>
      </c>
      <c r="B132">
        <f t="shared" si="2"/>
        <v>40</v>
      </c>
      <c r="C132" t="str">
        <f t="shared" si="3"/>
        <v>October</v>
      </c>
      <c r="D132" s="11">
        <v>0</v>
      </c>
      <c r="F132" s="11">
        <v>0</v>
      </c>
      <c r="R132" s="11">
        <f>+SUM(I132:J132)/Weights!$B$3</f>
        <v>0</v>
      </c>
      <c r="S132" s="11">
        <f>+SUM(L132:M132)/Weights!$B$4</f>
        <v>0</v>
      </c>
    </row>
    <row r="133" spans="1:19" x14ac:dyDescent="0.35">
      <c r="A133" s="2">
        <f>WORKDAY.INTL(A132,1,,'Don''t Change'!$A$2:$A$7)</f>
        <v>46300</v>
      </c>
      <c r="B133">
        <f t="shared" si="2"/>
        <v>41</v>
      </c>
      <c r="C133" t="str">
        <f t="shared" si="3"/>
        <v>October</v>
      </c>
      <c r="D133" s="11">
        <v>0</v>
      </c>
      <c r="F133" s="11">
        <v>0</v>
      </c>
      <c r="R133" s="11">
        <f>+SUM(I133:J133)/Weights!$B$3</f>
        <v>0</v>
      </c>
      <c r="S133" s="11">
        <f>+SUM(L133:M133)/Weights!$B$4</f>
        <v>0</v>
      </c>
    </row>
    <row r="134" spans="1:19" x14ac:dyDescent="0.35">
      <c r="A134" s="2">
        <f>WORKDAY.INTL(A133,1,,'Don''t Change'!$A$2:$A$7)</f>
        <v>46301</v>
      </c>
      <c r="B134">
        <f t="shared" si="2"/>
        <v>41</v>
      </c>
      <c r="C134" t="str">
        <f t="shared" si="3"/>
        <v>October</v>
      </c>
      <c r="D134" s="11">
        <v>0</v>
      </c>
      <c r="F134" s="11">
        <v>0</v>
      </c>
      <c r="R134" s="11">
        <f>+SUM(I134:J134)/Weights!$B$3</f>
        <v>0</v>
      </c>
      <c r="S134" s="11">
        <f>+SUM(L134:M134)/Weights!$B$4</f>
        <v>0</v>
      </c>
    </row>
    <row r="135" spans="1:19" x14ac:dyDescent="0.35">
      <c r="A135" s="2">
        <f>WORKDAY.INTL(A134,1,,'Don''t Change'!$A$2:$A$7)</f>
        <v>46302</v>
      </c>
      <c r="B135">
        <f t="shared" ref="B135:B193" si="4">+WEEKNUM(A135)</f>
        <v>41</v>
      </c>
      <c r="C135" t="str">
        <f t="shared" si="3"/>
        <v>October</v>
      </c>
      <c r="D135" s="11">
        <v>0</v>
      </c>
      <c r="F135" s="11">
        <v>0</v>
      </c>
      <c r="R135" s="11">
        <f>+SUM(I135:J135)/Weights!$B$3</f>
        <v>0</v>
      </c>
      <c r="S135" s="11">
        <f>+SUM(L135:M135)/Weights!$B$4</f>
        <v>0</v>
      </c>
    </row>
    <row r="136" spans="1:19" x14ac:dyDescent="0.35">
      <c r="A136" s="2">
        <f>WORKDAY.INTL(A135,1,,'Don''t Change'!$A$2:$A$7)</f>
        <v>46303</v>
      </c>
      <c r="B136">
        <f t="shared" si="4"/>
        <v>41</v>
      </c>
      <c r="C136" t="str">
        <f t="shared" ref="C136:C193" si="5">+TEXT(A136,"mmmm")</f>
        <v>October</v>
      </c>
      <c r="D136" s="11">
        <v>0</v>
      </c>
      <c r="F136" s="11">
        <v>0</v>
      </c>
      <c r="R136" s="11">
        <f>+SUM(I136:J136)/Weights!$B$3</f>
        <v>0</v>
      </c>
      <c r="S136" s="11">
        <f>+SUM(L136:M136)/Weights!$B$4</f>
        <v>0</v>
      </c>
    </row>
    <row r="137" spans="1:19" x14ac:dyDescent="0.35">
      <c r="A137" s="2">
        <f>WORKDAY.INTL(A136,1,,'Don''t Change'!$A$2:$A$7)</f>
        <v>46304</v>
      </c>
      <c r="B137">
        <f t="shared" si="4"/>
        <v>41</v>
      </c>
      <c r="C137" t="str">
        <f t="shared" si="5"/>
        <v>October</v>
      </c>
      <c r="D137" s="11">
        <v>0</v>
      </c>
      <c r="F137" s="11">
        <v>0</v>
      </c>
      <c r="R137" s="11">
        <f>+SUM(I137:J137)/Weights!$B$3</f>
        <v>0</v>
      </c>
      <c r="S137" s="11">
        <f>+SUM(L137:M137)/Weights!$B$4</f>
        <v>0</v>
      </c>
    </row>
    <row r="138" spans="1:19" x14ac:dyDescent="0.35">
      <c r="A138" s="2">
        <f>WORKDAY.INTL(A137,1,,'Don''t Change'!$A$2:$A$7)</f>
        <v>46307</v>
      </c>
      <c r="B138">
        <f t="shared" si="4"/>
        <v>42</v>
      </c>
      <c r="C138" t="str">
        <f t="shared" si="5"/>
        <v>October</v>
      </c>
      <c r="D138" s="11">
        <v>0</v>
      </c>
      <c r="F138" s="11">
        <v>0</v>
      </c>
      <c r="R138" s="11">
        <f>+SUM(I138:J138)/Weights!$B$3</f>
        <v>0</v>
      </c>
      <c r="S138" s="11">
        <f>+SUM(L138:M138)/Weights!$B$4</f>
        <v>0</v>
      </c>
    </row>
    <row r="139" spans="1:19" x14ac:dyDescent="0.35">
      <c r="A139" s="2">
        <f>WORKDAY.INTL(A138,1,,'Don''t Change'!$A$2:$A$7)</f>
        <v>46308</v>
      </c>
      <c r="B139">
        <f t="shared" si="4"/>
        <v>42</v>
      </c>
      <c r="C139" t="str">
        <f t="shared" si="5"/>
        <v>October</v>
      </c>
      <c r="D139" s="11">
        <v>0</v>
      </c>
      <c r="F139" s="11">
        <v>0</v>
      </c>
      <c r="R139" s="11">
        <f>+SUM(I139:J139)/Weights!$B$3</f>
        <v>0</v>
      </c>
      <c r="S139" s="11">
        <f>+SUM(L139:M139)/Weights!$B$4</f>
        <v>0</v>
      </c>
    </row>
    <row r="140" spans="1:19" x14ac:dyDescent="0.35">
      <c r="A140" s="2">
        <f>WORKDAY.INTL(A139,1,,'Don''t Change'!$A$2:$A$7)</f>
        <v>46309</v>
      </c>
      <c r="B140">
        <f t="shared" si="4"/>
        <v>42</v>
      </c>
      <c r="C140" t="str">
        <f t="shared" si="5"/>
        <v>October</v>
      </c>
      <c r="D140" s="11">
        <v>0</v>
      </c>
      <c r="F140" s="11">
        <v>0</v>
      </c>
      <c r="R140" s="11">
        <f>+SUM(I140:J140)/Weights!$B$3</f>
        <v>0</v>
      </c>
      <c r="S140" s="11">
        <f>+SUM(L140:M140)/Weights!$B$4</f>
        <v>0</v>
      </c>
    </row>
    <row r="141" spans="1:19" x14ac:dyDescent="0.35">
      <c r="A141" s="2">
        <f>WORKDAY.INTL(A140,1,,'Don''t Change'!$A$2:$A$7)</f>
        <v>46310</v>
      </c>
      <c r="B141">
        <f t="shared" si="4"/>
        <v>42</v>
      </c>
      <c r="C141" t="str">
        <f t="shared" si="5"/>
        <v>October</v>
      </c>
      <c r="D141" s="11">
        <v>0</v>
      </c>
      <c r="F141" s="11">
        <v>0</v>
      </c>
      <c r="R141" s="11">
        <f>+SUM(I141:J141)/Weights!$B$3</f>
        <v>0</v>
      </c>
      <c r="S141" s="11">
        <f>+SUM(L141:M141)/Weights!$B$4</f>
        <v>0</v>
      </c>
    </row>
    <row r="142" spans="1:19" x14ac:dyDescent="0.35">
      <c r="A142" s="2">
        <f>WORKDAY.INTL(A141,1,,'Don''t Change'!$A$2:$A$7)</f>
        <v>46311</v>
      </c>
      <c r="B142">
        <f t="shared" si="4"/>
        <v>42</v>
      </c>
      <c r="C142" t="str">
        <f t="shared" si="5"/>
        <v>October</v>
      </c>
      <c r="D142" s="11">
        <v>0</v>
      </c>
      <c r="F142" s="11">
        <v>0</v>
      </c>
      <c r="R142" s="11">
        <f>+SUM(I142:J142)/Weights!$B$3</f>
        <v>0</v>
      </c>
      <c r="S142" s="11">
        <f>+SUM(L142:M142)/Weights!$B$4</f>
        <v>0</v>
      </c>
    </row>
    <row r="143" spans="1:19" x14ac:dyDescent="0.35">
      <c r="A143" s="2">
        <f>WORKDAY.INTL(A142,1,,'Don''t Change'!$A$2:$A$7)</f>
        <v>46314</v>
      </c>
      <c r="B143">
        <f t="shared" si="4"/>
        <v>43</v>
      </c>
      <c r="C143" t="str">
        <f t="shared" si="5"/>
        <v>October</v>
      </c>
      <c r="D143" s="11">
        <v>0</v>
      </c>
      <c r="F143" s="11">
        <v>0</v>
      </c>
      <c r="R143" s="11">
        <f>+SUM(I143:J143)/Weights!$B$3</f>
        <v>0</v>
      </c>
      <c r="S143" s="11">
        <f>+SUM(L143:M143)/Weights!$B$4</f>
        <v>0</v>
      </c>
    </row>
    <row r="144" spans="1:19" x14ac:dyDescent="0.35">
      <c r="A144" s="2">
        <f>WORKDAY.INTL(A143,1,,'Don''t Change'!$A$2:$A$7)</f>
        <v>46315</v>
      </c>
      <c r="B144">
        <f t="shared" si="4"/>
        <v>43</v>
      </c>
      <c r="C144" t="str">
        <f t="shared" si="5"/>
        <v>October</v>
      </c>
      <c r="D144" s="11">
        <v>0</v>
      </c>
      <c r="F144" s="11">
        <v>0</v>
      </c>
      <c r="R144" s="11">
        <f>+SUM(I144:J144)/Weights!$B$3</f>
        <v>0</v>
      </c>
      <c r="S144" s="11">
        <f>+SUM(L144:M144)/Weights!$B$4</f>
        <v>0</v>
      </c>
    </row>
    <row r="145" spans="1:19" x14ac:dyDescent="0.35">
      <c r="A145" s="2">
        <f>WORKDAY.INTL(A144,1,,'Don''t Change'!$A$2:$A$7)</f>
        <v>46316</v>
      </c>
      <c r="B145">
        <f t="shared" si="4"/>
        <v>43</v>
      </c>
      <c r="C145" t="str">
        <f t="shared" si="5"/>
        <v>October</v>
      </c>
      <c r="D145" s="11">
        <v>0</v>
      </c>
      <c r="F145" s="11">
        <v>0</v>
      </c>
      <c r="R145" s="11">
        <f>+SUM(I145:J145)/Weights!$B$3</f>
        <v>0</v>
      </c>
      <c r="S145" s="11">
        <f>+SUM(L145:M145)/Weights!$B$4</f>
        <v>0</v>
      </c>
    </row>
    <row r="146" spans="1:19" x14ac:dyDescent="0.35">
      <c r="A146" s="2">
        <f>WORKDAY.INTL(A145,1,,'Don''t Change'!$A$2:$A$7)</f>
        <v>46317</v>
      </c>
      <c r="B146">
        <f t="shared" si="4"/>
        <v>43</v>
      </c>
      <c r="C146" t="str">
        <f t="shared" si="5"/>
        <v>October</v>
      </c>
      <c r="D146" s="11">
        <v>0</v>
      </c>
      <c r="F146" s="11">
        <v>0</v>
      </c>
      <c r="R146" s="11">
        <f>+SUM(I146:J146)/Weights!$B$3</f>
        <v>0</v>
      </c>
      <c r="S146" s="11">
        <f>+SUM(L146:M146)/Weights!$B$4</f>
        <v>0</v>
      </c>
    </row>
    <row r="147" spans="1:19" x14ac:dyDescent="0.35">
      <c r="A147" s="2">
        <f>WORKDAY.INTL(A146,1,,'Don''t Change'!$A$2:$A$7)</f>
        <v>46318</v>
      </c>
      <c r="B147">
        <f t="shared" si="4"/>
        <v>43</v>
      </c>
      <c r="C147" t="str">
        <f t="shared" si="5"/>
        <v>October</v>
      </c>
      <c r="D147" s="11">
        <v>0</v>
      </c>
      <c r="F147" s="11">
        <v>0</v>
      </c>
      <c r="R147" s="11">
        <f>+SUM(I147:J147)/Weights!$B$3</f>
        <v>0</v>
      </c>
      <c r="S147" s="11">
        <f>+SUM(L147:M147)/Weights!$B$4</f>
        <v>0</v>
      </c>
    </row>
    <row r="148" spans="1:19" x14ac:dyDescent="0.35">
      <c r="A148" s="2">
        <f>WORKDAY.INTL(A147,1,,'Don''t Change'!$A$2:$A$7)</f>
        <v>46321</v>
      </c>
      <c r="B148">
        <f t="shared" si="4"/>
        <v>44</v>
      </c>
      <c r="C148" t="str">
        <f t="shared" si="5"/>
        <v>October</v>
      </c>
      <c r="D148" s="11">
        <v>0</v>
      </c>
      <c r="F148" s="11">
        <v>0</v>
      </c>
      <c r="R148" s="11">
        <f>+SUM(I148:J148)/Weights!$B$3</f>
        <v>0</v>
      </c>
      <c r="S148" s="11">
        <f>+SUM(L148:M148)/Weights!$B$4</f>
        <v>0</v>
      </c>
    </row>
    <row r="149" spans="1:19" x14ac:dyDescent="0.35">
      <c r="A149" s="2">
        <f>WORKDAY.INTL(A148,1,,'Don''t Change'!$A$2:$A$7)</f>
        <v>46322</v>
      </c>
      <c r="B149">
        <f t="shared" si="4"/>
        <v>44</v>
      </c>
      <c r="C149" t="str">
        <f t="shared" si="5"/>
        <v>October</v>
      </c>
      <c r="D149" s="11">
        <v>0</v>
      </c>
      <c r="F149" s="11">
        <v>0</v>
      </c>
      <c r="R149" s="11">
        <f>+SUM(I149:J149)/Weights!$B$3</f>
        <v>0</v>
      </c>
      <c r="S149" s="11">
        <f>+SUM(L149:M149)/Weights!$B$4</f>
        <v>0</v>
      </c>
    </row>
    <row r="150" spans="1:19" x14ac:dyDescent="0.35">
      <c r="A150" s="2">
        <f>WORKDAY.INTL(A149,1,,'Don''t Change'!$A$2:$A$7)</f>
        <v>46323</v>
      </c>
      <c r="B150">
        <f t="shared" si="4"/>
        <v>44</v>
      </c>
      <c r="C150" t="str">
        <f t="shared" si="5"/>
        <v>October</v>
      </c>
      <c r="D150" s="11">
        <v>0</v>
      </c>
      <c r="F150" s="11">
        <v>0</v>
      </c>
      <c r="R150" s="11">
        <f>+SUM(I150:J150)/Weights!$B$3</f>
        <v>0</v>
      </c>
      <c r="S150" s="11">
        <f>+SUM(L150:M150)/Weights!$B$4</f>
        <v>0</v>
      </c>
    </row>
    <row r="151" spans="1:19" x14ac:dyDescent="0.35">
      <c r="A151" s="2">
        <f>WORKDAY.INTL(A150,1,,'Don''t Change'!$A$2:$A$7)</f>
        <v>46324</v>
      </c>
      <c r="B151">
        <f t="shared" si="4"/>
        <v>44</v>
      </c>
      <c r="C151" t="str">
        <f t="shared" si="5"/>
        <v>October</v>
      </c>
      <c r="D151" s="11">
        <v>0</v>
      </c>
      <c r="F151" s="11">
        <v>0</v>
      </c>
      <c r="R151" s="11">
        <f>+SUM(I151:J151)/Weights!$B$3</f>
        <v>0</v>
      </c>
      <c r="S151" s="11">
        <f>+SUM(L151:M151)/Weights!$B$4</f>
        <v>0</v>
      </c>
    </row>
    <row r="152" spans="1:19" x14ac:dyDescent="0.35">
      <c r="A152" s="2">
        <f>WORKDAY.INTL(A151,1,,'Don''t Change'!$A$2:$A$7)</f>
        <v>46325</v>
      </c>
      <c r="B152">
        <f t="shared" si="4"/>
        <v>44</v>
      </c>
      <c r="C152" t="str">
        <f t="shared" si="5"/>
        <v>October</v>
      </c>
      <c r="D152" s="11">
        <v>0</v>
      </c>
      <c r="F152" s="11">
        <v>0</v>
      </c>
      <c r="R152" s="11">
        <f>+SUM(I152:J152)/Weights!$B$3</f>
        <v>0</v>
      </c>
      <c r="S152" s="11">
        <f>+SUM(L152:M152)/Weights!$B$4</f>
        <v>0</v>
      </c>
    </row>
    <row r="153" spans="1:19" x14ac:dyDescent="0.35">
      <c r="A153" s="2">
        <f>WORKDAY.INTL(A152,1,,'Don''t Change'!$A$2:$A$7)</f>
        <v>46328</v>
      </c>
      <c r="B153">
        <f t="shared" si="4"/>
        <v>45</v>
      </c>
      <c r="C153" t="str">
        <f t="shared" si="5"/>
        <v>November</v>
      </c>
      <c r="D153" s="11">
        <v>0</v>
      </c>
      <c r="F153" s="11">
        <v>0</v>
      </c>
      <c r="R153" s="11">
        <f>+SUM(I153:J153)/Weights!$B$3</f>
        <v>0</v>
      </c>
      <c r="S153" s="11">
        <f>+SUM(L153:M153)/Weights!$B$4</f>
        <v>0</v>
      </c>
    </row>
    <row r="154" spans="1:19" x14ac:dyDescent="0.35">
      <c r="A154" s="2">
        <f>WORKDAY.INTL(A153,1,,'Don''t Change'!$A$2:$A$7)</f>
        <v>46329</v>
      </c>
      <c r="B154">
        <f t="shared" si="4"/>
        <v>45</v>
      </c>
      <c r="C154" t="str">
        <f t="shared" si="5"/>
        <v>November</v>
      </c>
      <c r="D154" s="11">
        <v>0</v>
      </c>
      <c r="F154" s="11">
        <v>0</v>
      </c>
      <c r="R154" s="11">
        <f>+SUM(I154:J154)/Weights!$B$3</f>
        <v>0</v>
      </c>
      <c r="S154" s="11">
        <f>+SUM(L154:M154)/Weights!$B$4</f>
        <v>0</v>
      </c>
    </row>
    <row r="155" spans="1:19" x14ac:dyDescent="0.35">
      <c r="A155" s="2">
        <f>WORKDAY.INTL(A154,1,,'Don''t Change'!$A$2:$A$7)</f>
        <v>46330</v>
      </c>
      <c r="B155">
        <f t="shared" si="4"/>
        <v>45</v>
      </c>
      <c r="C155" t="str">
        <f t="shared" si="5"/>
        <v>November</v>
      </c>
      <c r="D155" s="11">
        <v>0</v>
      </c>
      <c r="F155" s="11">
        <v>0</v>
      </c>
      <c r="R155" s="11">
        <f>+SUM(I155:J155)/Weights!$B$3</f>
        <v>0</v>
      </c>
      <c r="S155" s="11">
        <f>+SUM(L155:M155)/Weights!$B$4</f>
        <v>0</v>
      </c>
    </row>
    <row r="156" spans="1:19" x14ac:dyDescent="0.35">
      <c r="A156" s="2">
        <f>WORKDAY.INTL(A155,1,,'Don''t Change'!$A$2:$A$7)</f>
        <v>46331</v>
      </c>
      <c r="B156">
        <f t="shared" si="4"/>
        <v>45</v>
      </c>
      <c r="C156" t="str">
        <f t="shared" si="5"/>
        <v>November</v>
      </c>
      <c r="D156" s="11">
        <v>0</v>
      </c>
      <c r="F156" s="11">
        <v>0</v>
      </c>
      <c r="R156" s="11">
        <f>+SUM(I156:J156)/Weights!$B$3</f>
        <v>0</v>
      </c>
      <c r="S156" s="11">
        <f>+SUM(L156:M156)/Weights!$B$4</f>
        <v>0</v>
      </c>
    </row>
    <row r="157" spans="1:19" x14ac:dyDescent="0.35">
      <c r="A157" s="2">
        <f>WORKDAY.INTL(A156,1,,'Don''t Change'!$A$2:$A$7)</f>
        <v>46332</v>
      </c>
      <c r="B157">
        <f t="shared" si="4"/>
        <v>45</v>
      </c>
      <c r="C157" t="str">
        <f t="shared" si="5"/>
        <v>November</v>
      </c>
      <c r="D157" s="11">
        <v>0</v>
      </c>
      <c r="F157" s="11">
        <v>0</v>
      </c>
      <c r="R157" s="11">
        <f>+SUM(I157:J157)/Weights!$B$3</f>
        <v>0</v>
      </c>
      <c r="S157" s="11">
        <f>+SUM(L157:M157)/Weights!$B$4</f>
        <v>0</v>
      </c>
    </row>
    <row r="158" spans="1:19" x14ac:dyDescent="0.35">
      <c r="A158" s="2">
        <f>WORKDAY.INTL(A157,1,,'Don''t Change'!$A$2:$A$7)</f>
        <v>46335</v>
      </c>
      <c r="B158">
        <f t="shared" si="4"/>
        <v>46</v>
      </c>
      <c r="C158" t="str">
        <f t="shared" si="5"/>
        <v>November</v>
      </c>
      <c r="D158" s="11">
        <v>0</v>
      </c>
      <c r="F158" s="11">
        <v>0</v>
      </c>
      <c r="R158" s="11">
        <f>+SUM(I158:J158)/Weights!$B$3</f>
        <v>0</v>
      </c>
      <c r="S158" s="11">
        <f>+SUM(L158:M158)/Weights!$B$4</f>
        <v>0</v>
      </c>
    </row>
    <row r="159" spans="1:19" x14ac:dyDescent="0.35">
      <c r="A159" s="2">
        <f>WORKDAY.INTL(A158,1,,'Don''t Change'!$A$2:$A$7)</f>
        <v>46336</v>
      </c>
      <c r="B159">
        <f t="shared" si="4"/>
        <v>46</v>
      </c>
      <c r="C159" t="str">
        <f t="shared" si="5"/>
        <v>November</v>
      </c>
      <c r="D159" s="11">
        <v>0</v>
      </c>
      <c r="F159" s="11">
        <v>0</v>
      </c>
      <c r="R159" s="11">
        <f>+SUM(I159:J159)/Weights!$B$3</f>
        <v>0</v>
      </c>
      <c r="S159" s="11">
        <f>+SUM(L159:M159)/Weights!$B$4</f>
        <v>0</v>
      </c>
    </row>
    <row r="160" spans="1:19" x14ac:dyDescent="0.35">
      <c r="A160" s="2">
        <f>WORKDAY.INTL(A159,1,,'Don''t Change'!$A$2:$A$7)</f>
        <v>46337</v>
      </c>
      <c r="B160">
        <f t="shared" si="4"/>
        <v>46</v>
      </c>
      <c r="C160" t="str">
        <f t="shared" si="5"/>
        <v>November</v>
      </c>
      <c r="D160" s="11">
        <v>0</v>
      </c>
      <c r="F160" s="11">
        <v>0</v>
      </c>
      <c r="R160" s="11">
        <f>+SUM(I160:J160)/Weights!$B$3</f>
        <v>0</v>
      </c>
      <c r="S160" s="11">
        <f>+SUM(L160:M160)/Weights!$B$4</f>
        <v>0</v>
      </c>
    </row>
    <row r="161" spans="1:19" x14ac:dyDescent="0.35">
      <c r="A161" s="2">
        <f>WORKDAY.INTL(A160,1,,'Don''t Change'!$A$2:$A$7)</f>
        <v>46338</v>
      </c>
      <c r="B161">
        <f t="shared" si="4"/>
        <v>46</v>
      </c>
      <c r="C161" t="str">
        <f t="shared" si="5"/>
        <v>November</v>
      </c>
      <c r="D161" s="11">
        <v>0</v>
      </c>
      <c r="F161" s="11">
        <v>0</v>
      </c>
      <c r="R161" s="11">
        <f>+SUM(I161:J161)/Weights!$B$3</f>
        <v>0</v>
      </c>
      <c r="S161" s="11">
        <f>+SUM(L161:M161)/Weights!$B$4</f>
        <v>0</v>
      </c>
    </row>
    <row r="162" spans="1:19" x14ac:dyDescent="0.35">
      <c r="A162" s="2">
        <f>WORKDAY.INTL(A161,1,,'Don''t Change'!$A$2:$A$7)</f>
        <v>46339</v>
      </c>
      <c r="B162">
        <f t="shared" si="4"/>
        <v>46</v>
      </c>
      <c r="C162" t="str">
        <f t="shared" si="5"/>
        <v>November</v>
      </c>
      <c r="D162" s="11">
        <v>0</v>
      </c>
      <c r="F162" s="11">
        <v>0</v>
      </c>
      <c r="R162" s="11">
        <f>+SUM(I162:J162)/Weights!$B$3</f>
        <v>0</v>
      </c>
      <c r="S162" s="11">
        <f>+SUM(L162:M162)/Weights!$B$4</f>
        <v>0</v>
      </c>
    </row>
    <row r="163" spans="1:19" x14ac:dyDescent="0.35">
      <c r="A163" s="2">
        <f>WORKDAY.INTL(A162,1,,'Don''t Change'!$A$2:$A$7)</f>
        <v>46342</v>
      </c>
      <c r="B163">
        <f t="shared" si="4"/>
        <v>47</v>
      </c>
      <c r="C163" t="str">
        <f t="shared" si="5"/>
        <v>November</v>
      </c>
      <c r="D163" s="11">
        <v>0</v>
      </c>
      <c r="F163" s="11">
        <v>0</v>
      </c>
      <c r="R163" s="11">
        <f>+SUM(I163:J163)/Weights!$B$3</f>
        <v>0</v>
      </c>
      <c r="S163" s="11">
        <f>+SUM(L163:M163)/Weights!$B$4</f>
        <v>0</v>
      </c>
    </row>
    <row r="164" spans="1:19" x14ac:dyDescent="0.35">
      <c r="A164" s="2">
        <f>WORKDAY.INTL(A163,1,,'Don''t Change'!$A$2:$A$7)</f>
        <v>46343</v>
      </c>
      <c r="B164">
        <f t="shared" si="4"/>
        <v>47</v>
      </c>
      <c r="C164" t="str">
        <f t="shared" si="5"/>
        <v>November</v>
      </c>
      <c r="D164" s="11">
        <v>0</v>
      </c>
      <c r="F164" s="11">
        <v>0</v>
      </c>
      <c r="R164" s="11">
        <f>+SUM(I164:J164)/Weights!$B$3</f>
        <v>0</v>
      </c>
      <c r="S164" s="11">
        <f>+SUM(L164:M164)/Weights!$B$4</f>
        <v>0</v>
      </c>
    </row>
    <row r="165" spans="1:19" x14ac:dyDescent="0.35">
      <c r="A165" s="2">
        <f>WORKDAY.INTL(A164,1,,'Don''t Change'!$A$2:$A$7)</f>
        <v>46344</v>
      </c>
      <c r="B165">
        <f t="shared" si="4"/>
        <v>47</v>
      </c>
      <c r="C165" t="str">
        <f t="shared" si="5"/>
        <v>November</v>
      </c>
      <c r="D165" s="11">
        <v>0</v>
      </c>
      <c r="F165" s="11">
        <v>0</v>
      </c>
      <c r="R165" s="11">
        <f>+SUM(I165:J165)/Weights!$B$3</f>
        <v>0</v>
      </c>
      <c r="S165" s="11">
        <f>+SUM(L165:M165)/Weights!$B$4</f>
        <v>0</v>
      </c>
    </row>
    <row r="166" spans="1:19" x14ac:dyDescent="0.35">
      <c r="A166" s="2">
        <f>WORKDAY.INTL(A165,1,,'Don''t Change'!$A$2:$A$7)</f>
        <v>46345</v>
      </c>
      <c r="B166">
        <f t="shared" si="4"/>
        <v>47</v>
      </c>
      <c r="C166" t="str">
        <f t="shared" si="5"/>
        <v>November</v>
      </c>
      <c r="D166" s="11">
        <v>0</v>
      </c>
      <c r="F166" s="11">
        <v>0</v>
      </c>
      <c r="R166" s="11">
        <f>+SUM(I166:J166)/Weights!$B$3</f>
        <v>0</v>
      </c>
      <c r="S166" s="11">
        <f>+SUM(L166:M166)/Weights!$B$4</f>
        <v>0</v>
      </c>
    </row>
    <row r="167" spans="1:19" x14ac:dyDescent="0.35">
      <c r="A167" s="2">
        <f>WORKDAY.INTL(A166,1,,'Don''t Change'!$A$2:$A$7)</f>
        <v>46346</v>
      </c>
      <c r="B167">
        <f t="shared" si="4"/>
        <v>47</v>
      </c>
      <c r="C167" t="str">
        <f t="shared" si="5"/>
        <v>November</v>
      </c>
      <c r="D167" s="11">
        <v>0</v>
      </c>
      <c r="F167" s="11">
        <v>0</v>
      </c>
      <c r="R167" s="11">
        <f>+SUM(I167:J167)/Weights!$B$3</f>
        <v>0</v>
      </c>
      <c r="S167" s="11">
        <f>+SUM(L167:M167)/Weights!$B$4</f>
        <v>0</v>
      </c>
    </row>
    <row r="168" spans="1:19" x14ac:dyDescent="0.35">
      <c r="A168" s="2">
        <f>WORKDAY.INTL(A167,1,,'Don''t Change'!$A$2:$A$7)</f>
        <v>46349</v>
      </c>
      <c r="B168">
        <f t="shared" si="4"/>
        <v>48</v>
      </c>
      <c r="C168" t="str">
        <f t="shared" si="5"/>
        <v>November</v>
      </c>
      <c r="D168" s="11">
        <v>0</v>
      </c>
      <c r="F168" s="11">
        <v>0</v>
      </c>
      <c r="R168" s="11">
        <f>+SUM(I168:J168)/Weights!$B$3</f>
        <v>0</v>
      </c>
      <c r="S168" s="11">
        <f>+SUM(L168:M168)/Weights!$B$4</f>
        <v>0</v>
      </c>
    </row>
    <row r="169" spans="1:19" x14ac:dyDescent="0.35">
      <c r="A169" s="2">
        <f>WORKDAY.INTL(A168,1,,'Don''t Change'!$A$2:$A$7)</f>
        <v>46350</v>
      </c>
      <c r="B169">
        <f t="shared" si="4"/>
        <v>48</v>
      </c>
      <c r="C169" t="str">
        <f t="shared" si="5"/>
        <v>November</v>
      </c>
      <c r="D169" s="11">
        <v>0</v>
      </c>
      <c r="F169" s="11">
        <v>0</v>
      </c>
      <c r="R169" s="11">
        <f>+SUM(I169:J169)/Weights!$B$3</f>
        <v>0</v>
      </c>
      <c r="S169" s="11">
        <f>+SUM(L169:M169)/Weights!$B$4</f>
        <v>0</v>
      </c>
    </row>
    <row r="170" spans="1:19" x14ac:dyDescent="0.35">
      <c r="A170" s="2">
        <f>WORKDAY.INTL(A169,1,,'Don''t Change'!$A$2:$A$7)</f>
        <v>46351</v>
      </c>
      <c r="B170">
        <f t="shared" si="4"/>
        <v>48</v>
      </c>
      <c r="C170" t="str">
        <f t="shared" si="5"/>
        <v>November</v>
      </c>
      <c r="D170" s="11">
        <v>0</v>
      </c>
      <c r="F170" s="11">
        <v>0</v>
      </c>
      <c r="R170" s="11">
        <f>+SUM(I170:J170)/Weights!$B$3</f>
        <v>0</v>
      </c>
      <c r="S170" s="11">
        <f>+SUM(L170:M170)/Weights!$B$4</f>
        <v>0</v>
      </c>
    </row>
    <row r="171" spans="1:19" x14ac:dyDescent="0.35">
      <c r="A171" s="2">
        <f>WORKDAY.INTL(A170,1,,'Don''t Change'!$A$2:$A$7)</f>
        <v>46356</v>
      </c>
      <c r="B171">
        <f t="shared" si="4"/>
        <v>49</v>
      </c>
      <c r="C171" t="str">
        <f t="shared" si="5"/>
        <v>November</v>
      </c>
      <c r="D171" s="11">
        <v>0</v>
      </c>
      <c r="F171" s="11">
        <v>0</v>
      </c>
      <c r="R171" s="11">
        <f>+SUM(I171:J171)/Weights!$B$3</f>
        <v>0</v>
      </c>
      <c r="S171" s="11">
        <f>+SUM(L171:M171)/Weights!$B$4</f>
        <v>0</v>
      </c>
    </row>
    <row r="172" spans="1:19" x14ac:dyDescent="0.35">
      <c r="A172" s="2">
        <f>WORKDAY.INTL(A171,1,,'Don''t Change'!$A$2:$A$7)</f>
        <v>46357</v>
      </c>
      <c r="B172">
        <f t="shared" si="4"/>
        <v>49</v>
      </c>
      <c r="C172" t="str">
        <f t="shared" si="5"/>
        <v>December</v>
      </c>
      <c r="D172" s="11">
        <v>0</v>
      </c>
      <c r="F172" s="11">
        <v>0</v>
      </c>
      <c r="R172" s="11">
        <f>+SUM(I172:J172)/Weights!$B$3</f>
        <v>0</v>
      </c>
      <c r="S172" s="11">
        <f>+SUM(L172:M172)/Weights!$B$4</f>
        <v>0</v>
      </c>
    </row>
    <row r="173" spans="1:19" x14ac:dyDescent="0.35">
      <c r="A173" s="2">
        <f>WORKDAY.INTL(A172,1,,'Don''t Change'!$A$2:$A$7)</f>
        <v>46358</v>
      </c>
      <c r="B173">
        <f t="shared" si="4"/>
        <v>49</v>
      </c>
      <c r="C173" t="str">
        <f t="shared" si="5"/>
        <v>December</v>
      </c>
      <c r="D173" s="11">
        <v>0</v>
      </c>
      <c r="F173" s="11">
        <v>0</v>
      </c>
      <c r="R173" s="11">
        <f>+SUM(I173:J173)/Weights!$B$3</f>
        <v>0</v>
      </c>
      <c r="S173" s="11">
        <f>+SUM(L173:M173)/Weights!$B$4</f>
        <v>0</v>
      </c>
    </row>
    <row r="174" spans="1:19" x14ac:dyDescent="0.35">
      <c r="A174" s="2">
        <f>WORKDAY.INTL(A173,1,,'Don''t Change'!$A$2:$A$7)</f>
        <v>46359</v>
      </c>
      <c r="B174">
        <f t="shared" si="4"/>
        <v>49</v>
      </c>
      <c r="C174" t="str">
        <f t="shared" si="5"/>
        <v>December</v>
      </c>
      <c r="D174" s="11">
        <v>0</v>
      </c>
      <c r="F174" s="11">
        <v>0</v>
      </c>
      <c r="R174" s="11">
        <f>+SUM(I174:J174)/Weights!$B$3</f>
        <v>0</v>
      </c>
      <c r="S174" s="11">
        <f>+SUM(L174:M174)/Weights!$B$4</f>
        <v>0</v>
      </c>
    </row>
    <row r="175" spans="1:19" x14ac:dyDescent="0.35">
      <c r="A175" s="2">
        <f>WORKDAY.INTL(A174,1,,'Don''t Change'!$A$2:$A$7)</f>
        <v>46360</v>
      </c>
      <c r="B175">
        <f t="shared" si="4"/>
        <v>49</v>
      </c>
      <c r="C175" t="str">
        <f t="shared" si="5"/>
        <v>December</v>
      </c>
      <c r="D175" s="11">
        <v>0</v>
      </c>
      <c r="F175" s="11">
        <v>0</v>
      </c>
      <c r="R175" s="11">
        <f>+SUM(I175:J175)/Weights!$B$3</f>
        <v>0</v>
      </c>
      <c r="S175" s="11">
        <f>+SUM(L175:M175)/Weights!$B$4</f>
        <v>0</v>
      </c>
    </row>
    <row r="176" spans="1:19" x14ac:dyDescent="0.35">
      <c r="A176" s="2">
        <f>WORKDAY.INTL(A175,1,,'Don''t Change'!$A$2:$A$7)</f>
        <v>46363</v>
      </c>
      <c r="B176">
        <f t="shared" si="4"/>
        <v>50</v>
      </c>
      <c r="C176" t="str">
        <f t="shared" si="5"/>
        <v>December</v>
      </c>
      <c r="D176" s="11">
        <v>0</v>
      </c>
      <c r="F176" s="11">
        <v>0</v>
      </c>
      <c r="R176" s="11">
        <f>+SUM(I176:J176)/Weights!$B$3</f>
        <v>0</v>
      </c>
      <c r="S176" s="11">
        <f>+SUM(L176:M176)/Weights!$B$4</f>
        <v>0</v>
      </c>
    </row>
    <row r="177" spans="1:19" x14ac:dyDescent="0.35">
      <c r="A177" s="2">
        <f>WORKDAY.INTL(A176,1,,'Don''t Change'!$A$2:$A$7)</f>
        <v>46364</v>
      </c>
      <c r="B177">
        <f t="shared" si="4"/>
        <v>50</v>
      </c>
      <c r="C177" t="str">
        <f t="shared" si="5"/>
        <v>December</v>
      </c>
      <c r="D177" s="11">
        <v>0</v>
      </c>
      <c r="F177" s="11">
        <v>0</v>
      </c>
      <c r="R177" s="11">
        <f>+SUM(I177:J177)/Weights!$B$3</f>
        <v>0</v>
      </c>
      <c r="S177" s="11">
        <f>+SUM(L177:M177)/Weights!$B$4</f>
        <v>0</v>
      </c>
    </row>
    <row r="178" spans="1:19" x14ac:dyDescent="0.35">
      <c r="A178" s="2">
        <f>WORKDAY.INTL(A177,1,,'Don''t Change'!$A$2:$A$7)</f>
        <v>46365</v>
      </c>
      <c r="B178">
        <f t="shared" si="4"/>
        <v>50</v>
      </c>
      <c r="C178" t="str">
        <f t="shared" si="5"/>
        <v>December</v>
      </c>
      <c r="D178" s="11">
        <v>0</v>
      </c>
      <c r="F178" s="11">
        <v>0</v>
      </c>
      <c r="R178" s="11">
        <f>+SUM(I178:J178)/Weights!$B$3</f>
        <v>0</v>
      </c>
      <c r="S178" s="11">
        <f>+SUM(L178:M178)/Weights!$B$4</f>
        <v>0</v>
      </c>
    </row>
    <row r="179" spans="1:19" x14ac:dyDescent="0.35">
      <c r="A179" s="2">
        <f>WORKDAY.INTL(A178,1,,'Don''t Change'!$A$2:$A$7)</f>
        <v>46366</v>
      </c>
      <c r="B179">
        <f t="shared" si="4"/>
        <v>50</v>
      </c>
      <c r="C179" t="str">
        <f t="shared" si="5"/>
        <v>December</v>
      </c>
      <c r="D179" s="11">
        <v>0</v>
      </c>
      <c r="F179" s="11">
        <v>0</v>
      </c>
      <c r="R179" s="11">
        <f>+SUM(I179:J179)/Weights!$B$3</f>
        <v>0</v>
      </c>
      <c r="S179" s="11">
        <f>+SUM(L179:M179)/Weights!$B$4</f>
        <v>0</v>
      </c>
    </row>
    <row r="180" spans="1:19" x14ac:dyDescent="0.35">
      <c r="A180" s="2">
        <f>WORKDAY.INTL(A179,1,,'Don''t Change'!$A$2:$A$7)</f>
        <v>46367</v>
      </c>
      <c r="B180">
        <f t="shared" si="4"/>
        <v>50</v>
      </c>
      <c r="C180" t="str">
        <f t="shared" si="5"/>
        <v>December</v>
      </c>
      <c r="D180" s="11">
        <v>0</v>
      </c>
      <c r="F180" s="11">
        <v>0</v>
      </c>
      <c r="R180" s="11">
        <f>+SUM(I180:J180)/Weights!$B$3</f>
        <v>0</v>
      </c>
      <c r="S180" s="11">
        <f>+SUM(L180:M180)/Weights!$B$4</f>
        <v>0</v>
      </c>
    </row>
    <row r="181" spans="1:19" x14ac:dyDescent="0.35">
      <c r="A181" s="2">
        <f>WORKDAY.INTL(A180,1,,'Don''t Change'!$A$2:$A$7)</f>
        <v>46370</v>
      </c>
      <c r="B181">
        <f t="shared" si="4"/>
        <v>51</v>
      </c>
      <c r="C181" t="str">
        <f t="shared" si="5"/>
        <v>December</v>
      </c>
      <c r="D181" s="11">
        <v>0</v>
      </c>
      <c r="F181" s="11">
        <v>0</v>
      </c>
      <c r="R181" s="11">
        <f>+SUM(I181:J181)/Weights!$B$3</f>
        <v>0</v>
      </c>
      <c r="S181" s="11">
        <f>+SUM(L181:M181)/Weights!$B$4</f>
        <v>0</v>
      </c>
    </row>
    <row r="182" spans="1:19" x14ac:dyDescent="0.35">
      <c r="A182" s="2">
        <f>WORKDAY.INTL(A181,1,,'Don''t Change'!$A$2:$A$7)</f>
        <v>46371</v>
      </c>
      <c r="B182">
        <f t="shared" si="4"/>
        <v>51</v>
      </c>
      <c r="C182" t="str">
        <f t="shared" si="5"/>
        <v>December</v>
      </c>
      <c r="D182" s="11">
        <v>0</v>
      </c>
      <c r="F182" s="11">
        <v>0</v>
      </c>
      <c r="R182" s="11">
        <f>+SUM(I182:J182)/Weights!$B$3</f>
        <v>0</v>
      </c>
      <c r="S182" s="11">
        <f>+SUM(L182:M182)/Weights!$B$4</f>
        <v>0</v>
      </c>
    </row>
    <row r="183" spans="1:19" x14ac:dyDescent="0.35">
      <c r="A183" s="2">
        <f>WORKDAY.INTL(A182,1,,'Don''t Change'!$A$2:$A$7)</f>
        <v>46372</v>
      </c>
      <c r="B183">
        <f t="shared" si="4"/>
        <v>51</v>
      </c>
      <c r="C183" t="str">
        <f t="shared" si="5"/>
        <v>December</v>
      </c>
      <c r="D183" s="11">
        <v>0</v>
      </c>
      <c r="F183" s="11">
        <v>0</v>
      </c>
      <c r="R183" s="11">
        <f>+SUM(I183:J183)/Weights!$B$3</f>
        <v>0</v>
      </c>
      <c r="S183" s="11">
        <f>+SUM(L183:M183)/Weights!$B$4</f>
        <v>0</v>
      </c>
    </row>
    <row r="184" spans="1:19" x14ac:dyDescent="0.35">
      <c r="A184" s="2">
        <f>WORKDAY.INTL(A183,1,,'Don''t Change'!$A$2:$A$7)</f>
        <v>46373</v>
      </c>
      <c r="B184">
        <f t="shared" si="4"/>
        <v>51</v>
      </c>
      <c r="C184" t="str">
        <f t="shared" si="5"/>
        <v>December</v>
      </c>
      <c r="D184" s="11">
        <v>0</v>
      </c>
      <c r="F184" s="11">
        <v>0</v>
      </c>
      <c r="R184" s="11">
        <f>+SUM(I184:J184)/Weights!$B$3</f>
        <v>0</v>
      </c>
      <c r="S184" s="11">
        <f>+SUM(L184:M184)/Weights!$B$4</f>
        <v>0</v>
      </c>
    </row>
    <row r="185" spans="1:19" x14ac:dyDescent="0.35">
      <c r="A185" s="2">
        <f>WORKDAY.INTL(A184,1,,'Don''t Change'!$A$2:$A$7)</f>
        <v>46374</v>
      </c>
      <c r="B185">
        <f t="shared" si="4"/>
        <v>51</v>
      </c>
      <c r="C185" t="str">
        <f t="shared" si="5"/>
        <v>December</v>
      </c>
      <c r="D185" s="11">
        <v>0</v>
      </c>
      <c r="F185" s="11">
        <v>0</v>
      </c>
      <c r="R185" s="11">
        <f>+SUM(I185:J185)/Weights!$B$3</f>
        <v>0</v>
      </c>
      <c r="S185" s="11">
        <f>+SUM(L185:M185)/Weights!$B$4</f>
        <v>0</v>
      </c>
    </row>
    <row r="186" spans="1:19" x14ac:dyDescent="0.35">
      <c r="A186" s="2">
        <f>WORKDAY.INTL(A185,1,,'Don''t Change'!$A$2:$A$7)</f>
        <v>46377</v>
      </c>
      <c r="B186">
        <f t="shared" si="4"/>
        <v>52</v>
      </c>
      <c r="C186" t="str">
        <f t="shared" si="5"/>
        <v>December</v>
      </c>
      <c r="D186" s="11">
        <v>0</v>
      </c>
      <c r="F186" s="11">
        <v>0</v>
      </c>
      <c r="R186" s="11">
        <f>+SUM(I186:J186)/Weights!$B$3</f>
        <v>0</v>
      </c>
      <c r="S186" s="11">
        <f>+SUM(L186:M186)/Weights!$B$4</f>
        <v>0</v>
      </c>
    </row>
    <row r="187" spans="1:19" x14ac:dyDescent="0.35">
      <c r="A187" s="2">
        <f>WORKDAY.INTL(A186,1,,'Don''t Change'!$A$2:$A$7)</f>
        <v>46378</v>
      </c>
      <c r="B187">
        <f t="shared" si="4"/>
        <v>52</v>
      </c>
      <c r="C187" t="str">
        <f t="shared" si="5"/>
        <v>December</v>
      </c>
      <c r="D187" s="11">
        <v>0</v>
      </c>
      <c r="F187" s="11">
        <v>0</v>
      </c>
      <c r="R187" s="11">
        <f>+SUM(I187:J187)/Weights!$B$3</f>
        <v>0</v>
      </c>
      <c r="S187" s="11">
        <f>+SUM(L187:M187)/Weights!$B$4</f>
        <v>0</v>
      </c>
    </row>
    <row r="188" spans="1:19" x14ac:dyDescent="0.35">
      <c r="A188" s="2">
        <f>WORKDAY.INTL(A187,1,,'Don''t Change'!$A$2:$A$7)</f>
        <v>46379</v>
      </c>
      <c r="B188">
        <f t="shared" si="4"/>
        <v>52</v>
      </c>
      <c r="C188" t="str">
        <f t="shared" si="5"/>
        <v>December</v>
      </c>
      <c r="D188" s="11">
        <v>0</v>
      </c>
      <c r="F188" s="11">
        <v>0</v>
      </c>
      <c r="R188" s="11">
        <f>+SUM(I188:J188)/Weights!$B$3</f>
        <v>0</v>
      </c>
      <c r="S188" s="11">
        <f>+SUM(L188:M188)/Weights!$B$4</f>
        <v>0</v>
      </c>
    </row>
    <row r="189" spans="1:19" x14ac:dyDescent="0.35">
      <c r="A189" s="2">
        <f>WORKDAY.INTL(A188,1,,'Don''t Change'!$A$2:$A$7)</f>
        <v>46381</v>
      </c>
      <c r="B189">
        <f t="shared" si="4"/>
        <v>52</v>
      </c>
      <c r="C189" t="str">
        <f t="shared" si="5"/>
        <v>December</v>
      </c>
      <c r="D189" s="11">
        <v>0</v>
      </c>
      <c r="F189" s="11">
        <v>0</v>
      </c>
      <c r="R189" s="11">
        <f>+SUM(I189:J189)/Weights!$B$3</f>
        <v>0</v>
      </c>
      <c r="S189" s="11">
        <f>+SUM(L189:M189)/Weights!$B$4</f>
        <v>0</v>
      </c>
    </row>
    <row r="190" spans="1:19" x14ac:dyDescent="0.35">
      <c r="A190" s="2">
        <f>WORKDAY.INTL(A189,1,,'Don''t Change'!$A$2:$A$7)</f>
        <v>46384</v>
      </c>
      <c r="B190">
        <f t="shared" si="4"/>
        <v>53</v>
      </c>
      <c r="C190" t="str">
        <f t="shared" si="5"/>
        <v>December</v>
      </c>
      <c r="D190" s="11">
        <v>0</v>
      </c>
      <c r="F190" s="11">
        <v>0</v>
      </c>
      <c r="R190" s="11">
        <f>+SUM(I190:J190)/Weights!$B$3</f>
        <v>0</v>
      </c>
      <c r="S190" s="11">
        <f>+SUM(L190:M190)/Weights!$B$4</f>
        <v>0</v>
      </c>
    </row>
    <row r="191" spans="1:19" x14ac:dyDescent="0.35">
      <c r="A191" s="2">
        <f>WORKDAY.INTL(A190,1,,'Don''t Change'!$A$2:$A$7)</f>
        <v>46385</v>
      </c>
      <c r="B191">
        <f t="shared" si="4"/>
        <v>53</v>
      </c>
      <c r="C191" t="str">
        <f t="shared" si="5"/>
        <v>December</v>
      </c>
      <c r="D191" s="11">
        <v>0</v>
      </c>
      <c r="F191" s="11">
        <v>0</v>
      </c>
      <c r="R191" s="11">
        <f>+SUM(I191:J191)/Weights!$B$3</f>
        <v>0</v>
      </c>
      <c r="S191" s="11">
        <f>+SUM(L191:M191)/Weights!$B$4</f>
        <v>0</v>
      </c>
    </row>
    <row r="192" spans="1:19" x14ac:dyDescent="0.35">
      <c r="A192" s="2">
        <f>WORKDAY.INTL(A191,1,,'Don''t Change'!$A$2:$A$7)</f>
        <v>46386</v>
      </c>
      <c r="B192">
        <f t="shared" si="4"/>
        <v>53</v>
      </c>
      <c r="C192" t="str">
        <f t="shared" si="5"/>
        <v>December</v>
      </c>
      <c r="D192" s="11">
        <v>0</v>
      </c>
      <c r="F192" s="11">
        <v>0</v>
      </c>
      <c r="R192" s="11">
        <f>+SUM(I192:J192)/Weights!$B$3</f>
        <v>0</v>
      </c>
      <c r="S192" s="11">
        <f>+SUM(L192:M192)/Weights!$B$4</f>
        <v>0</v>
      </c>
    </row>
    <row r="193" spans="1:19" x14ac:dyDescent="0.35">
      <c r="A193" s="2">
        <f>WORKDAY.INTL(A192,1,,'Don''t Change'!$A$2:$A$7)</f>
        <v>46387</v>
      </c>
      <c r="B193">
        <f t="shared" si="4"/>
        <v>53</v>
      </c>
      <c r="C193" t="str">
        <f t="shared" si="5"/>
        <v>December</v>
      </c>
      <c r="D193" s="11">
        <v>0</v>
      </c>
      <c r="F193" s="11">
        <v>0</v>
      </c>
      <c r="R193" s="11">
        <f>+SUM(I193:J193)/Weights!$B$3</f>
        <v>0</v>
      </c>
      <c r="S193" s="11">
        <f>+SUM(L193:M193)/Weights!$B$4</f>
        <v>0</v>
      </c>
    </row>
    <row r="194" spans="1:19" x14ac:dyDescent="0.35">
      <c r="A194" s="2"/>
    </row>
    <row r="195" spans="1:19" x14ac:dyDescent="0.35">
      <c r="A195" s="2"/>
    </row>
    <row r="196" spans="1:19" x14ac:dyDescent="0.35">
      <c r="A196" s="2"/>
    </row>
    <row r="197" spans="1:19" x14ac:dyDescent="0.35">
      <c r="A197" s="2"/>
    </row>
    <row r="198" spans="1:19" x14ac:dyDescent="0.35">
      <c r="A198" s="2"/>
    </row>
    <row r="199" spans="1:19" x14ac:dyDescent="0.35">
      <c r="A199" s="2"/>
    </row>
  </sheetData>
  <mergeCells count="3">
    <mergeCell ref="I1:J1"/>
    <mergeCell ref="O1:P1"/>
    <mergeCell ref="L1:M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CA3F2-20EC-44AB-8E20-8DE941664A60}">
  <sheetPr>
    <tabColor rgb="FF92D050"/>
  </sheetPr>
  <dimension ref="A1:Y258"/>
  <sheetViews>
    <sheetView zoomScale="80" zoomScaleNormal="80" workbookViewId="0">
      <pane xSplit="1" ySplit="1" topLeftCell="B74" activePane="bottomRight" state="frozen"/>
      <selection pane="topRight" activeCell="B1" sqref="B1"/>
      <selection pane="bottomLeft" activeCell="A2" sqref="A2"/>
      <selection pane="bottomRight" activeCell="I100" sqref="I100"/>
    </sheetView>
  </sheetViews>
  <sheetFormatPr defaultRowHeight="14.5" x14ac:dyDescent="0.35"/>
  <cols>
    <col min="1" max="1" width="10.7265625" style="5" customWidth="1"/>
    <col min="2" max="2" width="7.81640625" style="6" bestFit="1" customWidth="1"/>
    <col min="3" max="4" width="9.08984375" style="6" customWidth="1"/>
    <col min="5" max="5" width="13.81640625" style="7" customWidth="1"/>
    <col min="6" max="6" width="13.81640625" style="9" customWidth="1"/>
    <col min="7" max="7" width="13.81640625" style="8" customWidth="1"/>
    <col min="8" max="8" width="13.81640625" style="9" customWidth="1"/>
    <col min="9" max="9" width="14.453125" style="67" bestFit="1" customWidth="1"/>
    <col min="10" max="10" width="15.6328125" style="9" bestFit="1" customWidth="1"/>
    <col min="11" max="11" width="5" style="21" customWidth="1"/>
    <col min="12" max="15" width="13.81640625" style="69" customWidth="1"/>
    <col min="17" max="17" width="15" bestFit="1" customWidth="1"/>
    <col min="18" max="18" width="10.1796875" bestFit="1" customWidth="1"/>
    <col min="19" max="19" width="11.453125" style="11" bestFit="1" customWidth="1"/>
    <col min="20" max="20" width="10.453125" style="11" bestFit="1" customWidth="1"/>
    <col min="24" max="24" width="11.81640625" bestFit="1" customWidth="1"/>
    <col min="25" max="25" width="11.453125" bestFit="1" customWidth="1"/>
  </cols>
  <sheetData>
    <row r="1" spans="1:23" ht="59.5" customHeight="1" thickBot="1" x14ac:dyDescent="0.45">
      <c r="A1" s="23" t="s">
        <v>1</v>
      </c>
      <c r="B1" s="23" t="s">
        <v>18</v>
      </c>
      <c r="C1" s="23" t="s">
        <v>41</v>
      </c>
      <c r="D1" s="23" t="s">
        <v>179</v>
      </c>
      <c r="E1" s="23" t="s">
        <v>32</v>
      </c>
      <c r="F1" s="23" t="s">
        <v>12</v>
      </c>
      <c r="G1" s="23" t="s">
        <v>38</v>
      </c>
      <c r="H1" s="23" t="s">
        <v>39</v>
      </c>
      <c r="I1" s="65" t="s">
        <v>169</v>
      </c>
      <c r="J1" s="23" t="s">
        <v>22</v>
      </c>
      <c r="K1" s="19"/>
      <c r="L1" s="65" t="s">
        <v>166</v>
      </c>
      <c r="M1" s="65" t="s">
        <v>167</v>
      </c>
      <c r="N1" s="65" t="s">
        <v>34</v>
      </c>
      <c r="O1" s="65" t="s">
        <v>161</v>
      </c>
      <c r="P1" s="81"/>
      <c r="Q1" s="84" t="s">
        <v>172</v>
      </c>
      <c r="R1" s="80"/>
      <c r="S1" s="85"/>
    </row>
    <row r="2" spans="1:23" x14ac:dyDescent="0.35">
      <c r="A2" s="4">
        <f>+'Raw Data - Production'!A7</f>
        <v>46111</v>
      </c>
      <c r="B2" s="6">
        <f t="shared" ref="B2:B49" si="0">+WEEKNUM(A2)</f>
        <v>14</v>
      </c>
      <c r="C2" s="6" t="str">
        <f>+TEXT(A2,"mmmm")</f>
        <v>March</v>
      </c>
      <c r="D2" s="6" t="s">
        <v>158</v>
      </c>
      <c r="E2" s="14">
        <f>+'Raw Data - Production'!D7+'Raw Data - Production'!E7+'Raw Data - Production'!F7</f>
        <v>34860</v>
      </c>
      <c r="F2" s="15">
        <f>+'Raw Data - Production'!G7+'Raw Data - Production'!H7+'Raw Data - Production'!I7</f>
        <v>0</v>
      </c>
      <c r="G2" s="16">
        <f>+'Raw Data - Production'!K7+'Raw Data - Production'!L7+'Raw Data - Packing'!I7</f>
        <v>0</v>
      </c>
      <c r="H2" s="15">
        <f>+'Raw Data - Production'!N7+'Raw Data - Production'!O7+'Raw Data - Production'!P7+'Raw Data - Packing'!L7</f>
        <v>0</v>
      </c>
      <c r="I2" s="66">
        <f>SUMIF('Raw Data - Packing'!A:A,A2,'Raw Data - Packing'!D:D)</f>
        <v>34860</v>
      </c>
      <c r="J2" s="15">
        <f>SUMIF('Raw Data - Packing'!A:A,A2,'Raw Data - Packing'!F:F)</f>
        <v>0</v>
      </c>
      <c r="K2" s="20"/>
      <c r="L2" s="68"/>
      <c r="M2" s="68"/>
      <c r="N2" s="68">
        <f>+E2*Weights!$B$2</f>
        <v>2205.984375</v>
      </c>
      <c r="O2" s="68">
        <f>+F2*Weights!$B$4</f>
        <v>0</v>
      </c>
      <c r="Q2" s="83">
        <f>I2+J2</f>
        <v>34860</v>
      </c>
      <c r="R2">
        <v>14</v>
      </c>
      <c r="S2" s="11">
        <f>SUMIF(B:B,R2,Q:Q)</f>
        <v>155040</v>
      </c>
    </row>
    <row r="3" spans="1:23" x14ac:dyDescent="0.35">
      <c r="A3" s="4">
        <f>+'Raw Data - Production'!A8</f>
        <v>46112</v>
      </c>
      <c r="B3" s="6">
        <f t="shared" si="0"/>
        <v>14</v>
      </c>
      <c r="C3" s="6" t="str">
        <f t="shared" ref="C3:C66" si="1">+TEXT(A3,"mmmm")</f>
        <v>March</v>
      </c>
      <c r="D3" s="6" t="s">
        <v>158</v>
      </c>
      <c r="E3" s="14">
        <f>+'Raw Data - Production'!D8+'Raw Data - Production'!E8+'Raw Data - Production'!F8</f>
        <v>33480</v>
      </c>
      <c r="F3" s="15">
        <f>+'Raw Data - Production'!G8+'Raw Data - Production'!H8+'Raw Data - Production'!I8</f>
        <v>0</v>
      </c>
      <c r="G3" s="16">
        <f>+'Raw Data - Production'!K8+'Raw Data - Production'!L8+'Raw Data - Packing'!I8</f>
        <v>0</v>
      </c>
      <c r="H3" s="15">
        <f>+'Raw Data - Production'!N8+'Raw Data - Production'!O8+'Raw Data - Production'!P8+'Raw Data - Packing'!L8</f>
        <v>0</v>
      </c>
      <c r="I3" s="66">
        <f>SUMIF('Raw Data - Packing'!A:A,A3,'Raw Data - Packing'!D:D)</f>
        <v>33480</v>
      </c>
      <c r="J3" s="15">
        <f>SUMIF('Raw Data - Packing'!A:A,A3,'Raw Data - Packing'!F:F)</f>
        <v>0</v>
      </c>
      <c r="K3" s="20"/>
      <c r="L3" s="68"/>
      <c r="M3" s="68"/>
      <c r="N3" s="68">
        <f>+E3*Weights!$B$2</f>
        <v>2118.65625</v>
      </c>
      <c r="O3" s="68">
        <f>+F3*Weights!$B$4</f>
        <v>0</v>
      </c>
      <c r="Q3" s="83">
        <f t="shared" ref="Q3:Q66" si="2">I3+J3</f>
        <v>33480</v>
      </c>
      <c r="R3">
        <v>15</v>
      </c>
      <c r="S3" s="11">
        <f t="shared" ref="S3:S17" si="3">SUMIF(B:B,R3,Q:Q)</f>
        <v>171840</v>
      </c>
    </row>
    <row r="4" spans="1:23" x14ac:dyDescent="0.35">
      <c r="A4" s="4">
        <f>+'Raw Data - Production'!A9</f>
        <v>46113</v>
      </c>
      <c r="B4" s="6">
        <f t="shared" si="0"/>
        <v>14</v>
      </c>
      <c r="C4" s="6" t="str">
        <f t="shared" si="1"/>
        <v>April</v>
      </c>
      <c r="D4" s="6" t="s">
        <v>158</v>
      </c>
      <c r="E4" s="14">
        <f>+'Raw Data - Production'!D9+'Raw Data - Production'!E9+'Raw Data - Production'!F9</f>
        <v>52620</v>
      </c>
      <c r="F4" s="15">
        <f>+'Raw Data - Production'!G9+'Raw Data - Production'!H9+'Raw Data - Production'!I9</f>
        <v>0</v>
      </c>
      <c r="G4" s="16">
        <f>+'Raw Data - Production'!K9+'Raw Data - Production'!L9+'Raw Data - Packing'!I9</f>
        <v>0</v>
      </c>
      <c r="H4" s="15">
        <f>+'Raw Data - Production'!N9+'Raw Data - Production'!O9+'Raw Data - Production'!P9+'Raw Data - Packing'!L9</f>
        <v>0</v>
      </c>
      <c r="I4" s="66">
        <f>SUMIF('Raw Data - Packing'!A:A,A4,'Raw Data - Packing'!D:D)</f>
        <v>52620</v>
      </c>
      <c r="J4" s="15">
        <f>SUMIF('Raw Data - Packing'!A:A,A4,'Raw Data - Packing'!F:F)</f>
        <v>0</v>
      </c>
      <c r="K4" s="20"/>
      <c r="L4" s="68"/>
      <c r="M4" s="68"/>
      <c r="N4" s="68">
        <f>+E4*Weights!$B$2</f>
        <v>3329.859375</v>
      </c>
      <c r="O4" s="68">
        <f>+F4*Weights!$B$4</f>
        <v>0</v>
      </c>
      <c r="Q4" s="83">
        <f t="shared" si="2"/>
        <v>52620</v>
      </c>
      <c r="R4">
        <v>16</v>
      </c>
      <c r="S4" s="11">
        <f t="shared" si="3"/>
        <v>189960</v>
      </c>
    </row>
    <row r="5" spans="1:23" x14ac:dyDescent="0.35">
      <c r="A5" s="4">
        <f>+'Raw Data - Production'!A10</f>
        <v>46114</v>
      </c>
      <c r="B5" s="6">
        <f t="shared" si="0"/>
        <v>14</v>
      </c>
      <c r="C5" s="6" t="str">
        <f t="shared" si="1"/>
        <v>April</v>
      </c>
      <c r="D5" s="6" t="s">
        <v>158</v>
      </c>
      <c r="E5" s="14">
        <f>+'Raw Data - Production'!D10+'Raw Data - Production'!E10+'Raw Data - Production'!F10</f>
        <v>34080</v>
      </c>
      <c r="F5" s="15">
        <f>+'Raw Data - Production'!G10+'Raw Data - Production'!H10+'Raw Data - Production'!I10</f>
        <v>0</v>
      </c>
      <c r="G5" s="16">
        <f>+'Raw Data - Production'!K10+'Raw Data - Production'!L10+'Raw Data - Packing'!I10</f>
        <v>0</v>
      </c>
      <c r="H5" s="15">
        <f>+'Raw Data - Production'!N10+'Raw Data - Production'!O10+'Raw Data - Production'!P10+'Raw Data - Packing'!L10</f>
        <v>0</v>
      </c>
      <c r="I5" s="66">
        <f>SUMIF('Raw Data - Packing'!A:A,A5,'Raw Data - Packing'!D:D)</f>
        <v>34080</v>
      </c>
      <c r="J5" s="15">
        <f>SUMIF('Raw Data - Packing'!A:A,A5,'Raw Data - Packing'!F:F)</f>
        <v>0</v>
      </c>
      <c r="K5" s="20"/>
      <c r="L5" s="68"/>
      <c r="M5" s="68"/>
      <c r="N5" s="68">
        <f>+E5*Weights!$B$2</f>
        <v>2156.625</v>
      </c>
      <c r="O5" s="68">
        <f>+F5*Weights!$B$4</f>
        <v>0</v>
      </c>
      <c r="Q5" s="83">
        <f t="shared" si="2"/>
        <v>34080</v>
      </c>
      <c r="R5">
        <v>17</v>
      </c>
      <c r="S5" s="11">
        <f t="shared" si="3"/>
        <v>246840</v>
      </c>
    </row>
    <row r="6" spans="1:23" x14ac:dyDescent="0.35">
      <c r="A6" s="4">
        <f>+'Raw Data - Production'!A11</f>
        <v>46118</v>
      </c>
      <c r="B6" s="6">
        <f t="shared" si="0"/>
        <v>15</v>
      </c>
      <c r="C6" s="6" t="str">
        <f t="shared" si="1"/>
        <v>April</v>
      </c>
      <c r="D6" s="6" t="s">
        <v>158</v>
      </c>
      <c r="E6" s="14">
        <f>+'Raw Data - Production'!D11+'Raw Data - Production'!E11+'Raw Data - Production'!F11</f>
        <v>32220</v>
      </c>
      <c r="F6" s="15">
        <f>+'Raw Data - Production'!G11+'Raw Data - Production'!H11+'Raw Data - Production'!I11</f>
        <v>0</v>
      </c>
      <c r="G6" s="16">
        <f>+'Raw Data - Production'!K11+'Raw Data - Production'!L11+'Raw Data - Packing'!I11</f>
        <v>0</v>
      </c>
      <c r="H6" s="15">
        <f>+'Raw Data - Production'!N11+'Raw Data - Production'!O11+'Raw Data - Production'!P11+'Raw Data - Packing'!L11</f>
        <v>0</v>
      </c>
      <c r="I6" s="66">
        <f>SUMIF('Raw Data - Packing'!A:A,A6,'Raw Data - Packing'!D:D)</f>
        <v>32220</v>
      </c>
      <c r="J6" s="15">
        <f>SUMIF('Raw Data - Packing'!A:A,A6,'Raw Data - Packing'!F:F)</f>
        <v>0</v>
      </c>
      <c r="K6" s="20"/>
      <c r="L6" s="68"/>
      <c r="M6" s="68"/>
      <c r="N6" s="68">
        <f>+E6*Weights!$B$2</f>
        <v>2038.921875</v>
      </c>
      <c r="O6" s="68">
        <f>+F6*Weights!$B$4</f>
        <v>0</v>
      </c>
      <c r="Q6" s="83">
        <f t="shared" si="2"/>
        <v>32220</v>
      </c>
      <c r="R6">
        <v>18</v>
      </c>
      <c r="S6" s="11">
        <f t="shared" si="3"/>
        <v>232710</v>
      </c>
    </row>
    <row r="7" spans="1:23" x14ac:dyDescent="0.35">
      <c r="A7" s="4">
        <f>+'Raw Data - Production'!A12</f>
        <v>46119</v>
      </c>
      <c r="B7" s="6">
        <f t="shared" si="0"/>
        <v>15</v>
      </c>
      <c r="C7" s="6" t="str">
        <f t="shared" si="1"/>
        <v>April</v>
      </c>
      <c r="D7" s="6" t="s">
        <v>158</v>
      </c>
      <c r="E7" s="14">
        <f>+'Raw Data - Production'!D12+'Raw Data - Production'!E12+'Raw Data - Production'!F12</f>
        <v>46380</v>
      </c>
      <c r="F7" s="15">
        <f>+'Raw Data - Production'!G12+'Raw Data - Production'!H12+'Raw Data - Production'!I12</f>
        <v>0</v>
      </c>
      <c r="G7" s="16">
        <f>+'Raw Data - Production'!K12+'Raw Data - Production'!L12+'Raw Data - Packing'!I12</f>
        <v>0</v>
      </c>
      <c r="H7" s="15">
        <f>+'Raw Data - Production'!N12+'Raw Data - Production'!O12+'Raw Data - Production'!P12+'Raw Data - Packing'!L12</f>
        <v>0</v>
      </c>
      <c r="I7" s="66">
        <f>SUMIF('Raw Data - Packing'!A:A,A7,'Raw Data - Packing'!D:D)</f>
        <v>46380</v>
      </c>
      <c r="J7" s="15">
        <f>SUMIF('Raw Data - Packing'!A:A,A7,'Raw Data - Packing'!F:F)</f>
        <v>0</v>
      </c>
      <c r="K7" s="20"/>
      <c r="L7" s="68"/>
      <c r="M7" s="68"/>
      <c r="N7" s="68">
        <f>+E7*Weights!$B$2</f>
        <v>2934.984375</v>
      </c>
      <c r="O7" s="68">
        <f>+F7*Weights!$B$4</f>
        <v>0</v>
      </c>
      <c r="Q7" s="83">
        <f t="shared" si="2"/>
        <v>46380</v>
      </c>
      <c r="R7">
        <v>19</v>
      </c>
      <c r="S7" s="11">
        <f t="shared" si="3"/>
        <v>235500</v>
      </c>
    </row>
    <row r="8" spans="1:23" x14ac:dyDescent="0.35">
      <c r="A8" s="4">
        <f>+'Raw Data - Production'!A13</f>
        <v>46120</v>
      </c>
      <c r="B8" s="6">
        <f t="shared" si="0"/>
        <v>15</v>
      </c>
      <c r="C8" s="6" t="str">
        <f t="shared" si="1"/>
        <v>April</v>
      </c>
      <c r="D8" s="6" t="s">
        <v>158</v>
      </c>
      <c r="E8" s="14">
        <f>+'Raw Data - Production'!D13+'Raw Data - Production'!E13+'Raw Data - Production'!F13</f>
        <v>47220</v>
      </c>
      <c r="F8" s="15">
        <f>+'Raw Data - Production'!G13+'Raw Data - Production'!H13+'Raw Data - Production'!I13</f>
        <v>0</v>
      </c>
      <c r="G8" s="16">
        <f>+'Raw Data - Production'!K13+'Raw Data - Production'!L13+'Raw Data - Packing'!I13</f>
        <v>0</v>
      </c>
      <c r="H8" s="15">
        <f>+'Raw Data - Production'!N13+'Raw Data - Production'!O13+'Raw Data - Production'!P13+'Raw Data - Packing'!L13</f>
        <v>0</v>
      </c>
      <c r="I8" s="66">
        <f>SUMIF('Raw Data - Packing'!A:A,A8,'Raw Data - Packing'!D:D)</f>
        <v>47220</v>
      </c>
      <c r="J8" s="15">
        <f>SUMIF('Raw Data - Packing'!A:A,A8,'Raw Data - Packing'!F:F)</f>
        <v>0</v>
      </c>
      <c r="K8" s="20"/>
      <c r="L8" s="68"/>
      <c r="M8" s="68"/>
      <c r="N8" s="68">
        <f>+E8*Weights!$B$2</f>
        <v>2988.140625</v>
      </c>
      <c r="O8" s="68">
        <f>+F8*Weights!$B$4</f>
        <v>0</v>
      </c>
      <c r="Q8" s="83">
        <f t="shared" si="2"/>
        <v>47220</v>
      </c>
      <c r="R8">
        <v>20</v>
      </c>
      <c r="S8" s="11">
        <f t="shared" si="3"/>
        <v>229320</v>
      </c>
    </row>
    <row r="9" spans="1:23" x14ac:dyDescent="0.35">
      <c r="A9" s="4">
        <f>+'Raw Data - Production'!A14</f>
        <v>46121</v>
      </c>
      <c r="B9" s="6">
        <f t="shared" si="0"/>
        <v>15</v>
      </c>
      <c r="C9" s="6" t="str">
        <f t="shared" si="1"/>
        <v>April</v>
      </c>
      <c r="D9" s="6" t="s">
        <v>158</v>
      </c>
      <c r="E9" s="14">
        <f>+'Raw Data - Production'!D14+'Raw Data - Production'!E14+'Raw Data - Production'!F14</f>
        <v>46020</v>
      </c>
      <c r="F9" s="15">
        <f>+'Raw Data - Production'!G14+'Raw Data - Production'!H14+'Raw Data - Production'!I14</f>
        <v>0</v>
      </c>
      <c r="G9" s="16">
        <f>+'Raw Data - Production'!K14+'Raw Data - Production'!L14+'Raw Data - Packing'!I14</f>
        <v>0</v>
      </c>
      <c r="H9" s="15">
        <f>+'Raw Data - Production'!N14+'Raw Data - Production'!O14+'Raw Data - Production'!P14+'Raw Data - Packing'!L14</f>
        <v>0</v>
      </c>
      <c r="I9" s="66">
        <f>SUMIF('Raw Data - Packing'!A:A,A9,'Raw Data - Packing'!D:D)</f>
        <v>46020</v>
      </c>
      <c r="J9" s="15">
        <f>SUMIF('Raw Data - Packing'!A:A,A9,'Raw Data - Packing'!F:F)</f>
        <v>0</v>
      </c>
      <c r="K9" s="20"/>
      <c r="L9" s="68"/>
      <c r="M9" s="68"/>
      <c r="N9" s="68">
        <f>+E9*Weights!$B$2</f>
        <v>2912.203125</v>
      </c>
      <c r="O9" s="68">
        <f>+F9*Weights!$B$4</f>
        <v>0</v>
      </c>
      <c r="Q9" s="83">
        <f t="shared" si="2"/>
        <v>46020</v>
      </c>
      <c r="R9">
        <v>21</v>
      </c>
      <c r="S9" s="11">
        <f t="shared" si="3"/>
        <v>183464</v>
      </c>
    </row>
    <row r="10" spans="1:23" x14ac:dyDescent="0.35">
      <c r="A10" s="4">
        <f>+'Raw Data - Production'!A15</f>
        <v>46125</v>
      </c>
      <c r="B10" s="6">
        <f t="shared" si="0"/>
        <v>16</v>
      </c>
      <c r="C10" s="6" t="str">
        <f t="shared" si="1"/>
        <v>April</v>
      </c>
      <c r="D10" s="6" t="s">
        <v>158</v>
      </c>
      <c r="E10" s="14">
        <f>+'Raw Data - Production'!D15+'Raw Data - Production'!E15+'Raw Data - Production'!F15</f>
        <v>42240</v>
      </c>
      <c r="F10" s="15">
        <f>+'Raw Data - Production'!G15+'Raw Data - Production'!H15+'Raw Data - Production'!I15</f>
        <v>0</v>
      </c>
      <c r="G10" s="16">
        <f>+'Raw Data - Production'!K15+'Raw Data - Production'!L15+'Raw Data - Packing'!I15</f>
        <v>0</v>
      </c>
      <c r="H10" s="15">
        <f>+'Raw Data - Production'!N15+'Raw Data - Production'!O15+'Raw Data - Production'!P15+'Raw Data - Packing'!L15</f>
        <v>0</v>
      </c>
      <c r="I10" s="66">
        <f>SUMIF('Raw Data - Packing'!A:A,A10,'Raw Data - Packing'!D:D)</f>
        <v>42240</v>
      </c>
      <c r="J10" s="15">
        <f>SUMIF('Raw Data - Packing'!A:A,A10,'Raw Data - Packing'!F:F)</f>
        <v>0</v>
      </c>
      <c r="K10" s="20"/>
      <c r="L10" s="68"/>
      <c r="M10" s="68"/>
      <c r="N10" s="68">
        <f>+E10*Weights!$B$2</f>
        <v>2673</v>
      </c>
      <c r="O10" s="68">
        <f>+F10*Weights!$B$4</f>
        <v>0</v>
      </c>
      <c r="Q10" s="83">
        <f t="shared" si="2"/>
        <v>42240</v>
      </c>
      <c r="R10">
        <v>22</v>
      </c>
      <c r="S10" s="11">
        <f t="shared" si="3"/>
        <v>187868</v>
      </c>
    </row>
    <row r="11" spans="1:23" x14ac:dyDescent="0.35">
      <c r="A11" s="4">
        <f>+'Raw Data - Production'!A16</f>
        <v>46126</v>
      </c>
      <c r="B11" s="6">
        <f t="shared" si="0"/>
        <v>16</v>
      </c>
      <c r="C11" s="6" t="str">
        <f t="shared" si="1"/>
        <v>April</v>
      </c>
      <c r="D11" s="6" t="s">
        <v>158</v>
      </c>
      <c r="E11" s="14">
        <f>+'Raw Data - Production'!D16+'Raw Data - Production'!E16+'Raw Data - Production'!F16</f>
        <v>57960</v>
      </c>
      <c r="F11" s="15">
        <f>+'Raw Data - Production'!G16+'Raw Data - Production'!H16+'Raw Data - Production'!I16</f>
        <v>0</v>
      </c>
      <c r="G11" s="16">
        <f>+'Raw Data - Production'!K16+'Raw Data - Production'!L16+'Raw Data - Packing'!I16</f>
        <v>190</v>
      </c>
      <c r="H11" s="15">
        <f>+'Raw Data - Production'!N16+'Raw Data - Production'!O16+'Raw Data - Production'!P16+'Raw Data - Packing'!L16</f>
        <v>0</v>
      </c>
      <c r="I11" s="66">
        <f>SUMIF('Raw Data - Packing'!A:A,A11,'Raw Data - Packing'!D:D)</f>
        <v>57960</v>
      </c>
      <c r="J11" s="15">
        <f>SUMIF('Raw Data - Packing'!A:A,A11,'Raw Data - Packing'!F:F)</f>
        <v>0</v>
      </c>
      <c r="K11" s="20"/>
      <c r="L11" s="68"/>
      <c r="M11" s="68"/>
      <c r="N11" s="68">
        <f>+E11*Weights!$B$2</f>
        <v>3667.78125</v>
      </c>
      <c r="O11" s="68">
        <f>+F11*Weights!$B$4</f>
        <v>0</v>
      </c>
      <c r="Q11" s="83">
        <f t="shared" si="2"/>
        <v>57960</v>
      </c>
      <c r="R11">
        <v>23</v>
      </c>
      <c r="S11" s="11">
        <f t="shared" si="3"/>
        <v>313946</v>
      </c>
    </row>
    <row r="12" spans="1:23" x14ac:dyDescent="0.35">
      <c r="A12" s="4">
        <f>+'Raw Data - Production'!A17</f>
        <v>46127</v>
      </c>
      <c r="B12" s="6">
        <f t="shared" si="0"/>
        <v>16</v>
      </c>
      <c r="C12" s="6" t="str">
        <f t="shared" si="1"/>
        <v>April</v>
      </c>
      <c r="D12" s="6" t="s">
        <v>158</v>
      </c>
      <c r="E12" s="14">
        <f>+'Raw Data - Production'!D17+'Raw Data - Production'!E17+'Raw Data - Production'!F17</f>
        <v>54960</v>
      </c>
      <c r="F12" s="15">
        <f>+'Raw Data - Production'!G17+'Raw Data - Production'!H17+'Raw Data - Production'!I17</f>
        <v>0</v>
      </c>
      <c r="G12" s="16">
        <f>+'Raw Data - Production'!K17+'Raw Data - Production'!L17+'Raw Data - Packing'!I17</f>
        <v>1516</v>
      </c>
      <c r="H12" s="15">
        <f>+'Raw Data - Production'!N17+'Raw Data - Production'!O17+'Raw Data - Production'!P17+'Raw Data - Packing'!L17</f>
        <v>0</v>
      </c>
      <c r="I12" s="66">
        <f>SUMIF('Raw Data - Packing'!A:A,A12,'Raw Data - Packing'!D:D)</f>
        <v>54960</v>
      </c>
      <c r="J12" s="15">
        <f>SUMIF('Raw Data - Packing'!A:A,A12,'Raw Data - Packing'!F:F)</f>
        <v>0</v>
      </c>
      <c r="K12" s="20"/>
      <c r="L12" s="68"/>
      <c r="M12" s="68"/>
      <c r="N12" s="68">
        <f>+E12*Weights!$B$2</f>
        <v>3477.9375</v>
      </c>
      <c r="O12" s="68">
        <f>+F12*Weights!$B$4</f>
        <v>0</v>
      </c>
      <c r="Q12" s="83">
        <f t="shared" si="2"/>
        <v>54960</v>
      </c>
      <c r="R12">
        <v>24</v>
      </c>
      <c r="S12" s="11">
        <f t="shared" si="3"/>
        <v>211948</v>
      </c>
    </row>
    <row r="13" spans="1:23" x14ac:dyDescent="0.35">
      <c r="A13" s="4">
        <f>+'Raw Data - Production'!A18</f>
        <v>46128</v>
      </c>
      <c r="B13" s="6">
        <f t="shared" si="0"/>
        <v>16</v>
      </c>
      <c r="C13" s="6" t="str">
        <f t="shared" si="1"/>
        <v>April</v>
      </c>
      <c r="D13" s="6" t="s">
        <v>158</v>
      </c>
      <c r="E13" s="14">
        <f>+'Raw Data - Production'!D18+'Raw Data - Production'!E18+'Raw Data - Production'!F18</f>
        <v>34800</v>
      </c>
      <c r="F13" s="15">
        <f>+'Raw Data - Production'!G18+'Raw Data - Production'!H18+'Raw Data - Production'!I18</f>
        <v>0</v>
      </c>
      <c r="G13" s="16">
        <f>+'Raw Data - Production'!K18+'Raw Data - Production'!L18+'Raw Data - Packing'!I18</f>
        <v>0</v>
      </c>
      <c r="H13" s="15">
        <f>+'Raw Data - Production'!N18+'Raw Data - Production'!O18+'Raw Data - Production'!P18+'Raw Data - Packing'!L18</f>
        <v>0</v>
      </c>
      <c r="I13" s="66">
        <f>SUMIF('Raw Data - Packing'!A:A,A13,'Raw Data - Packing'!D:D)</f>
        <v>34800</v>
      </c>
      <c r="J13" s="15">
        <f>SUMIF('Raw Data - Packing'!A:A,A13,'Raw Data - Packing'!F:F)</f>
        <v>0</v>
      </c>
      <c r="K13" s="20"/>
      <c r="L13" s="68"/>
      <c r="M13" s="68"/>
      <c r="N13" s="68">
        <f>+E13*Weights!$B$2</f>
        <v>2202.1875</v>
      </c>
      <c r="O13" s="68">
        <f>+F13*Weights!$B$4</f>
        <v>0</v>
      </c>
      <c r="Q13" s="83">
        <f t="shared" si="2"/>
        <v>34800</v>
      </c>
      <c r="R13">
        <v>25</v>
      </c>
      <c r="S13" s="11">
        <f t="shared" si="3"/>
        <v>319554</v>
      </c>
    </row>
    <row r="14" spans="1:23" x14ac:dyDescent="0.35">
      <c r="A14" s="4">
        <f>+'Raw Data - Production'!A19</f>
        <v>46132</v>
      </c>
      <c r="B14" s="6">
        <f t="shared" si="0"/>
        <v>17</v>
      </c>
      <c r="C14" s="6" t="str">
        <f t="shared" si="1"/>
        <v>April</v>
      </c>
      <c r="D14" s="6" t="s">
        <v>158</v>
      </c>
      <c r="E14" s="14">
        <f>+'Raw Data - Production'!D19+'Raw Data - Production'!E19+'Raw Data - Production'!F19</f>
        <v>56280</v>
      </c>
      <c r="F14" s="15">
        <f>+'Raw Data - Production'!G19+'Raw Data - Production'!H19+'Raw Data - Production'!I19</f>
        <v>0</v>
      </c>
      <c r="G14" s="16">
        <f>+'Raw Data - Production'!K19+'Raw Data - Production'!L19+'Raw Data - Packing'!I19</f>
        <v>338</v>
      </c>
      <c r="H14" s="15">
        <f>+'Raw Data - Production'!N19+'Raw Data - Production'!O19+'Raw Data - Production'!P19+'Raw Data - Packing'!L19</f>
        <v>0</v>
      </c>
      <c r="I14" s="66">
        <f>SUMIF('Raw Data - Packing'!A:A,A14,'Raw Data - Packing'!D:D)</f>
        <v>56280</v>
      </c>
      <c r="J14" s="15">
        <f>SUMIF('Raw Data - Packing'!A:A,A14,'Raw Data - Packing'!F:F)</f>
        <v>0</v>
      </c>
      <c r="K14" s="20"/>
      <c r="L14" s="68"/>
      <c r="M14" s="68"/>
      <c r="N14" s="68">
        <f>+E14*Weights!$B$2</f>
        <v>3561.46875</v>
      </c>
      <c r="O14" s="68">
        <f>+F14*Weights!$B$4</f>
        <v>0</v>
      </c>
      <c r="Q14" s="83">
        <f t="shared" si="2"/>
        <v>56280</v>
      </c>
      <c r="R14">
        <v>26</v>
      </c>
      <c r="S14" s="11">
        <f t="shared" si="3"/>
        <v>331544</v>
      </c>
      <c r="W14">
        <v>33000</v>
      </c>
    </row>
    <row r="15" spans="1:23" x14ac:dyDescent="0.35">
      <c r="A15" s="4">
        <f>+'Raw Data - Production'!A20</f>
        <v>46133</v>
      </c>
      <c r="B15" s="6">
        <f t="shared" si="0"/>
        <v>17</v>
      </c>
      <c r="C15" s="6" t="str">
        <f t="shared" si="1"/>
        <v>April</v>
      </c>
      <c r="D15" s="6" t="s">
        <v>158</v>
      </c>
      <c r="E15" s="14">
        <f>+'Raw Data - Production'!D20+'Raw Data - Production'!E20+'Raw Data - Production'!F20</f>
        <v>52680</v>
      </c>
      <c r="F15" s="15">
        <f>+'Raw Data - Production'!G20+'Raw Data - Production'!H20+'Raw Data - Production'!I20</f>
        <v>0</v>
      </c>
      <c r="G15" s="16">
        <f>+'Raw Data - Production'!K20+'Raw Data - Production'!L20+'Raw Data - Packing'!I20</f>
        <v>179</v>
      </c>
      <c r="H15" s="15">
        <f>+'Raw Data - Production'!N20+'Raw Data - Production'!O20+'Raw Data - Production'!P20+'Raw Data - Packing'!L20</f>
        <v>0</v>
      </c>
      <c r="I15" s="66">
        <f>SUMIF('Raw Data - Packing'!A:A,A15,'Raw Data - Packing'!D:D)</f>
        <v>52680</v>
      </c>
      <c r="J15" s="15">
        <f>SUMIF('Raw Data - Packing'!A:A,A15,'Raw Data - Packing'!F:F)</f>
        <v>0</v>
      </c>
      <c r="K15" s="20"/>
      <c r="L15" s="68"/>
      <c r="M15" s="68"/>
      <c r="N15" s="68">
        <f>+E15*Weights!$B$2</f>
        <v>3333.65625</v>
      </c>
      <c r="O15" s="68">
        <f>+F15*Weights!$B$4</f>
        <v>0</v>
      </c>
      <c r="Q15" s="83">
        <f t="shared" si="2"/>
        <v>52680</v>
      </c>
      <c r="R15">
        <v>27</v>
      </c>
      <c r="S15" s="11">
        <f t="shared" si="3"/>
        <v>367664</v>
      </c>
      <c r="W15">
        <v>100</v>
      </c>
    </row>
    <row r="16" spans="1:23" x14ac:dyDescent="0.35">
      <c r="A16" s="4">
        <f>+'Raw Data - Production'!A21</f>
        <v>46134</v>
      </c>
      <c r="B16" s="6">
        <f t="shared" si="0"/>
        <v>17</v>
      </c>
      <c r="C16" s="6" t="str">
        <f t="shared" si="1"/>
        <v>April</v>
      </c>
      <c r="D16" s="6" t="s">
        <v>158</v>
      </c>
      <c r="E16" s="14">
        <f>+'Raw Data - Production'!D21+'Raw Data - Production'!E21+'Raw Data - Production'!F21</f>
        <v>67680</v>
      </c>
      <c r="F16" s="15">
        <f>+'Raw Data - Production'!G21+'Raw Data - Production'!H21+'Raw Data - Production'!I21</f>
        <v>0</v>
      </c>
      <c r="G16" s="16">
        <f>+'Raw Data - Production'!K21+'Raw Data - Production'!L21+'Raw Data - Packing'!I21</f>
        <v>308</v>
      </c>
      <c r="H16" s="15">
        <f>+'Raw Data - Production'!N21+'Raw Data - Production'!O21+'Raw Data - Production'!P21+'Raw Data - Packing'!L21</f>
        <v>0</v>
      </c>
      <c r="I16" s="66">
        <f>SUMIF('Raw Data - Packing'!A:A,A16,'Raw Data - Packing'!D:D)</f>
        <v>67680</v>
      </c>
      <c r="J16" s="15">
        <f>SUMIF('Raw Data - Packing'!A:A,A16,'Raw Data - Packing'!F:F)</f>
        <v>0</v>
      </c>
      <c r="K16" s="20"/>
      <c r="L16" s="68"/>
      <c r="M16" s="68"/>
      <c r="N16" s="68">
        <f>+E16*Weights!$B$2</f>
        <v>4282.875</v>
      </c>
      <c r="O16" s="68">
        <f>+F16*Weights!$B$4</f>
        <v>0</v>
      </c>
      <c r="Q16" s="83">
        <f t="shared" si="2"/>
        <v>67680</v>
      </c>
      <c r="R16">
        <v>28</v>
      </c>
      <c r="S16" s="11">
        <f t="shared" si="3"/>
        <v>203761</v>
      </c>
      <c r="W16">
        <f>+W14/W15</f>
        <v>330</v>
      </c>
    </row>
    <row r="17" spans="1:19" x14ac:dyDescent="0.35">
      <c r="A17" s="4">
        <f>+'Raw Data - Production'!A22</f>
        <v>46135</v>
      </c>
      <c r="B17" s="6">
        <f t="shared" si="0"/>
        <v>17</v>
      </c>
      <c r="C17" s="6" t="str">
        <f t="shared" si="1"/>
        <v>April</v>
      </c>
      <c r="D17" s="6" t="s">
        <v>158</v>
      </c>
      <c r="E17" s="14">
        <f>+'Raw Data - Production'!D22+'Raw Data - Production'!E22+'Raw Data - Production'!F22</f>
        <v>70200</v>
      </c>
      <c r="F17" s="15">
        <f>+'Raw Data - Production'!G22+'Raw Data - Production'!H22+'Raw Data - Production'!I22</f>
        <v>0</v>
      </c>
      <c r="G17" s="16">
        <f>+'Raw Data - Production'!K22+'Raw Data - Production'!L22+'Raw Data - Packing'!I22</f>
        <v>0</v>
      </c>
      <c r="H17" s="15">
        <f>+'Raw Data - Production'!N22+'Raw Data - Production'!O22+'Raw Data - Production'!P22+'Raw Data - Packing'!L22</f>
        <v>0</v>
      </c>
      <c r="I17" s="66">
        <f>SUMIF('Raw Data - Packing'!A:A,A17,'Raw Data - Packing'!D:D)</f>
        <v>70200</v>
      </c>
      <c r="J17" s="15">
        <f>SUMIF('Raw Data - Packing'!A:A,A17,'Raw Data - Packing'!F:F)</f>
        <v>0</v>
      </c>
      <c r="K17" s="20"/>
      <c r="L17" s="68"/>
      <c r="M17" s="68"/>
      <c r="N17" s="68">
        <f>+E17*Weights!$B$2</f>
        <v>4442.34375</v>
      </c>
      <c r="O17" s="68">
        <f>+F17*Weights!$B$4</f>
        <v>0</v>
      </c>
      <c r="Q17" s="83">
        <f t="shared" si="2"/>
        <v>70200</v>
      </c>
      <c r="R17">
        <v>29</v>
      </c>
      <c r="S17" s="11">
        <f t="shared" si="3"/>
        <v>99490</v>
      </c>
    </row>
    <row r="18" spans="1:19" x14ac:dyDescent="0.35">
      <c r="A18" s="4">
        <f>+'Raw Data - Production'!A23</f>
        <v>46139</v>
      </c>
      <c r="B18" s="6">
        <f t="shared" si="0"/>
        <v>18</v>
      </c>
      <c r="C18" s="6" t="str">
        <f t="shared" si="1"/>
        <v>April</v>
      </c>
      <c r="D18" s="6" t="s">
        <v>158</v>
      </c>
      <c r="E18" s="14">
        <f>+'Raw Data - Production'!D23+'Raw Data - Production'!E23+'Raw Data - Production'!F23</f>
        <v>66480</v>
      </c>
      <c r="F18" s="15">
        <f>+'Raw Data - Production'!G23+'Raw Data - Production'!H23+'Raw Data - Production'!I23</f>
        <v>0</v>
      </c>
      <c r="G18" s="16">
        <f>+'Raw Data - Production'!K23+'Raw Data - Production'!L23+'Raw Data - Packing'!I23</f>
        <v>326</v>
      </c>
      <c r="H18" s="15">
        <f>+'Raw Data - Production'!N23+'Raw Data - Production'!O23+'Raw Data - Production'!P23+'Raw Data - Packing'!L23</f>
        <v>0</v>
      </c>
      <c r="I18" s="66">
        <f>SUMIF('Raw Data - Packing'!A:A,A18,'Raw Data - Packing'!D:D)</f>
        <v>66480</v>
      </c>
      <c r="J18" s="15">
        <f>SUMIF('Raw Data - Packing'!A:A,A18,'Raw Data - Packing'!F:F)</f>
        <v>0</v>
      </c>
      <c r="K18" s="20"/>
      <c r="L18" s="68"/>
      <c r="M18" s="68"/>
      <c r="N18" s="68">
        <f>+E18*Weights!$B$2</f>
        <v>4206.9375</v>
      </c>
      <c r="O18" s="68">
        <f>+F18*Weights!$B$4</f>
        <v>0</v>
      </c>
      <c r="Q18" s="83">
        <f t="shared" si="2"/>
        <v>66480</v>
      </c>
    </row>
    <row r="19" spans="1:19" x14ac:dyDescent="0.35">
      <c r="A19" s="4">
        <f>+'Raw Data - Production'!A24</f>
        <v>46140</v>
      </c>
      <c r="B19" s="6">
        <f t="shared" si="0"/>
        <v>18</v>
      </c>
      <c r="C19" s="6" t="str">
        <f t="shared" si="1"/>
        <v>April</v>
      </c>
      <c r="D19" s="6" t="s">
        <v>158</v>
      </c>
      <c r="E19" s="14">
        <f>+'Raw Data - Production'!D24+'Raw Data - Production'!E24+'Raw Data - Production'!F24</f>
        <v>67140</v>
      </c>
      <c r="F19" s="15">
        <f>+'Raw Data - Production'!G24+'Raw Data - Production'!H24+'Raw Data - Production'!I24</f>
        <v>0</v>
      </c>
      <c r="G19" s="16">
        <f>+'Raw Data - Production'!K24+'Raw Data - Production'!L24+'Raw Data - Packing'!I24</f>
        <v>0</v>
      </c>
      <c r="H19" s="15">
        <f>+'Raw Data - Production'!N24+'Raw Data - Production'!O24+'Raw Data - Production'!P24+'Raw Data - Packing'!L24</f>
        <v>0</v>
      </c>
      <c r="I19" s="66">
        <f>SUMIF('Raw Data - Packing'!A:A,A19,'Raw Data - Packing'!D:D)</f>
        <v>0</v>
      </c>
      <c r="J19" s="15">
        <f>SUMIF('Raw Data - Packing'!A:A,A19,'Raw Data - Packing'!F:F)</f>
        <v>0</v>
      </c>
      <c r="K19" s="20"/>
      <c r="L19" s="68"/>
      <c r="M19" s="68"/>
      <c r="N19" s="68">
        <f>+E19*Weights!$B$2</f>
        <v>4248.703125</v>
      </c>
      <c r="O19" s="68">
        <f>+F19*Weights!$B$4</f>
        <v>0</v>
      </c>
      <c r="Q19" s="83">
        <f t="shared" si="2"/>
        <v>0</v>
      </c>
    </row>
    <row r="20" spans="1:19" x14ac:dyDescent="0.35">
      <c r="A20" s="4">
        <f>+'Raw Data - Production'!A25</f>
        <v>46141</v>
      </c>
      <c r="B20" s="6">
        <f t="shared" si="0"/>
        <v>18</v>
      </c>
      <c r="C20" s="6" t="str">
        <f t="shared" si="1"/>
        <v>April</v>
      </c>
      <c r="D20" s="6" t="s">
        <v>158</v>
      </c>
      <c r="E20" s="14">
        <f>+'Raw Data - Production'!D25+'Raw Data - Production'!E25+'Raw Data - Production'!F25</f>
        <v>75960</v>
      </c>
      <c r="F20" s="15">
        <f>+'Raw Data - Production'!G25+'Raw Data - Production'!H25+'Raw Data - Production'!I25</f>
        <v>0</v>
      </c>
      <c r="G20" s="16">
        <f>+'Raw Data - Production'!K25+'Raw Data - Production'!L25+'Raw Data - Packing'!I25</f>
        <v>538.5</v>
      </c>
      <c r="H20" s="15">
        <f>+'Raw Data - Production'!N25+'Raw Data - Production'!O25+'Raw Data - Production'!P25+'Raw Data - Packing'!L25</f>
        <v>0</v>
      </c>
      <c r="I20" s="66">
        <f>SUMIF('Raw Data - Packing'!A:A,A20,'Raw Data - Packing'!D:D)</f>
        <v>75960</v>
      </c>
      <c r="J20" s="15">
        <f>SUMIF('Raw Data - Packing'!A:A,A20,'Raw Data - Packing'!F:F)</f>
        <v>0</v>
      </c>
      <c r="K20" s="20"/>
      <c r="L20" s="68"/>
      <c r="M20" s="68"/>
      <c r="N20" s="68">
        <f>+E20*Weights!$B$2</f>
        <v>4806.84375</v>
      </c>
      <c r="O20" s="68">
        <f>+F20*Weights!$B$4</f>
        <v>0</v>
      </c>
      <c r="Q20" s="83">
        <f t="shared" si="2"/>
        <v>75960</v>
      </c>
    </row>
    <row r="21" spans="1:19" x14ac:dyDescent="0.35">
      <c r="A21" s="4">
        <f>+'Raw Data - Production'!A26</f>
        <v>46142</v>
      </c>
      <c r="B21" s="6">
        <f t="shared" si="0"/>
        <v>18</v>
      </c>
      <c r="C21" s="6" t="str">
        <f t="shared" si="1"/>
        <v>April</v>
      </c>
      <c r="D21" s="6" t="s">
        <v>158</v>
      </c>
      <c r="E21" s="14">
        <f>+'Raw Data - Production'!D26+'Raw Data - Production'!E26+'Raw Data - Production'!F26</f>
        <v>90270</v>
      </c>
      <c r="F21" s="15">
        <f>+'Raw Data - Production'!G26+'Raw Data - Production'!H26+'Raw Data - Production'!I26</f>
        <v>0</v>
      </c>
      <c r="G21" s="16">
        <f>+'Raw Data - Production'!K26+'Raw Data - Production'!L26+'Raw Data - Packing'!I26</f>
        <v>360</v>
      </c>
      <c r="H21" s="15">
        <f>+'Raw Data - Production'!N26+'Raw Data - Production'!O26+'Raw Data - Production'!P26+'Raw Data - Packing'!L26</f>
        <v>0</v>
      </c>
      <c r="I21" s="66">
        <f>SUMIF('Raw Data - Packing'!A:A,A21,'Raw Data - Packing'!D:D)</f>
        <v>90270</v>
      </c>
      <c r="J21" s="15">
        <f>SUMIF('Raw Data - Packing'!A:A,A21,'Raw Data - Packing'!F:F)</f>
        <v>0</v>
      </c>
      <c r="K21" s="20"/>
      <c r="L21" s="68"/>
      <c r="M21" s="68"/>
      <c r="N21" s="68">
        <f>+E21*Weights!$B$2</f>
        <v>5712.3984375</v>
      </c>
      <c r="O21" s="68">
        <f>+F21*Weights!$B$4</f>
        <v>0</v>
      </c>
      <c r="Q21" s="83">
        <f t="shared" si="2"/>
        <v>90270</v>
      </c>
    </row>
    <row r="22" spans="1:19" x14ac:dyDescent="0.35">
      <c r="A22" s="4">
        <f>+'Raw Data - Production'!A27</f>
        <v>46146</v>
      </c>
      <c r="B22" s="6">
        <f t="shared" si="0"/>
        <v>19</v>
      </c>
      <c r="C22" s="6" t="str">
        <f t="shared" si="1"/>
        <v>May</v>
      </c>
      <c r="D22" s="6" t="s">
        <v>159</v>
      </c>
      <c r="E22" s="14">
        <f>+'Raw Data - Production'!D27+'Raw Data - Production'!E27+'Raw Data - Production'!F27</f>
        <v>0</v>
      </c>
      <c r="F22" s="15">
        <f>+'Raw Data - Production'!G27+'Raw Data - Production'!H27+'Raw Data - Production'!I27</f>
        <v>0</v>
      </c>
      <c r="G22" s="16">
        <f>+'Raw Data - Production'!K27+'Raw Data - Production'!L27+'Raw Data - Packing'!I27</f>
        <v>982</v>
      </c>
      <c r="H22" s="15">
        <f>+'Raw Data - Production'!N27+'Raw Data - Production'!O27+'Raw Data - Production'!P27+'Raw Data - Packing'!L27</f>
        <v>0</v>
      </c>
      <c r="I22" s="66">
        <f>SUMIF('Raw Data - Packing'!A:A,A22,'Raw Data - Packing'!D:D)</f>
        <v>52920</v>
      </c>
      <c r="J22" s="15">
        <f>SUMIF('Raw Data - Packing'!A:A,A22,'Raw Data - Packing'!F:F)</f>
        <v>0</v>
      </c>
      <c r="K22" s="20"/>
      <c r="L22" s="68"/>
      <c r="M22" s="68"/>
      <c r="N22" s="68">
        <f>+E22*Weights!$B$2</f>
        <v>0</v>
      </c>
      <c r="O22" s="68">
        <f>+F22*Weights!$B$4</f>
        <v>0</v>
      </c>
      <c r="P22" s="79"/>
      <c r="Q22" s="83">
        <f t="shared" si="2"/>
        <v>52920</v>
      </c>
      <c r="R22" s="13"/>
    </row>
    <row r="23" spans="1:19" x14ac:dyDescent="0.35">
      <c r="A23" s="4">
        <f>+'Raw Data - Production'!A28</f>
        <v>46147</v>
      </c>
      <c r="B23" s="6">
        <f t="shared" si="0"/>
        <v>19</v>
      </c>
      <c r="C23" s="6" t="str">
        <f t="shared" si="1"/>
        <v>May</v>
      </c>
      <c r="D23" s="6" t="s">
        <v>159</v>
      </c>
      <c r="E23" s="14">
        <f>+'Raw Data - Production'!D28+'Raw Data - Production'!E28+'Raw Data - Production'!F28</f>
        <v>50400</v>
      </c>
      <c r="F23" s="15">
        <f>+'Raw Data - Production'!G28+'Raw Data - Production'!H28+'Raw Data - Production'!I28</f>
        <v>0</v>
      </c>
      <c r="G23" s="16">
        <f>+'Raw Data - Production'!K28+'Raw Data - Production'!L28+'Raw Data - Packing'!I28</f>
        <v>280</v>
      </c>
      <c r="H23" s="15">
        <f>+'Raw Data - Production'!N28+'Raw Data - Production'!O28+'Raw Data - Production'!P28+'Raw Data - Packing'!L28</f>
        <v>0</v>
      </c>
      <c r="I23" s="66">
        <f>SUMIF('Raw Data - Packing'!A:A,A23,'Raw Data - Packing'!D:D)</f>
        <v>108840</v>
      </c>
      <c r="J23" s="15">
        <f>SUMIF('Raw Data - Packing'!A:A,A23,'Raw Data - Packing'!F:F)</f>
        <v>0</v>
      </c>
      <c r="K23" s="20"/>
      <c r="L23" s="68"/>
      <c r="M23" s="68"/>
      <c r="N23" s="68">
        <f>+E23*Weights!$B$2</f>
        <v>3189.375</v>
      </c>
      <c r="O23" s="68">
        <f>+F23*Weights!$B$4</f>
        <v>0</v>
      </c>
      <c r="P23" s="79"/>
      <c r="Q23" s="83">
        <f t="shared" si="2"/>
        <v>108840</v>
      </c>
    </row>
    <row r="24" spans="1:19" x14ac:dyDescent="0.35">
      <c r="A24" s="4">
        <f>+'Raw Data - Production'!A29</f>
        <v>46148</v>
      </c>
      <c r="B24" s="6">
        <f t="shared" si="0"/>
        <v>19</v>
      </c>
      <c r="C24" s="6" t="str">
        <f t="shared" si="1"/>
        <v>May</v>
      </c>
      <c r="D24" s="6" t="s">
        <v>159</v>
      </c>
      <c r="E24" s="14">
        <f>+'Raw Data - Production'!D29+'Raw Data - Production'!E29+'Raw Data - Production'!F29</f>
        <v>72000</v>
      </c>
      <c r="F24" s="15">
        <f>+'Raw Data - Production'!G29+'Raw Data - Production'!H29+'Raw Data - Production'!I29</f>
        <v>0</v>
      </c>
      <c r="G24" s="16">
        <f>+'Raw Data - Production'!K29+'Raw Data - Production'!L29+'Raw Data - Packing'!I29</f>
        <v>26</v>
      </c>
      <c r="H24" s="15">
        <f>+'Raw Data - Production'!N29+'Raw Data - Production'!O29+'Raw Data - Production'!P29+'Raw Data - Packing'!L29</f>
        <v>0</v>
      </c>
      <c r="I24" s="66">
        <f>SUMIF('Raw Data - Packing'!A:A,A24,'Raw Data - Packing'!D:D)</f>
        <v>73740</v>
      </c>
      <c r="J24" s="15">
        <f>SUMIF('Raw Data - Packing'!A:A,A24,'Raw Data - Packing'!F:F)</f>
        <v>0</v>
      </c>
      <c r="K24" s="20"/>
      <c r="L24" s="68"/>
      <c r="M24" s="68"/>
      <c r="N24" s="68">
        <f>+E24*Weights!$B$2</f>
        <v>4556.25</v>
      </c>
      <c r="O24" s="68">
        <f>+F24*Weights!$B$4</f>
        <v>0</v>
      </c>
      <c r="P24" s="79"/>
      <c r="Q24" s="83">
        <f t="shared" si="2"/>
        <v>73740</v>
      </c>
    </row>
    <row r="25" spans="1:19" x14ac:dyDescent="0.35">
      <c r="A25" s="4">
        <f>+'Raw Data - Production'!A30</f>
        <v>46149</v>
      </c>
      <c r="B25" s="6">
        <f t="shared" si="0"/>
        <v>19</v>
      </c>
      <c r="C25" s="6" t="str">
        <f t="shared" si="1"/>
        <v>May</v>
      </c>
      <c r="D25" s="6" t="s">
        <v>159</v>
      </c>
      <c r="E25" s="14">
        <f>+'Raw Data - Production'!D30+'Raw Data - Production'!E30+'Raw Data - Production'!F30</f>
        <v>103600</v>
      </c>
      <c r="F25" s="15">
        <f>+'Raw Data - Production'!G30+'Raw Data - Production'!H30+'Raw Data - Production'!I30</f>
        <v>0</v>
      </c>
      <c r="G25" s="16">
        <f>+'Raw Data - Production'!K30+'Raw Data - Production'!L30+'Raw Data - Packing'!I30</f>
        <v>320</v>
      </c>
      <c r="H25" s="15">
        <f>+'Raw Data - Production'!N30+'Raw Data - Production'!O30+'Raw Data - Production'!P30+'Raw Data - Packing'!L30</f>
        <v>30</v>
      </c>
      <c r="I25" s="66">
        <f>SUMIF('Raw Data - Packing'!A:A,A25,'Raw Data - Packing'!D:D)</f>
        <v>0</v>
      </c>
      <c r="J25" s="15">
        <f>SUMIF('Raw Data - Packing'!A:A,A25,'Raw Data - Packing'!F:F)</f>
        <v>0</v>
      </c>
      <c r="K25" s="20"/>
      <c r="L25" s="68"/>
      <c r="M25" s="68"/>
      <c r="N25" s="68">
        <f>+E25*Weights!$B$2</f>
        <v>6555.9375</v>
      </c>
      <c r="O25" s="68">
        <f>+F25*Weights!$B$4</f>
        <v>0</v>
      </c>
      <c r="P25" s="79"/>
      <c r="Q25" s="83">
        <f t="shared" si="2"/>
        <v>0</v>
      </c>
    </row>
    <row r="26" spans="1:19" x14ac:dyDescent="0.35">
      <c r="A26" s="4">
        <f>+'Raw Data - Production'!A31</f>
        <v>46153</v>
      </c>
      <c r="B26" s="6">
        <f t="shared" si="0"/>
        <v>20</v>
      </c>
      <c r="C26" s="6" t="str">
        <f t="shared" si="1"/>
        <v>May</v>
      </c>
      <c r="D26" s="6" t="s">
        <v>159</v>
      </c>
      <c r="E26" s="14">
        <f>+'Raw Data - Production'!D31+'Raw Data - Production'!E31+'Raw Data - Production'!F31</f>
        <v>48960</v>
      </c>
      <c r="F26" s="15">
        <f>+'Raw Data - Production'!G31+'Raw Data - Production'!H31+'Raw Data - Production'!I31</f>
        <v>0</v>
      </c>
      <c r="G26" s="16">
        <f>+'Raw Data - Production'!K31+'Raw Data - Production'!L31+'Raw Data - Packing'!I31</f>
        <v>90</v>
      </c>
      <c r="H26" s="15">
        <f>+'Raw Data - Production'!N31+'Raw Data - Production'!O31+'Raw Data - Production'!P31+'Raw Data - Packing'!L31</f>
        <v>0</v>
      </c>
      <c r="I26" s="66">
        <f>SUMIF('Raw Data - Packing'!A:A,A26,'Raw Data - Packing'!D:D)</f>
        <v>33060</v>
      </c>
      <c r="J26" s="15">
        <f>SUMIF('Raw Data - Packing'!A:A,A26,'Raw Data - Packing'!F:F)</f>
        <v>0</v>
      </c>
      <c r="K26" s="20"/>
      <c r="L26" s="68"/>
      <c r="M26" s="68"/>
      <c r="N26" s="68">
        <f>+E26*Weights!$B$2</f>
        <v>3098.25</v>
      </c>
      <c r="O26" s="68">
        <f>+F26*Weights!$B$4</f>
        <v>0</v>
      </c>
      <c r="P26" s="79"/>
      <c r="Q26" s="83">
        <f t="shared" si="2"/>
        <v>33060</v>
      </c>
    </row>
    <row r="27" spans="1:19" x14ac:dyDescent="0.35">
      <c r="A27" s="4">
        <f>+'Raw Data - Production'!A32</f>
        <v>46154</v>
      </c>
      <c r="B27" s="6">
        <f t="shared" si="0"/>
        <v>20</v>
      </c>
      <c r="C27" s="6" t="str">
        <f t="shared" si="1"/>
        <v>May</v>
      </c>
      <c r="D27" s="6" t="s">
        <v>159</v>
      </c>
      <c r="E27" s="14">
        <f>+'Raw Data - Production'!D32+'Raw Data - Production'!E32+'Raw Data - Production'!F32</f>
        <v>64320</v>
      </c>
      <c r="F27" s="15">
        <f>+'Raw Data - Production'!G32+'Raw Data - Production'!H32+'Raw Data - Production'!I32</f>
        <v>3800</v>
      </c>
      <c r="G27" s="16">
        <f>+'Raw Data - Production'!K32+'Raw Data - Production'!L32+'Raw Data - Packing'!I32</f>
        <v>150</v>
      </c>
      <c r="H27" s="15">
        <f>+'Raw Data - Production'!N32+'Raw Data - Production'!O32+'Raw Data - Production'!P32+'Raw Data - Packing'!L32</f>
        <v>50</v>
      </c>
      <c r="I27" s="66">
        <f>SUMIF('Raw Data - Packing'!A:A,A27,'Raw Data - Packing'!D:D)</f>
        <v>64320</v>
      </c>
      <c r="J27" s="15">
        <f>SUMIF('Raw Data - Packing'!A:A,A27,'Raw Data - Packing'!F:F)</f>
        <v>0</v>
      </c>
      <c r="K27" s="20"/>
      <c r="L27" s="68"/>
      <c r="M27" s="68"/>
      <c r="N27" s="68">
        <f>+E27*Weights!$B$2</f>
        <v>4070.25</v>
      </c>
      <c r="O27" s="68">
        <f>+F27*Weights!$B$4</f>
        <v>593.75</v>
      </c>
      <c r="P27" s="79"/>
      <c r="Q27" s="83">
        <f t="shared" si="2"/>
        <v>64320</v>
      </c>
    </row>
    <row r="28" spans="1:19" x14ac:dyDescent="0.35">
      <c r="A28" s="4">
        <f>+'Raw Data - Production'!A33</f>
        <v>46155</v>
      </c>
      <c r="B28" s="6">
        <f t="shared" si="0"/>
        <v>20</v>
      </c>
      <c r="C28" s="6" t="str">
        <f t="shared" si="1"/>
        <v>May</v>
      </c>
      <c r="D28" s="6" t="s">
        <v>159</v>
      </c>
      <c r="E28" s="14">
        <f>+'Raw Data - Production'!D33+'Raw Data - Production'!E33+'Raw Data - Production'!F33</f>
        <v>68700</v>
      </c>
      <c r="F28" s="15">
        <f>+'Raw Data - Production'!G33+'Raw Data - Production'!H33+'Raw Data - Production'!I33</f>
        <v>13650</v>
      </c>
      <c r="G28" s="16">
        <f>+'Raw Data - Production'!K33+'Raw Data - Production'!L33+'Raw Data - Packing'!I33</f>
        <v>260</v>
      </c>
      <c r="H28" s="15">
        <f>+'Raw Data - Production'!N33+'Raw Data - Production'!O33+'Raw Data - Production'!P33+'Raw Data - Packing'!L33</f>
        <v>66</v>
      </c>
      <c r="I28" s="66">
        <f>SUMIF('Raw Data - Packing'!A:A,A28,'Raw Data - Packing'!D:D)</f>
        <v>68700</v>
      </c>
      <c r="J28" s="15">
        <f>SUMIF('Raw Data - Packing'!A:A,A28,'Raw Data - Packing'!F:F)</f>
        <v>0</v>
      </c>
      <c r="K28" s="20"/>
      <c r="L28" s="68"/>
      <c r="M28" s="68"/>
      <c r="N28" s="68">
        <f>+E28*Weights!$B$2</f>
        <v>4347.421875</v>
      </c>
      <c r="O28" s="68">
        <f>+F28*Weights!$B$4</f>
        <v>2132.8125</v>
      </c>
      <c r="P28" s="79"/>
      <c r="Q28" s="83">
        <f t="shared" si="2"/>
        <v>68700</v>
      </c>
    </row>
    <row r="29" spans="1:19" x14ac:dyDescent="0.35">
      <c r="A29" s="4">
        <f>+'Raw Data - Production'!A34</f>
        <v>46156</v>
      </c>
      <c r="B29" s="6">
        <f t="shared" si="0"/>
        <v>20</v>
      </c>
      <c r="C29" s="6" t="str">
        <f t="shared" si="1"/>
        <v>May</v>
      </c>
      <c r="D29" s="6" t="s">
        <v>159</v>
      </c>
      <c r="E29" s="14">
        <f>+'Raw Data - Production'!D34+'Raw Data - Production'!E34+'Raw Data - Production'!F34</f>
        <v>65260</v>
      </c>
      <c r="F29" s="15">
        <f>+'Raw Data - Production'!G34+'Raw Data - Production'!H34+'Raw Data - Production'!I34</f>
        <v>0</v>
      </c>
      <c r="G29" s="16">
        <f>+'Raw Data - Production'!K34+'Raw Data - Production'!L34+'Raw Data - Packing'!I34</f>
        <v>704</v>
      </c>
      <c r="H29" s="15">
        <f>+'Raw Data - Production'!N34+'Raw Data - Production'!O34+'Raw Data - Production'!P34+'Raw Data - Packing'!L34</f>
        <v>0</v>
      </c>
      <c r="I29" s="66">
        <f>SUMIF('Raw Data - Packing'!A:A,A29,'Raw Data - Packing'!D:D)</f>
        <v>63240</v>
      </c>
      <c r="J29" s="15">
        <f>SUMIF('Raw Data - Packing'!A:A,A29,'Raw Data - Packing'!F:F)</f>
        <v>0</v>
      </c>
      <c r="K29" s="20"/>
      <c r="L29" s="68"/>
      <c r="M29" s="68"/>
      <c r="N29" s="68">
        <f>+E29*Weights!$B$2</f>
        <v>4129.734375</v>
      </c>
      <c r="O29" s="68">
        <f>+F29*Weights!$B$4</f>
        <v>0</v>
      </c>
      <c r="P29" s="79"/>
      <c r="Q29" s="83">
        <f t="shared" si="2"/>
        <v>63240</v>
      </c>
    </row>
    <row r="30" spans="1:19" x14ac:dyDescent="0.35">
      <c r="A30" s="4">
        <f>+'Raw Data - Production'!A35</f>
        <v>46160</v>
      </c>
      <c r="B30" s="6">
        <f t="shared" si="0"/>
        <v>21</v>
      </c>
      <c r="C30" s="6" t="str">
        <f t="shared" si="1"/>
        <v>May</v>
      </c>
      <c r="D30" s="6" t="s">
        <v>159</v>
      </c>
      <c r="E30" s="14">
        <f>+'Raw Data - Production'!D35+'Raw Data - Production'!E35+'Raw Data - Production'!F35</f>
        <v>61920</v>
      </c>
      <c r="F30" s="15">
        <f>+'Raw Data - Production'!G35+'Raw Data - Production'!H35+'Raw Data - Production'!I35</f>
        <v>9555</v>
      </c>
      <c r="G30" s="16">
        <f>+'Raw Data - Production'!K35+'Raw Data - Production'!L35+'Raw Data - Packing'!I35</f>
        <v>160</v>
      </c>
      <c r="H30" s="15">
        <f>+'Raw Data - Production'!N35+'Raw Data - Production'!O35+'Raw Data - Production'!P35+'Raw Data - Packing'!L35</f>
        <v>152</v>
      </c>
      <c r="I30" s="66">
        <f>SUMIF('Raw Data - Packing'!A:A,A30,'Raw Data - Packing'!D:D)</f>
        <v>66480</v>
      </c>
      <c r="J30" s="15">
        <f>SUMIF('Raw Data - Packing'!A:A,A30,'Raw Data - Packing'!F:F)</f>
        <v>4320</v>
      </c>
      <c r="K30" s="20"/>
      <c r="L30" s="68"/>
      <c r="M30" s="68"/>
      <c r="N30" s="68">
        <f>+E30*Weights!$B$2</f>
        <v>3918.375</v>
      </c>
      <c r="O30" s="68">
        <f>+F30*Weights!$B$4</f>
        <v>1492.96875</v>
      </c>
      <c r="P30" s="79"/>
      <c r="Q30" s="83">
        <f t="shared" si="2"/>
        <v>70800</v>
      </c>
    </row>
    <row r="31" spans="1:19" x14ac:dyDescent="0.35">
      <c r="A31" s="4">
        <f>+'Raw Data - Production'!A36</f>
        <v>46161</v>
      </c>
      <c r="B31" s="6">
        <f t="shared" si="0"/>
        <v>21</v>
      </c>
      <c r="C31" s="6" t="str">
        <f t="shared" si="1"/>
        <v>May</v>
      </c>
      <c r="D31" s="6" t="s">
        <v>159</v>
      </c>
      <c r="E31" s="14">
        <f>+'Raw Data - Production'!D36+'Raw Data - Production'!E36+'Raw Data - Production'!F36</f>
        <v>68352</v>
      </c>
      <c r="F31" s="15">
        <f>+'Raw Data - Production'!G36+'Raw Data - Production'!H36+'Raw Data - Production'!I36</f>
        <v>6825</v>
      </c>
      <c r="G31" s="16">
        <f>+'Raw Data - Production'!K36+'Raw Data - Production'!L36+'Raw Data - Packing'!I36</f>
        <v>80</v>
      </c>
      <c r="H31" s="15">
        <f>+'Raw Data - Production'!N36+'Raw Data - Production'!O36+'Raw Data - Production'!P36+'Raw Data - Packing'!L36</f>
        <v>0</v>
      </c>
      <c r="I31" s="66">
        <f>SUMIF('Raw Data - Packing'!A:A,A31,'Raw Data - Packing'!D:D)</f>
        <v>30780</v>
      </c>
      <c r="J31" s="15">
        <f>SUMIF('Raw Data - Packing'!A:A,A31,'Raw Data - Packing'!F:F)</f>
        <v>0</v>
      </c>
      <c r="K31" s="20"/>
      <c r="L31" s="68"/>
      <c r="M31" s="68"/>
      <c r="N31" s="68">
        <f>+E31*Weights!$B$2</f>
        <v>4325.3999999999996</v>
      </c>
      <c r="O31" s="68">
        <f>+F31*Weights!$B$4</f>
        <v>1066.40625</v>
      </c>
      <c r="P31" s="79"/>
      <c r="Q31" s="83">
        <f t="shared" si="2"/>
        <v>30780</v>
      </c>
    </row>
    <row r="32" spans="1:19" x14ac:dyDescent="0.35">
      <c r="A32" s="4">
        <f>+'Raw Data - Production'!A37</f>
        <v>46162</v>
      </c>
      <c r="B32" s="6">
        <f t="shared" si="0"/>
        <v>21</v>
      </c>
      <c r="C32" s="6" t="str">
        <f t="shared" si="1"/>
        <v>May</v>
      </c>
      <c r="D32" s="6" t="s">
        <v>159</v>
      </c>
      <c r="E32" s="14">
        <f>+'Raw Data - Production'!D37+'Raw Data - Production'!E37+'Raw Data - Production'!F37</f>
        <v>66528</v>
      </c>
      <c r="F32" s="15">
        <f>+'Raw Data - Production'!G37+'Raw Data - Production'!H37+'Raw Data - Production'!I37</f>
        <v>18935</v>
      </c>
      <c r="G32" s="16">
        <f>+'Raw Data - Production'!K37+'Raw Data - Production'!L37+'Raw Data - Packing'!I37</f>
        <v>80</v>
      </c>
      <c r="H32" s="15">
        <f>+'Raw Data - Production'!N37+'Raw Data - Production'!O37+'Raw Data - Production'!P37+'Raw Data - Packing'!L37</f>
        <v>296</v>
      </c>
      <c r="I32" s="66">
        <f>SUMIF('Raw Data - Packing'!A:A,A32,'Raw Data - Packing'!D:D)</f>
        <v>49200</v>
      </c>
      <c r="J32" s="15">
        <f>SUMIF('Raw Data - Packing'!A:A,A32,'Raw Data - Packing'!F:F)</f>
        <v>8640</v>
      </c>
      <c r="K32" s="20"/>
      <c r="L32" s="68"/>
      <c r="M32" s="68"/>
      <c r="N32" s="68">
        <f>+E32*Weights!$B$2</f>
        <v>4209.9749999999995</v>
      </c>
      <c r="O32" s="68">
        <f>+F32*Weights!$B$4</f>
        <v>2958.59375</v>
      </c>
      <c r="P32" s="79"/>
      <c r="Q32" s="83">
        <f t="shared" si="2"/>
        <v>57840</v>
      </c>
    </row>
    <row r="33" spans="1:25" x14ac:dyDescent="0.35">
      <c r="A33" s="4">
        <f>+'Raw Data - Production'!A38</f>
        <v>46163</v>
      </c>
      <c r="B33" s="6">
        <f t="shared" si="0"/>
        <v>21</v>
      </c>
      <c r="C33" s="6" t="str">
        <f t="shared" si="1"/>
        <v>May</v>
      </c>
      <c r="D33" s="6" t="s">
        <v>159</v>
      </c>
      <c r="E33" s="14">
        <f>+'Raw Data - Production'!D38+'Raw Data - Production'!E38+'Raw Data - Production'!F38</f>
        <v>51264</v>
      </c>
      <c r="F33" s="15">
        <f>+'Raw Data - Production'!G38+'Raw Data - Production'!H38+'Raw Data - Production'!I38</f>
        <v>9485</v>
      </c>
      <c r="G33" s="16">
        <f>+'Raw Data - Production'!K38+'Raw Data - Production'!L38+'Raw Data - Packing'!I38</f>
        <v>0</v>
      </c>
      <c r="H33" s="15">
        <f>+'Raw Data - Production'!N38+'Raw Data - Production'!O38+'Raw Data - Production'!P38+'Raw Data - Packing'!L38</f>
        <v>594</v>
      </c>
      <c r="I33" s="66">
        <f>SUMIF('Raw Data - Packing'!A:A,A33,'Raw Data - Packing'!D:D)</f>
        <v>10380</v>
      </c>
      <c r="J33" s="15">
        <f>SUMIF('Raw Data - Packing'!A:A,A33,'Raw Data - Packing'!F:F)</f>
        <v>13664</v>
      </c>
      <c r="K33" s="20"/>
      <c r="L33" s="68"/>
      <c r="M33" s="68"/>
      <c r="N33" s="68">
        <f>+E33*Weights!$B$2</f>
        <v>3244.0499999999997</v>
      </c>
      <c r="O33" s="68">
        <f>+F33*Weights!$B$4</f>
        <v>1482.03125</v>
      </c>
      <c r="P33" s="79"/>
      <c r="Q33" s="83">
        <f t="shared" si="2"/>
        <v>24044</v>
      </c>
    </row>
    <row r="34" spans="1:25" x14ac:dyDescent="0.35">
      <c r="A34" s="4">
        <f>+'Raw Data - Production'!A39</f>
        <v>46164</v>
      </c>
      <c r="B34" s="6">
        <f t="shared" si="0"/>
        <v>21</v>
      </c>
      <c r="C34" s="6" t="str">
        <f t="shared" si="1"/>
        <v>May</v>
      </c>
      <c r="D34" s="6" t="s">
        <v>159</v>
      </c>
      <c r="E34" s="14">
        <f>+'Raw Data - Production'!D39+'Raw Data - Production'!E39+'Raw Data - Production'!F39</f>
        <v>0</v>
      </c>
      <c r="F34" s="15">
        <f>+'Raw Data - Production'!G39+'Raw Data - Production'!H39+'Raw Data - Production'!I39</f>
        <v>0</v>
      </c>
      <c r="G34" s="16">
        <f>+'Raw Data - Production'!K39+'Raw Data - Production'!L39+'Raw Data - Packing'!I39</f>
        <v>0</v>
      </c>
      <c r="H34" s="15">
        <f>+'Raw Data - Production'!N39+'Raw Data - Production'!O39+'Raw Data - Production'!P39+'Raw Data - Packing'!L39</f>
        <v>0</v>
      </c>
      <c r="I34" s="66">
        <f>SUMIF('Raw Data - Packing'!A:A,A34,'Raw Data - Packing'!D:D)</f>
        <v>0</v>
      </c>
      <c r="J34" s="15">
        <f>SUMIF('Raw Data - Packing'!A:A,A34,'Raw Data - Packing'!F:F)</f>
        <v>0</v>
      </c>
      <c r="K34" s="20"/>
      <c r="L34" s="68"/>
      <c r="M34" s="68"/>
      <c r="N34" s="68">
        <f>+E34*Weights!$B$2</f>
        <v>0</v>
      </c>
      <c r="O34" s="68">
        <f>+F34*Weights!$B$4</f>
        <v>0</v>
      </c>
      <c r="P34" s="79"/>
      <c r="Q34" s="83">
        <f t="shared" si="2"/>
        <v>0</v>
      </c>
    </row>
    <row r="35" spans="1:25" x14ac:dyDescent="0.35">
      <c r="A35" s="4">
        <f>+'Raw Data - Production'!A40</f>
        <v>46168</v>
      </c>
      <c r="B35" s="6">
        <f t="shared" si="0"/>
        <v>22</v>
      </c>
      <c r="C35" s="6" t="str">
        <f t="shared" si="1"/>
        <v>May</v>
      </c>
      <c r="D35" s="6" t="s">
        <v>159</v>
      </c>
      <c r="E35" s="14">
        <f>+'Raw Data - Production'!D40+'Raw Data - Production'!E40+'Raw Data - Production'!F40</f>
        <v>67968</v>
      </c>
      <c r="F35" s="15">
        <f>+'Raw Data - Production'!G40+'Raw Data - Production'!H40+'Raw Data - Production'!I40</f>
        <v>0</v>
      </c>
      <c r="G35" s="16">
        <f>+'Raw Data - Production'!K40+'Raw Data - Production'!L40+'Raw Data - Packing'!I40</f>
        <v>240</v>
      </c>
      <c r="H35" s="15">
        <f>+'Raw Data - Production'!N40+'Raw Data - Production'!O40+'Raw Data - Production'!P40+'Raw Data - Packing'!L40</f>
        <v>0</v>
      </c>
      <c r="I35" s="66">
        <f>SUMIF('Raw Data - Packing'!A:A,A35,'Raw Data - Packing'!D:D)</f>
        <v>43980</v>
      </c>
      <c r="J35" s="15">
        <f>SUMIF('Raw Data - Packing'!A:A,A35,'Raw Data - Packing'!F:F)</f>
        <v>2112</v>
      </c>
      <c r="K35" s="20"/>
      <c r="L35" s="68"/>
      <c r="M35" s="68"/>
      <c r="N35" s="68">
        <f>+E35*Weights!$B$2</f>
        <v>4301.0999999999995</v>
      </c>
      <c r="O35" s="68">
        <f>+F35*Weights!$B$4</f>
        <v>0</v>
      </c>
      <c r="P35" s="79"/>
      <c r="Q35" s="83">
        <f t="shared" si="2"/>
        <v>46092</v>
      </c>
    </row>
    <row r="36" spans="1:25" x14ac:dyDescent="0.35">
      <c r="A36" s="4">
        <f>+'Raw Data - Production'!A41</f>
        <v>46169</v>
      </c>
      <c r="B36" s="6">
        <f t="shared" si="0"/>
        <v>22</v>
      </c>
      <c r="C36" s="6" t="str">
        <f t="shared" si="1"/>
        <v>May</v>
      </c>
      <c r="D36" s="6" t="s">
        <v>159</v>
      </c>
      <c r="E36" s="14">
        <f>+'Raw Data - Production'!D41+'Raw Data - Production'!E41+'Raw Data - Production'!F41</f>
        <v>0</v>
      </c>
      <c r="F36" s="15">
        <f>+'Raw Data - Production'!G41+'Raw Data - Production'!H41+'Raw Data - Production'!I41</f>
        <v>0</v>
      </c>
      <c r="G36" s="16">
        <f>+'Raw Data - Production'!K41+'Raw Data - Production'!L41+'Raw Data - Packing'!I41</f>
        <v>0</v>
      </c>
      <c r="H36" s="15">
        <f>+'Raw Data - Production'!N41+'Raw Data - Production'!O41+'Raw Data - Production'!P41+'Raw Data - Packing'!L41</f>
        <v>0</v>
      </c>
      <c r="I36" s="66">
        <f>SUMIF('Raw Data - Packing'!A:A,A36,'Raw Data - Packing'!D:D)</f>
        <v>37800</v>
      </c>
      <c r="J36" s="15">
        <f>SUMIF('Raw Data - Packing'!A:A,A36,'Raw Data - Packing'!F:F)</f>
        <v>0</v>
      </c>
      <c r="K36" s="20"/>
      <c r="L36" s="68"/>
      <c r="M36" s="68"/>
      <c r="N36" s="68">
        <f>+E36*Weights!$B$2</f>
        <v>0</v>
      </c>
      <c r="O36" s="68">
        <f>+F36*Weights!$B$4</f>
        <v>0</v>
      </c>
      <c r="P36" s="79"/>
      <c r="Q36" s="83">
        <f t="shared" si="2"/>
        <v>37800</v>
      </c>
    </row>
    <row r="37" spans="1:25" x14ac:dyDescent="0.35">
      <c r="A37" s="4">
        <f>+'Raw Data - Production'!A42</f>
        <v>46170</v>
      </c>
      <c r="B37" s="6">
        <f t="shared" si="0"/>
        <v>22</v>
      </c>
      <c r="C37" s="6" t="str">
        <f t="shared" si="1"/>
        <v>May</v>
      </c>
      <c r="D37" s="6" t="s">
        <v>159</v>
      </c>
      <c r="E37" s="14">
        <f>+'Raw Data - Production'!D42+'Raw Data - Production'!E42+'Raw Data - Production'!F42</f>
        <v>0</v>
      </c>
      <c r="F37" s="15">
        <f>+'Raw Data - Production'!G42+'Raw Data - Production'!H42+'Raw Data - Production'!I42</f>
        <v>20562</v>
      </c>
      <c r="G37" s="16">
        <f>+'Raw Data - Production'!K42+'Raw Data - Production'!L42+'Raw Data - Packing'!I42</f>
        <v>250</v>
      </c>
      <c r="H37" s="15">
        <f>+'Raw Data - Production'!N42+'Raw Data - Production'!O42+'Raw Data - Production'!P42+'Raw Data - Packing'!L42</f>
        <v>268</v>
      </c>
      <c r="I37" s="66">
        <f>SUMIF('Raw Data - Packing'!A:A,A37,'Raw Data - Packing'!D:D)</f>
        <v>63480</v>
      </c>
      <c r="J37" s="15">
        <f>SUMIF('Raw Data - Packing'!A:A,A37,'Raw Data - Packing'!F:F)</f>
        <v>2656</v>
      </c>
      <c r="K37" s="20"/>
      <c r="L37" s="68"/>
      <c r="M37" s="68"/>
      <c r="N37" s="68">
        <f>+E37*Weights!$B$2</f>
        <v>0</v>
      </c>
      <c r="O37" s="68">
        <f>+F37*Weights!$B$4</f>
        <v>3212.8125</v>
      </c>
      <c r="P37" s="79"/>
      <c r="Q37" s="83">
        <f t="shared" si="2"/>
        <v>66136</v>
      </c>
    </row>
    <row r="38" spans="1:25" x14ac:dyDescent="0.35">
      <c r="A38" s="4">
        <f>+'Raw Data - Production'!A43</f>
        <v>46171</v>
      </c>
      <c r="B38" s="6">
        <f t="shared" si="0"/>
        <v>22</v>
      </c>
      <c r="C38" s="6" t="str">
        <f t="shared" si="1"/>
        <v>May</v>
      </c>
      <c r="D38" s="6" t="s">
        <v>159</v>
      </c>
      <c r="E38" s="14">
        <f>+'Raw Data - Production'!D43+'Raw Data - Production'!E43+'Raw Data - Production'!F43</f>
        <v>64512</v>
      </c>
      <c r="F38" s="15">
        <f>+'Raw Data - Production'!G43+'Raw Data - Production'!H43+'Raw Data - Production'!I43</f>
        <v>0</v>
      </c>
      <c r="G38" s="16">
        <f>+'Raw Data - Production'!K43+'Raw Data - Production'!L43+'Raw Data - Packing'!I43</f>
        <v>80</v>
      </c>
      <c r="H38" s="15">
        <f>+'Raw Data - Production'!N43+'Raw Data - Production'!O43+'Raw Data - Production'!P43+'Raw Data - Packing'!L43</f>
        <v>0</v>
      </c>
      <c r="I38" s="66">
        <f>SUMIF('Raw Data - Packing'!A:A,A38,'Raw Data - Packing'!D:D)</f>
        <v>34080</v>
      </c>
      <c r="J38" s="15">
        <f>SUMIF('Raw Data - Packing'!A:A,A38,'Raw Data - Packing'!F:F)</f>
        <v>3760</v>
      </c>
      <c r="K38" s="20"/>
      <c r="L38" s="68"/>
      <c r="M38" s="68"/>
      <c r="N38" s="68">
        <f>+E38*Weights!$B$2</f>
        <v>4082.3999999999996</v>
      </c>
      <c r="O38" s="68">
        <f>+F38*Weights!$B$4</f>
        <v>0</v>
      </c>
      <c r="P38" s="79"/>
      <c r="Q38" s="83">
        <f t="shared" si="2"/>
        <v>37840</v>
      </c>
    </row>
    <row r="39" spans="1:25" x14ac:dyDescent="0.35">
      <c r="A39" s="4">
        <f>+'Raw Data - Production'!A44</f>
        <v>46174</v>
      </c>
      <c r="B39" s="6">
        <f t="shared" si="0"/>
        <v>23</v>
      </c>
      <c r="C39" s="6" t="str">
        <f t="shared" si="1"/>
        <v>June</v>
      </c>
      <c r="D39" s="6" t="s">
        <v>160</v>
      </c>
      <c r="E39" s="14">
        <f>+'Raw Data - Production'!D44+'Raw Data - Production'!E44+'Raw Data - Production'!F44</f>
        <v>76320</v>
      </c>
      <c r="F39" s="15">
        <f>+'Raw Data - Production'!G44+'Raw Data - Production'!H44+'Raw Data - Production'!I44</f>
        <v>0</v>
      </c>
      <c r="G39" s="16">
        <f>+'Raw Data - Production'!K44+'Raw Data - Production'!L44+'Raw Data - Packing'!I44</f>
        <v>326</v>
      </c>
      <c r="H39" s="15">
        <f>+'Raw Data - Production'!N44+'Raw Data - Production'!O44+'Raw Data - Production'!P44+'Raw Data - Packing'!L44</f>
        <v>0</v>
      </c>
      <c r="I39" s="66">
        <f>SUMIF('Raw Data - Packing'!A:A,A39,'Raw Data - Packing'!D:D)</f>
        <v>96000</v>
      </c>
      <c r="J39" s="15">
        <f>SUMIF('Raw Data - Packing'!A:A,A39,'Raw Data - Packing'!F:F)</f>
        <v>416</v>
      </c>
      <c r="K39" s="20"/>
      <c r="L39" s="68"/>
      <c r="M39" s="68"/>
      <c r="N39" s="68">
        <f>+E39*Weights!$B$2</f>
        <v>4829.625</v>
      </c>
      <c r="O39" s="68">
        <f>+F39*Weights!$B$4</f>
        <v>0</v>
      </c>
      <c r="Q39" s="83">
        <f t="shared" si="2"/>
        <v>96416</v>
      </c>
    </row>
    <row r="40" spans="1:25" x14ac:dyDescent="0.35">
      <c r="A40" s="4">
        <f>+'Raw Data - Production'!A45</f>
        <v>46175</v>
      </c>
      <c r="B40" s="6">
        <f t="shared" si="0"/>
        <v>23</v>
      </c>
      <c r="C40" s="6" t="str">
        <f t="shared" si="1"/>
        <v>June</v>
      </c>
      <c r="D40" s="6" t="s">
        <v>160</v>
      </c>
      <c r="E40" s="14">
        <f>+'Raw Data - Production'!D45+'Raw Data - Production'!E45+'Raw Data - Production'!F45</f>
        <v>89280</v>
      </c>
      <c r="F40" s="15">
        <f>+'Raw Data - Production'!G45+'Raw Data - Production'!H45+'Raw Data - Production'!I45</f>
        <v>0</v>
      </c>
      <c r="G40" s="16">
        <f>+'Raw Data - Production'!K45+'Raw Data - Production'!L45+'Raw Data - Packing'!I45</f>
        <v>168</v>
      </c>
      <c r="H40" s="15">
        <f>+'Raw Data - Production'!N45+'Raw Data - Production'!O45+'Raw Data - Production'!P45+'Raw Data - Packing'!L45</f>
        <v>0</v>
      </c>
      <c r="I40" s="66">
        <f>SUMIF('Raw Data - Packing'!A:A,A40,'Raw Data - Packing'!D:D)</f>
        <v>54540</v>
      </c>
      <c r="J40" s="15">
        <f>SUMIF('Raw Data - Packing'!A:A,A40,'Raw Data - Packing'!F:F)</f>
        <v>12100</v>
      </c>
      <c r="K40" s="20"/>
      <c r="L40" s="68"/>
      <c r="M40" s="68"/>
      <c r="N40" s="68">
        <f>+E40*Weights!$B$2</f>
        <v>5649.75</v>
      </c>
      <c r="O40" s="68">
        <f>+F40*Weights!$B$4</f>
        <v>0</v>
      </c>
      <c r="Q40" s="83">
        <f t="shared" si="2"/>
        <v>66640</v>
      </c>
      <c r="X40" t="s">
        <v>178</v>
      </c>
      <c r="Y40" t="s">
        <v>46</v>
      </c>
    </row>
    <row r="41" spans="1:25" x14ac:dyDescent="0.35">
      <c r="A41" s="4">
        <f>+'Raw Data - Production'!A46</f>
        <v>46176</v>
      </c>
      <c r="B41" s="6">
        <f t="shared" si="0"/>
        <v>23</v>
      </c>
      <c r="C41" s="6" t="str">
        <f t="shared" si="1"/>
        <v>June</v>
      </c>
      <c r="D41" s="6" t="s">
        <v>160</v>
      </c>
      <c r="E41" s="14">
        <f>+'Raw Data - Production'!D46+'Raw Data - Production'!E46+'Raw Data - Production'!F46</f>
        <v>55656</v>
      </c>
      <c r="F41" s="15">
        <f>+'Raw Data - Production'!G46+'Raw Data - Production'!H46+'Raw Data - Production'!I46</f>
        <v>0</v>
      </c>
      <c r="G41" s="16">
        <f>+'Raw Data - Production'!K46+'Raw Data - Production'!L46+'Raw Data - Packing'!I46</f>
        <v>166</v>
      </c>
      <c r="H41" s="15">
        <f>+'Raw Data - Production'!N46+'Raw Data - Production'!O46+'Raw Data - Production'!P46+'Raw Data - Packing'!L46</f>
        <v>60</v>
      </c>
      <c r="I41" s="66">
        <f>SUMIF('Raw Data - Packing'!A:A,A41,'Raw Data - Packing'!D:D)</f>
        <v>47520</v>
      </c>
      <c r="J41" s="15">
        <f>SUMIF('Raw Data - Packing'!A:A,A41,'Raw Data - Packing'!F:F)</f>
        <v>3650</v>
      </c>
      <c r="K41" s="20"/>
      <c r="L41" s="68"/>
      <c r="M41" s="68"/>
      <c r="N41" s="68">
        <f>+E41*Weights!$B$2</f>
        <v>3521.9812499999998</v>
      </c>
      <c r="O41" s="68">
        <f>+F41*Weights!$B$4</f>
        <v>0</v>
      </c>
      <c r="Q41" s="83">
        <f t="shared" si="2"/>
        <v>51170</v>
      </c>
      <c r="X41" s="11">
        <f>2871/Weights!B2</f>
        <v>45368.888888888891</v>
      </c>
      <c r="Y41" s="11">
        <f>2042/Weights!B4</f>
        <v>13068.8</v>
      </c>
    </row>
    <row r="42" spans="1:25" x14ac:dyDescent="0.35">
      <c r="A42" s="4">
        <f>+'Raw Data - Production'!A47</f>
        <v>46177</v>
      </c>
      <c r="B42" s="6">
        <f t="shared" si="0"/>
        <v>23</v>
      </c>
      <c r="C42" s="6" t="str">
        <f t="shared" si="1"/>
        <v>June</v>
      </c>
      <c r="D42" s="6" t="s">
        <v>160</v>
      </c>
      <c r="E42" s="14">
        <f>+'Raw Data - Production'!D47+'Raw Data - Production'!E47+'Raw Data - Production'!F47</f>
        <v>46320</v>
      </c>
      <c r="F42" s="15">
        <f>+'Raw Data - Production'!G47+'Raw Data - Production'!H47+'Raw Data - Production'!I47</f>
        <v>9380</v>
      </c>
      <c r="G42" s="16">
        <f>+'Raw Data - Production'!K47+'Raw Data - Production'!L47+'Raw Data - Packing'!I47</f>
        <v>73</v>
      </c>
      <c r="H42" s="15">
        <f>+'Raw Data - Production'!N47+'Raw Data - Production'!O47+'Raw Data - Production'!P47+'Raw Data - Packing'!L47</f>
        <v>132</v>
      </c>
      <c r="I42" s="66">
        <f>SUMIF('Raw Data - Packing'!A:A,A42,'Raw Data - Packing'!D:D)</f>
        <v>37800</v>
      </c>
      <c r="J42" s="15">
        <f>SUMIF('Raw Data - Packing'!A:A,A42,'Raw Data - Packing'!F:F)</f>
        <v>0</v>
      </c>
      <c r="K42" s="20"/>
      <c r="L42" s="68"/>
      <c r="M42" s="68"/>
      <c r="N42" s="68">
        <f>+E42*Weights!$B$2</f>
        <v>2931.1875</v>
      </c>
      <c r="O42" s="68">
        <f>+F42*Weights!$B$4</f>
        <v>1465.625</v>
      </c>
      <c r="Q42" s="83">
        <f t="shared" si="2"/>
        <v>37800</v>
      </c>
    </row>
    <row r="43" spans="1:25" x14ac:dyDescent="0.35">
      <c r="A43" s="4">
        <f>+'Raw Data - Production'!A48</f>
        <v>46178</v>
      </c>
      <c r="B43" s="6">
        <f t="shared" si="0"/>
        <v>23</v>
      </c>
      <c r="C43" s="6" t="str">
        <f t="shared" si="1"/>
        <v>June</v>
      </c>
      <c r="D43" s="6" t="s">
        <v>160</v>
      </c>
      <c r="E43" s="14">
        <f>+'Raw Data - Production'!D48+'Raw Data - Production'!E48+'Raw Data - Production'!F48</f>
        <v>0</v>
      </c>
      <c r="F43" s="15">
        <f>+'Raw Data - Production'!G48+'Raw Data - Production'!H48+'Raw Data - Production'!I48</f>
        <v>0</v>
      </c>
      <c r="G43" s="16">
        <f>+'Raw Data - Production'!K48+'Raw Data - Production'!L48+'Raw Data - Packing'!I48</f>
        <v>0</v>
      </c>
      <c r="H43" s="15">
        <f>+'Raw Data - Production'!N48+'Raw Data - Production'!O48+'Raw Data - Production'!P48+'Raw Data - Packing'!L48</f>
        <v>0</v>
      </c>
      <c r="I43" s="66">
        <f>SUMIF('Raw Data - Packing'!A:A,A43,'Raw Data - Packing'!D:D)</f>
        <v>61920</v>
      </c>
      <c r="J43" s="15">
        <f>SUMIF('Raw Data - Packing'!A:A,A43,'Raw Data - Packing'!F:F)</f>
        <v>0</v>
      </c>
      <c r="K43" s="20"/>
      <c r="L43" s="73">
        <v>83340</v>
      </c>
      <c r="M43" s="73">
        <v>12250</v>
      </c>
      <c r="N43" s="68">
        <f>+E43*Weights!$B$2</f>
        <v>0</v>
      </c>
      <c r="O43" s="68">
        <f>+F43*Weights!$B$4</f>
        <v>0</v>
      </c>
      <c r="Q43" s="83">
        <f t="shared" si="2"/>
        <v>61920</v>
      </c>
    </row>
    <row r="44" spans="1:25" x14ac:dyDescent="0.35">
      <c r="A44" s="4">
        <f>+'Raw Data - Production'!A49</f>
        <v>46181</v>
      </c>
      <c r="B44" s="6">
        <f t="shared" si="0"/>
        <v>24</v>
      </c>
      <c r="C44" s="6" t="str">
        <f t="shared" si="1"/>
        <v>June</v>
      </c>
      <c r="D44" s="6" t="s">
        <v>160</v>
      </c>
      <c r="E44" s="14">
        <f>+'Raw Data - Production'!D49+'Raw Data - Production'!E49+'Raw Data - Production'!F49</f>
        <v>0</v>
      </c>
      <c r="F44" s="15">
        <f>+'Raw Data - Production'!G49+'Raw Data - Production'!H49+'Raw Data - Production'!I49</f>
        <v>0</v>
      </c>
      <c r="G44" s="16">
        <f>+'Raw Data - Production'!K49+'Raw Data - Production'!L49+'Raw Data - Packing'!I49</f>
        <v>121</v>
      </c>
      <c r="H44" s="15">
        <f>+'Raw Data - Production'!N49+'Raw Data - Production'!O49+'Raw Data - Production'!P49+'Raw Data - Packing'!L49</f>
        <v>0</v>
      </c>
      <c r="I44" s="66">
        <f>SUMIF('Raw Data - Packing'!A:A,A44,'Raw Data - Packing'!D:D)</f>
        <v>83340</v>
      </c>
      <c r="J44" s="15">
        <f>SUMIF('Raw Data - Packing'!A:A,A44,'Raw Data - Packing'!F:F)</f>
        <v>0</v>
      </c>
      <c r="K44" s="20"/>
      <c r="L44" s="68">
        <v>0</v>
      </c>
      <c r="M44" s="68">
        <f t="shared" ref="M44:M58" si="4">+F44-J44+M43</f>
        <v>12250</v>
      </c>
      <c r="N44" s="68">
        <f>+E44*Weights!$B$2</f>
        <v>0</v>
      </c>
      <c r="O44" s="68">
        <f>+F44*Weights!$B$4</f>
        <v>0</v>
      </c>
      <c r="Q44" s="83">
        <f t="shared" si="2"/>
        <v>83340</v>
      </c>
    </row>
    <row r="45" spans="1:25" x14ac:dyDescent="0.35">
      <c r="A45" s="4">
        <f>+'Raw Data - Production'!A50</f>
        <v>46182</v>
      </c>
      <c r="B45" s="6">
        <f t="shared" si="0"/>
        <v>24</v>
      </c>
      <c r="C45" s="6" t="str">
        <f t="shared" si="1"/>
        <v>June</v>
      </c>
      <c r="D45" s="6" t="s">
        <v>160</v>
      </c>
      <c r="E45" s="14">
        <f>+'Raw Data - Production'!D50+'Raw Data - Production'!E50+'Raw Data - Production'!F50</f>
        <v>83520</v>
      </c>
      <c r="F45" s="15">
        <f>+'Raw Data - Production'!G50+'Raw Data - Production'!H50+'Raw Data - Production'!I50</f>
        <v>7315</v>
      </c>
      <c r="G45" s="16">
        <f>+'Raw Data - Production'!K50+'Raw Data - Production'!L50+'Raw Data - Packing'!I50</f>
        <v>432</v>
      </c>
      <c r="H45" s="15">
        <f>+'Raw Data - Production'!N50+'Raw Data - Production'!O50+'Raw Data - Production'!P50+'Raw Data - Packing'!L50</f>
        <v>32</v>
      </c>
      <c r="I45" s="66">
        <f>SUMIF('Raw Data - Packing'!A:A,A45,'Raw Data - Packing'!D:D)</f>
        <v>52680</v>
      </c>
      <c r="J45" s="15">
        <f>SUMIF('Raw Data - Packing'!A:A,A45,'Raw Data - Packing'!F:F)</f>
        <v>0</v>
      </c>
      <c r="K45" s="20"/>
      <c r="L45" s="68">
        <f t="shared" ref="L45:L58" si="5">+E45-I45+L44</f>
        <v>30840</v>
      </c>
      <c r="M45" s="68">
        <f t="shared" si="4"/>
        <v>19565</v>
      </c>
      <c r="N45" s="68">
        <f>+E45*Weights!$B$2</f>
        <v>5285.25</v>
      </c>
      <c r="O45" s="68">
        <f>+F45*Weights!$B$4</f>
        <v>1142.96875</v>
      </c>
      <c r="Q45" s="83">
        <f t="shared" si="2"/>
        <v>52680</v>
      </c>
    </row>
    <row r="46" spans="1:25" x14ac:dyDescent="0.35">
      <c r="A46" s="4">
        <f>+'Raw Data - Production'!A51</f>
        <v>46183</v>
      </c>
      <c r="B46" s="6">
        <f t="shared" si="0"/>
        <v>24</v>
      </c>
      <c r="C46" s="6" t="str">
        <f t="shared" si="1"/>
        <v>June</v>
      </c>
      <c r="D46" s="6" t="s">
        <v>160</v>
      </c>
      <c r="E46" s="14">
        <f>+'Raw Data - Production'!D51+'Raw Data - Production'!E51+'Raw Data - Production'!F51</f>
        <v>43920</v>
      </c>
      <c r="F46" s="15">
        <f>+'Raw Data - Production'!G51+'Raw Data - Production'!H51+'Raw Data - Production'!I51</f>
        <v>10500</v>
      </c>
      <c r="G46" s="16">
        <f>+'Raw Data - Production'!K51+'Raw Data - Production'!L51+'Raw Data - Packing'!I51</f>
        <v>98</v>
      </c>
      <c r="H46" s="15">
        <f>+'Raw Data - Production'!N51+'Raw Data - Production'!O51+'Raw Data - Production'!P51+'Raw Data - Packing'!L51</f>
        <v>62</v>
      </c>
      <c r="I46" s="66">
        <f>SUMIF('Raw Data - Packing'!A:A,A46,'Raw Data - Packing'!D:D)</f>
        <v>50280</v>
      </c>
      <c r="J46" s="15">
        <f>SUMIF('Raw Data - Packing'!A:A,A46,'Raw Data - Packing'!F:F)</f>
        <v>0</v>
      </c>
      <c r="K46" s="20"/>
      <c r="L46" s="68">
        <f t="shared" si="5"/>
        <v>24480</v>
      </c>
      <c r="M46" s="68">
        <f t="shared" si="4"/>
        <v>30065</v>
      </c>
      <c r="N46" s="68">
        <f>+E46*Weights!$B$2</f>
        <v>2779.3125</v>
      </c>
      <c r="O46" s="68">
        <f>+F46*Weights!$B$4</f>
        <v>1640.625</v>
      </c>
      <c r="Q46" s="83">
        <f t="shared" si="2"/>
        <v>50280</v>
      </c>
    </row>
    <row r="47" spans="1:25" x14ac:dyDescent="0.35">
      <c r="A47" s="4">
        <f>+'Raw Data - Production'!A52</f>
        <v>46184</v>
      </c>
      <c r="B47" s="6">
        <f t="shared" si="0"/>
        <v>24</v>
      </c>
      <c r="C47" s="6" t="str">
        <f t="shared" si="1"/>
        <v>June</v>
      </c>
      <c r="D47" s="6" t="s">
        <v>160</v>
      </c>
      <c r="E47" s="14">
        <f>+'Raw Data - Production'!D52+'Raw Data - Production'!E52+'Raw Data - Production'!F52</f>
        <v>64253</v>
      </c>
      <c r="F47" s="15">
        <f>+'Raw Data - Production'!G52+'Raw Data - Production'!H52+'Raw Data - Production'!I52</f>
        <v>9975</v>
      </c>
      <c r="G47" s="16">
        <f>+'Raw Data - Production'!K52+'Raw Data - Production'!L52+'Raw Data - Packing'!I52</f>
        <v>132</v>
      </c>
      <c r="H47" s="15">
        <f>+'Raw Data - Production'!N52+'Raw Data - Production'!O52+'Raw Data - Production'!P52+'Raw Data - Packing'!L52</f>
        <v>122</v>
      </c>
      <c r="I47" s="66">
        <f>SUMIF('Raw Data - Packing'!A:A,A47,'Raw Data - Packing'!D:D)</f>
        <v>11760</v>
      </c>
      <c r="J47" s="15">
        <f>SUMIF('Raw Data - Packing'!A:A,A47,'Raw Data - Packing'!F:F)</f>
        <v>13888</v>
      </c>
      <c r="K47" s="20"/>
      <c r="L47" s="68">
        <f t="shared" si="5"/>
        <v>76973</v>
      </c>
      <c r="M47" s="68">
        <f t="shared" si="4"/>
        <v>26152</v>
      </c>
      <c r="N47" s="68">
        <f>+E47*Weights!$B$2</f>
        <v>4066.0101562499999</v>
      </c>
      <c r="O47" s="68">
        <f>+F47*Weights!$B$4</f>
        <v>1558.59375</v>
      </c>
      <c r="Q47" s="83">
        <f t="shared" si="2"/>
        <v>25648</v>
      </c>
    </row>
    <row r="48" spans="1:25" x14ac:dyDescent="0.35">
      <c r="A48" s="4">
        <f>+'Raw Data - Production'!A53</f>
        <v>46185</v>
      </c>
      <c r="B48" s="6">
        <f t="shared" si="0"/>
        <v>24</v>
      </c>
      <c r="C48" s="6" t="str">
        <f t="shared" si="1"/>
        <v>June</v>
      </c>
      <c r="D48" s="6" t="s">
        <v>160</v>
      </c>
      <c r="E48" s="14">
        <f>+'Raw Data - Production'!D53+'Raw Data - Production'!E53+'Raw Data - Production'!F53</f>
        <v>0</v>
      </c>
      <c r="F48" s="15">
        <f>+'Raw Data - Production'!G53+'Raw Data - Production'!H53+'Raw Data - Production'!I53</f>
        <v>0</v>
      </c>
      <c r="G48" s="16">
        <f>+'Raw Data - Production'!K53+'Raw Data - Production'!L53+'Raw Data - Packing'!I53</f>
        <v>0</v>
      </c>
      <c r="H48" s="15">
        <f>+'Raw Data - Production'!N53+'Raw Data - Production'!O53+'Raw Data - Production'!P53+'Raw Data - Packing'!L53</f>
        <v>0</v>
      </c>
      <c r="I48" s="66">
        <f>SUMIF('Raw Data - Packing'!A:A,A48,'Raw Data - Packing'!D:D)</f>
        <v>0</v>
      </c>
      <c r="J48" s="15">
        <f>SUMIF('Raw Data - Packing'!A:A,A48,'Raw Data - Packing'!F:F)</f>
        <v>0</v>
      </c>
      <c r="K48" s="20"/>
      <c r="L48" s="73">
        <v>78136</v>
      </c>
      <c r="M48" s="73">
        <v>24150</v>
      </c>
      <c r="N48" s="68">
        <f>+E48*Weights!$B$2</f>
        <v>0</v>
      </c>
      <c r="O48" s="68">
        <f>+F48*Weights!$B$4</f>
        <v>0</v>
      </c>
      <c r="Q48" s="83">
        <f t="shared" si="2"/>
        <v>0</v>
      </c>
    </row>
    <row r="49" spans="1:18" x14ac:dyDescent="0.35">
      <c r="A49" s="4">
        <f>+'Raw Data - Production'!A54</f>
        <v>46188</v>
      </c>
      <c r="B49" s="6">
        <f t="shared" si="0"/>
        <v>25</v>
      </c>
      <c r="C49" s="6" t="str">
        <f t="shared" si="1"/>
        <v>June</v>
      </c>
      <c r="D49" s="6" t="s">
        <v>160</v>
      </c>
      <c r="E49" s="14">
        <f>+'Raw Data - Production'!D54+'Raw Data - Production'!E54+'Raw Data - Production'!F54</f>
        <v>33120</v>
      </c>
      <c r="F49" s="15">
        <f>+'Raw Data - Production'!G54+'Raw Data - Production'!H54+'Raw Data - Production'!I54</f>
        <v>0</v>
      </c>
      <c r="G49" s="16">
        <f>+'Raw Data - Production'!K54+'Raw Data - Production'!L54+'Raw Data - Packing'!I54</f>
        <v>68</v>
      </c>
      <c r="H49" s="15">
        <f>+'Raw Data - Production'!N54+'Raw Data - Production'!O54+'Raw Data - Production'!P54+'Raw Data - Packing'!L54</f>
        <v>0</v>
      </c>
      <c r="I49" s="66">
        <f>SUMIF('Raw Data - Packing'!A:A,A49,'Raw Data - Packing'!D:D)</f>
        <v>29100</v>
      </c>
      <c r="J49" s="15">
        <f>SUMIF('Raw Data - Packing'!A:A,A49,'Raw Data - Packing'!F:F)</f>
        <v>12514</v>
      </c>
      <c r="K49" s="20"/>
      <c r="L49" s="68">
        <f t="shared" si="5"/>
        <v>82156</v>
      </c>
      <c r="M49" s="68">
        <f t="shared" si="4"/>
        <v>11636</v>
      </c>
      <c r="N49" s="68">
        <f>+E49*Weights!$B$2</f>
        <v>2095.875</v>
      </c>
      <c r="O49" s="68">
        <f>+F49*Weights!$B$4</f>
        <v>0</v>
      </c>
      <c r="Q49" s="83">
        <f t="shared" si="2"/>
        <v>41614</v>
      </c>
    </row>
    <row r="50" spans="1:18" x14ac:dyDescent="0.35">
      <c r="A50" s="4">
        <f>+'Raw Data - Production'!A55</f>
        <v>46189</v>
      </c>
      <c r="B50" s="6">
        <f t="shared" ref="B50:B113" si="6">+WEEKNUM(A50)</f>
        <v>25</v>
      </c>
      <c r="C50" s="6" t="str">
        <f t="shared" si="1"/>
        <v>June</v>
      </c>
      <c r="D50" s="6" t="s">
        <v>160</v>
      </c>
      <c r="E50" s="14">
        <f>+'Raw Data - Production'!D55+'Raw Data - Production'!E55+'Raw Data - Production'!F55</f>
        <v>67680</v>
      </c>
      <c r="F50" s="15">
        <f>+'Raw Data - Production'!G55+'Raw Data - Production'!H55+'Raw Data - Production'!I55</f>
        <v>0</v>
      </c>
      <c r="G50" s="16">
        <f>+'Raw Data - Production'!K55+'Raw Data - Production'!L55+'Raw Data - Packing'!I55</f>
        <v>109</v>
      </c>
      <c r="H50" s="15">
        <f>+'Raw Data - Production'!N55+'Raw Data - Production'!O55+'Raw Data - Production'!P55+'Raw Data - Packing'!L55</f>
        <v>0</v>
      </c>
      <c r="I50" s="66">
        <f>SUMIF('Raw Data - Packing'!A:A,A50,'Raw Data - Packing'!D:D)</f>
        <v>105900</v>
      </c>
      <c r="J50" s="15">
        <f>SUMIF('Raw Data - Packing'!A:A,A50,'Raw Data - Packing'!F:F)</f>
        <v>0</v>
      </c>
      <c r="K50" s="20"/>
      <c r="L50" s="68">
        <f t="shared" si="5"/>
        <v>43936</v>
      </c>
      <c r="M50" s="68">
        <f t="shared" si="4"/>
        <v>11636</v>
      </c>
      <c r="N50" s="68">
        <f>+E50*Weights!$B$2</f>
        <v>4282.875</v>
      </c>
      <c r="O50" s="68">
        <f>+F50*Weights!$B$4</f>
        <v>0</v>
      </c>
      <c r="Q50" s="83">
        <f t="shared" si="2"/>
        <v>105900</v>
      </c>
    </row>
    <row r="51" spans="1:18" x14ac:dyDescent="0.35">
      <c r="A51" s="4">
        <f>+'Raw Data - Production'!A56</f>
        <v>46190</v>
      </c>
      <c r="B51" s="6">
        <f t="shared" si="6"/>
        <v>25</v>
      </c>
      <c r="C51" s="6" t="str">
        <f t="shared" si="1"/>
        <v>June</v>
      </c>
      <c r="D51" s="6" t="s">
        <v>160</v>
      </c>
      <c r="E51" s="14">
        <f>+'Raw Data - Production'!D56+'Raw Data - Production'!E56+'Raw Data - Production'!F56</f>
        <v>54816</v>
      </c>
      <c r="F51" s="15">
        <f>+'Raw Data - Production'!G56+'Raw Data - Production'!H56+'Raw Data - Production'!I56</f>
        <v>1400</v>
      </c>
      <c r="G51" s="16">
        <f>+'Raw Data - Production'!K56+'Raw Data - Production'!L56+'Raw Data - Packing'!I56</f>
        <v>229</v>
      </c>
      <c r="H51" s="15">
        <f>+'Raw Data - Production'!N56+'Raw Data - Production'!O56+'Raw Data - Production'!P56+'Raw Data - Packing'!L56</f>
        <v>14</v>
      </c>
      <c r="I51" s="66">
        <f>SUMIF('Raw Data - Packing'!A:A,A51,'Raw Data - Packing'!D:D)</f>
        <v>93720</v>
      </c>
      <c r="J51" s="15">
        <f>SUMIF('Raw Data - Packing'!A:A,A51,'Raw Data - Packing'!F:F)</f>
        <v>1312</v>
      </c>
      <c r="K51" s="20"/>
      <c r="L51" s="73">
        <v>0</v>
      </c>
      <c r="M51" s="68">
        <f t="shared" si="4"/>
        <v>11724</v>
      </c>
      <c r="N51" s="68">
        <f>+E51*Weights!$B$2</f>
        <v>3468.8249999999998</v>
      </c>
      <c r="O51" s="68">
        <f>+F51*Weights!$B$4</f>
        <v>218.75</v>
      </c>
      <c r="Q51" s="83">
        <f t="shared" si="2"/>
        <v>95032</v>
      </c>
    </row>
    <row r="52" spans="1:18" x14ac:dyDescent="0.35">
      <c r="A52" s="4">
        <f>+'Raw Data - Production'!A57</f>
        <v>46191</v>
      </c>
      <c r="B52" s="6">
        <f t="shared" si="6"/>
        <v>25</v>
      </c>
      <c r="C52" s="6" t="str">
        <f t="shared" si="1"/>
        <v>June</v>
      </c>
      <c r="D52" s="6" t="s">
        <v>160</v>
      </c>
      <c r="E52" s="14">
        <f>+'Raw Data - Production'!D57+'Raw Data - Production'!E57+'Raw Data - Production'!F57</f>
        <v>62352</v>
      </c>
      <c r="F52" s="15">
        <f>+'Raw Data - Production'!G57+'Raw Data - Production'!H57+'Raw Data - Production'!I57</f>
        <v>6300</v>
      </c>
      <c r="G52" s="16">
        <f>+'Raw Data - Production'!K57+'Raw Data - Production'!L57+'Raw Data - Packing'!I57</f>
        <v>134</v>
      </c>
      <c r="H52" s="15">
        <f>+'Raw Data - Production'!N57+'Raw Data - Production'!O57+'Raw Data - Production'!P57+'Raw Data - Packing'!L57</f>
        <v>23</v>
      </c>
      <c r="I52" s="66">
        <f>SUMIF('Raw Data - Packing'!A:A,A52,'Raw Data - Packing'!D:D)</f>
        <v>62352</v>
      </c>
      <c r="J52" s="15">
        <f>SUMIF('Raw Data - Packing'!A:A,A52,'Raw Data - Packing'!F:F)</f>
        <v>10816</v>
      </c>
      <c r="K52" s="20"/>
      <c r="L52" s="68">
        <f t="shared" si="5"/>
        <v>0</v>
      </c>
      <c r="M52" s="68">
        <f t="shared" si="4"/>
        <v>7208</v>
      </c>
      <c r="N52" s="68">
        <f>+E52*Weights!$B$2</f>
        <v>3945.7124999999996</v>
      </c>
      <c r="O52" s="68">
        <f>+F52*Weights!$B$4</f>
        <v>984.375</v>
      </c>
      <c r="Q52" s="83">
        <f t="shared" si="2"/>
        <v>73168</v>
      </c>
    </row>
    <row r="53" spans="1:18" x14ac:dyDescent="0.35">
      <c r="A53" s="4">
        <f>+'Raw Data - Production'!A58</f>
        <v>46192</v>
      </c>
      <c r="B53" s="6">
        <f t="shared" si="6"/>
        <v>25</v>
      </c>
      <c r="C53" s="6" t="str">
        <f t="shared" si="1"/>
        <v>June</v>
      </c>
      <c r="D53" s="6" t="s">
        <v>160</v>
      </c>
      <c r="E53" s="14">
        <f>+'Raw Data - Production'!D58+'Raw Data - Production'!E58+'Raw Data - Production'!F58</f>
        <v>0</v>
      </c>
      <c r="F53" s="15">
        <f>+'Raw Data - Production'!G58+'Raw Data - Production'!H58+'Raw Data - Production'!I58</f>
        <v>0</v>
      </c>
      <c r="G53" s="16">
        <f>+'Raw Data - Production'!K58+'Raw Data - Production'!L58+'Raw Data - Packing'!I58</f>
        <v>0</v>
      </c>
      <c r="H53" s="15">
        <f>+'Raw Data - Production'!N58+'Raw Data - Production'!O58+'Raw Data - Production'!P58+'Raw Data - Packing'!L58</f>
        <v>0</v>
      </c>
      <c r="I53" s="66">
        <f>SUMIF('Raw Data - Packing'!A:A,A53,'Raw Data - Packing'!D:D)</f>
        <v>0</v>
      </c>
      <c r="J53" s="15">
        <f>SUMIF('Raw Data - Packing'!A:A,A53,'Raw Data - Packing'!F:F)</f>
        <v>3840</v>
      </c>
      <c r="K53" s="20"/>
      <c r="L53" s="68">
        <f t="shared" si="5"/>
        <v>0</v>
      </c>
      <c r="M53" s="73">
        <v>0</v>
      </c>
      <c r="N53" s="68">
        <f>+E53*Weights!$B$2</f>
        <v>0</v>
      </c>
      <c r="O53" s="68">
        <f>+F53*Weights!$B$4</f>
        <v>0</v>
      </c>
      <c r="Q53" s="83">
        <f t="shared" si="2"/>
        <v>3840</v>
      </c>
    </row>
    <row r="54" spans="1:18" x14ac:dyDescent="0.35">
      <c r="A54" s="4">
        <f>+'Raw Data - Production'!A59</f>
        <v>46195</v>
      </c>
      <c r="B54" s="6">
        <f t="shared" si="6"/>
        <v>26</v>
      </c>
      <c r="C54" s="6" t="str">
        <f t="shared" si="1"/>
        <v>June</v>
      </c>
      <c r="D54" s="6" t="s">
        <v>160</v>
      </c>
      <c r="E54" s="14">
        <f>+'Raw Data - Production'!D59+'Raw Data - Production'!E59+'Raw Data - Production'!F59</f>
        <v>72420</v>
      </c>
      <c r="F54" s="15">
        <f>+'Raw Data - Production'!G59+'Raw Data - Production'!H59+'Raw Data - Production'!I59</f>
        <v>8313</v>
      </c>
      <c r="G54" s="16">
        <f>+'Raw Data - Production'!K59+'Raw Data - Production'!L59+'Raw Data - Packing'!I59</f>
        <v>137</v>
      </c>
      <c r="H54" s="15">
        <f>+'Raw Data - Production'!N59+'Raw Data - Production'!O59+'Raw Data - Production'!P59+'Raw Data - Packing'!L59</f>
        <v>279</v>
      </c>
      <c r="I54" s="66">
        <f>SUMIF('Raw Data - Packing'!A:A,A54,'Raw Data - Packing'!D:D)</f>
        <v>72420</v>
      </c>
      <c r="J54" s="15">
        <f>SUMIF('Raw Data - Packing'!A:A,A54,'Raw Data - Packing'!F:F)</f>
        <v>5920</v>
      </c>
      <c r="K54" s="20"/>
      <c r="L54" s="68">
        <f t="shared" si="5"/>
        <v>0</v>
      </c>
      <c r="M54" s="73">
        <v>0</v>
      </c>
      <c r="N54" s="68">
        <f>+E54*Weights!$B$2</f>
        <v>4582.828125</v>
      </c>
      <c r="O54" s="68">
        <f>+F54*Weights!$B$4</f>
        <v>1298.90625</v>
      </c>
      <c r="Q54" s="83">
        <f t="shared" si="2"/>
        <v>78340</v>
      </c>
    </row>
    <row r="55" spans="1:18" x14ac:dyDescent="0.35">
      <c r="A55" s="4">
        <f>+'Raw Data - Production'!A60</f>
        <v>46196</v>
      </c>
      <c r="B55" s="6">
        <f t="shared" si="6"/>
        <v>26</v>
      </c>
      <c r="C55" s="6" t="str">
        <f t="shared" si="1"/>
        <v>June</v>
      </c>
      <c r="D55" s="6" t="s">
        <v>160</v>
      </c>
      <c r="E55" s="14">
        <f>+'Raw Data - Production'!D60+'Raw Data - Production'!E60+'Raw Data - Production'!F60</f>
        <v>59095</v>
      </c>
      <c r="F55" s="15">
        <f>+'Raw Data - Production'!G60+'Raw Data - Production'!H60+'Raw Data - Production'!I60</f>
        <v>9450</v>
      </c>
      <c r="G55" s="16">
        <f>+'Raw Data - Production'!K60+'Raw Data - Production'!L60+'Raw Data - Packing'!I60</f>
        <v>343</v>
      </c>
      <c r="H55" s="15">
        <f>+'Raw Data - Production'!N60+'Raw Data - Production'!O60+'Raw Data - Production'!P60+'Raw Data - Packing'!L60</f>
        <v>526</v>
      </c>
      <c r="I55" s="66">
        <f>SUMIF('Raw Data - Packing'!A:A,A55,'Raw Data - Packing'!D:D)</f>
        <v>56760</v>
      </c>
      <c r="J55" s="15">
        <f>SUMIF('Raw Data - Packing'!A:A,A55,'Raw Data - Packing'!F:F)</f>
        <v>7712</v>
      </c>
      <c r="K55" s="20"/>
      <c r="L55" s="73">
        <v>0</v>
      </c>
      <c r="M55" s="73">
        <v>0</v>
      </c>
      <c r="N55" s="68">
        <f>+E55*Weights!$B$2</f>
        <v>3739.60546875</v>
      </c>
      <c r="O55" s="68">
        <f>+F55*Weights!$B$4</f>
        <v>1476.5625</v>
      </c>
      <c r="Q55" s="83">
        <f t="shared" si="2"/>
        <v>64472</v>
      </c>
      <c r="R55" s="78"/>
    </row>
    <row r="56" spans="1:18" x14ac:dyDescent="0.35">
      <c r="A56" s="4">
        <f>+'Raw Data - Production'!A61</f>
        <v>46197</v>
      </c>
      <c r="B56" s="6">
        <f t="shared" si="6"/>
        <v>26</v>
      </c>
      <c r="C56" s="6" t="str">
        <f t="shared" si="1"/>
        <v>June</v>
      </c>
      <c r="D56" s="6" t="s">
        <v>160</v>
      </c>
      <c r="E56" s="14">
        <f>+'Raw Data - Production'!D61+'Raw Data - Production'!E61+'Raw Data - Production'!F61</f>
        <v>78624</v>
      </c>
      <c r="F56" s="15">
        <f>+'Raw Data - Production'!G61+'Raw Data - Production'!H61+'Raw Data - Production'!I61</f>
        <v>15540</v>
      </c>
      <c r="G56" s="16">
        <f>+'Raw Data - Production'!K61+'Raw Data - Production'!L61+'Raw Data - Packing'!I61</f>
        <v>122</v>
      </c>
      <c r="H56" s="15">
        <f>+'Raw Data - Production'!N61+'Raw Data - Production'!O61+'Raw Data - Production'!P61+'Raw Data - Packing'!L61</f>
        <v>514</v>
      </c>
      <c r="I56" s="66">
        <f>SUMIF('Raw Data - Packing'!A:A,A56,'Raw Data - Packing'!D:D)</f>
        <v>77340</v>
      </c>
      <c r="J56" s="15">
        <f>SUMIF('Raw Data - Packing'!A:A,A56,'Raw Data - Packing'!F:F)</f>
        <v>12512</v>
      </c>
      <c r="K56" s="20"/>
      <c r="L56" s="68">
        <v>0</v>
      </c>
      <c r="M56" s="68">
        <v>0</v>
      </c>
      <c r="N56" s="68">
        <f>+E56*Weights!$B$2</f>
        <v>4975.4250000000002</v>
      </c>
      <c r="O56" s="68">
        <f>+F56*Weights!$B$4</f>
        <v>2428.125</v>
      </c>
      <c r="Q56" s="83">
        <f t="shared" si="2"/>
        <v>89852</v>
      </c>
    </row>
    <row r="57" spans="1:18" x14ac:dyDescent="0.35">
      <c r="A57" s="4">
        <f>+'Raw Data - Production'!A62</f>
        <v>46198</v>
      </c>
      <c r="B57" s="6">
        <f t="shared" si="6"/>
        <v>26</v>
      </c>
      <c r="C57" s="6" t="str">
        <f t="shared" si="1"/>
        <v>June</v>
      </c>
      <c r="D57" s="6" t="s">
        <v>160</v>
      </c>
      <c r="E57" s="14">
        <f>+'Raw Data - Production'!D62+'Raw Data - Production'!E62+'Raw Data - Production'!F62</f>
        <v>96732</v>
      </c>
      <c r="F57" s="15">
        <f>+'Raw Data - Production'!G62+'Raw Data - Production'!H62+'Raw Data - Production'!I62</f>
        <v>4515</v>
      </c>
      <c r="G57" s="16">
        <f>+'Raw Data - Production'!K62+'Raw Data - Production'!L62+'Raw Data - Packing'!I62</f>
        <v>213</v>
      </c>
      <c r="H57" s="15">
        <f>+'Raw Data - Production'!N62+'Raw Data - Production'!O62+'Raw Data - Production'!P62+'Raw Data - Packing'!L62</f>
        <v>278</v>
      </c>
      <c r="I57" s="66">
        <f>SUMIF('Raw Data - Packing'!A:A,A57,'Raw Data - Packing'!D:D)</f>
        <v>96960</v>
      </c>
      <c r="J57" s="15">
        <f>SUMIF('Raw Data - Packing'!A:A,A57,'Raw Data - Packing'!F:F)</f>
        <v>1920</v>
      </c>
      <c r="K57" s="20"/>
      <c r="L57" s="68">
        <v>0</v>
      </c>
      <c r="M57" s="68">
        <f t="shared" si="4"/>
        <v>2595</v>
      </c>
      <c r="N57" s="68">
        <f>+E57*Weights!$B$2</f>
        <v>6121.3218749999996</v>
      </c>
      <c r="O57" s="68">
        <f>+F57*Weights!$B$4</f>
        <v>705.46875</v>
      </c>
      <c r="Q57" s="83">
        <f t="shared" si="2"/>
        <v>98880</v>
      </c>
    </row>
    <row r="58" spans="1:18" x14ac:dyDescent="0.35">
      <c r="A58" s="4">
        <f>+'Raw Data - Production'!A63</f>
        <v>46199</v>
      </c>
      <c r="B58" s="6">
        <f t="shared" si="6"/>
        <v>26</v>
      </c>
      <c r="C58" s="6" t="str">
        <f t="shared" si="1"/>
        <v>June</v>
      </c>
      <c r="D58" s="6" t="s">
        <v>160</v>
      </c>
      <c r="E58" s="14">
        <f>+'Raw Data - Production'!D63+'Raw Data - Production'!E63+'Raw Data - Production'!F63</f>
        <v>0</v>
      </c>
      <c r="F58" s="15">
        <f>+'Raw Data - Production'!G63+'Raw Data - Production'!H63+'Raw Data - Production'!I63</f>
        <v>0</v>
      </c>
      <c r="G58" s="16">
        <f>+'Raw Data - Production'!K63+'Raw Data - Production'!L63+'Raw Data - Packing'!I63</f>
        <v>0</v>
      </c>
      <c r="H58" s="15">
        <f>+'Raw Data - Production'!N63+'Raw Data - Production'!O63+'Raw Data - Production'!P63+'Raw Data - Packing'!L63</f>
        <v>0</v>
      </c>
      <c r="I58" s="66">
        <f>SUMIF('Raw Data - Packing'!A:A,A58,'Raw Data - Packing'!D:D)</f>
        <v>0</v>
      </c>
      <c r="J58" s="15">
        <f>SUMIF('Raw Data - Packing'!A:A,A58,'Raw Data - Packing'!F:F)</f>
        <v>0</v>
      </c>
      <c r="K58" s="20"/>
      <c r="L58" s="68">
        <f t="shared" si="5"/>
        <v>0</v>
      </c>
      <c r="M58" s="68">
        <f t="shared" si="4"/>
        <v>2595</v>
      </c>
      <c r="N58" s="68">
        <f>+E58*Weights!$B$2</f>
        <v>0</v>
      </c>
      <c r="O58" s="68">
        <f>+F58*Weights!$B$4</f>
        <v>0</v>
      </c>
      <c r="Q58" s="83">
        <f t="shared" si="2"/>
        <v>0</v>
      </c>
      <c r="R58" s="78"/>
    </row>
    <row r="59" spans="1:18" x14ac:dyDescent="0.35">
      <c r="A59" s="4">
        <f>+'Raw Data - Production'!A64</f>
        <v>46202</v>
      </c>
      <c r="B59" s="6">
        <f t="shared" si="6"/>
        <v>27</v>
      </c>
      <c r="C59" s="6" t="str">
        <f t="shared" si="1"/>
        <v>June</v>
      </c>
      <c r="D59" s="6" t="s">
        <v>173</v>
      </c>
      <c r="E59" s="14">
        <f>+'Raw Data - Production'!D64+'Raw Data - Production'!E64+'Raw Data - Production'!F64</f>
        <v>79968</v>
      </c>
      <c r="F59" s="15">
        <f>+'Raw Data - Production'!G64+'Raw Data - Production'!H64+'Raw Data - Production'!I64</f>
        <v>13895</v>
      </c>
      <c r="G59" s="16">
        <f>+'Raw Data - Production'!K64+'Raw Data - Production'!L64+'Raw Data - Packing'!I64</f>
        <v>429</v>
      </c>
      <c r="H59" s="15">
        <f>+'Raw Data - Production'!N64+'Raw Data - Production'!O64+'Raw Data - Production'!P64+'Raw Data - Packing'!L64</f>
        <v>166</v>
      </c>
      <c r="I59" s="66">
        <f>SUMIF('Raw Data - Packing'!A:A,A59,'Raw Data - Packing'!D:D)</f>
        <v>60480</v>
      </c>
      <c r="J59" s="15">
        <f>SUMIF('Raw Data - Packing'!A:A,A59,'Raw Data - Packing'!F:F)</f>
        <v>14304</v>
      </c>
      <c r="K59" s="20"/>
      <c r="L59" s="73">
        <v>9000</v>
      </c>
      <c r="M59" s="68">
        <f>+F59-J59+M58-(H59/Weights!$B$4)</f>
        <v>1123.5999999999999</v>
      </c>
      <c r="N59" s="68">
        <f>+E59*Weights!$B$2</f>
        <v>5060.4749999999995</v>
      </c>
      <c r="O59" s="68">
        <f>+F59*Weights!$B$4</f>
        <v>2171.09375</v>
      </c>
      <c r="Q59" s="83">
        <f t="shared" si="2"/>
        <v>74784</v>
      </c>
    </row>
    <row r="60" spans="1:18" x14ac:dyDescent="0.35">
      <c r="A60" s="4">
        <f>+'Raw Data - Production'!A65</f>
        <v>46203</v>
      </c>
      <c r="B60" s="6">
        <f t="shared" si="6"/>
        <v>27</v>
      </c>
      <c r="C60" s="6" t="str">
        <f t="shared" si="1"/>
        <v>June</v>
      </c>
      <c r="D60" s="6" t="s">
        <v>173</v>
      </c>
      <c r="E60" s="14">
        <f>+'Raw Data - Production'!D65+'Raw Data - Production'!E65+'Raw Data - Production'!F65</f>
        <v>81726</v>
      </c>
      <c r="F60" s="15">
        <f>+'Raw Data - Production'!G65+'Raw Data - Production'!H65+'Raw Data - Production'!I65</f>
        <v>15645</v>
      </c>
      <c r="G60" s="16">
        <f>+'Raw Data - Production'!K65+'Raw Data - Production'!L65+'Raw Data - Packing'!I65</f>
        <v>358</v>
      </c>
      <c r="H60" s="15">
        <f>+'Raw Data - Production'!N65+'Raw Data - Production'!O65+'Raw Data - Production'!P65+'Raw Data - Packing'!L65</f>
        <v>591</v>
      </c>
      <c r="I60" s="66">
        <f>SUMIF('Raw Data - Packing'!A:A,A60,'Raw Data - Packing'!D:D)</f>
        <v>90780</v>
      </c>
      <c r="J60" s="15">
        <f>SUMIF('Raw Data - Packing'!A:A,A60,'Raw Data - Packing'!F:F)</f>
        <v>15104</v>
      </c>
      <c r="K60" s="20"/>
      <c r="L60" s="68">
        <v>0</v>
      </c>
      <c r="M60" s="68">
        <v>0</v>
      </c>
      <c r="N60" s="68">
        <f>+E60*Weights!$B$2</f>
        <v>5171.7234374999998</v>
      </c>
      <c r="O60" s="68">
        <f>+F60*Weights!$B$4</f>
        <v>2444.53125</v>
      </c>
      <c r="Q60" s="83">
        <f t="shared" si="2"/>
        <v>105884</v>
      </c>
    </row>
    <row r="61" spans="1:18" x14ac:dyDescent="0.35">
      <c r="A61" s="4">
        <f>+'Raw Data - Production'!A66</f>
        <v>46204</v>
      </c>
      <c r="B61" s="6">
        <f t="shared" si="6"/>
        <v>27</v>
      </c>
      <c r="C61" s="6" t="str">
        <f t="shared" si="1"/>
        <v>July</v>
      </c>
      <c r="D61" s="6" t="s">
        <v>173</v>
      </c>
      <c r="E61" s="14">
        <f>+'Raw Data - Production'!D66+'Raw Data - Production'!E66+'Raw Data - Production'!F66</f>
        <v>72000</v>
      </c>
      <c r="F61" s="15">
        <f>+'Raw Data - Production'!G66+'Raw Data - Production'!H66+'Raw Data - Production'!I66</f>
        <v>13405</v>
      </c>
      <c r="G61" s="16">
        <f>+'Raw Data - Production'!K66+'Raw Data - Production'!L66+'Raw Data - Packing'!I66</f>
        <v>185</v>
      </c>
      <c r="H61" s="15">
        <f>+'Raw Data - Production'!N66+'Raw Data - Production'!O66+'Raw Data - Production'!P66+'Raw Data - Packing'!L66</f>
        <v>184</v>
      </c>
      <c r="I61" s="66">
        <f>SUMIF('Raw Data - Packing'!A:A,A61,'Raw Data - Packing'!D:D)</f>
        <v>68040</v>
      </c>
      <c r="J61" s="15">
        <f>SUMIF('Raw Data - Packing'!A:A,A61,'Raw Data - Packing'!F:F)</f>
        <v>11392</v>
      </c>
      <c r="K61" s="20"/>
      <c r="L61" s="68">
        <v>0</v>
      </c>
      <c r="M61" s="68">
        <f>12*150</f>
        <v>1800</v>
      </c>
      <c r="N61" s="68">
        <f>+E61*Weights!$B$2</f>
        <v>4556.25</v>
      </c>
      <c r="O61" s="68">
        <f>+F61*Weights!$B$4</f>
        <v>2094.53125</v>
      </c>
      <c r="Q61" s="83">
        <f t="shared" si="2"/>
        <v>79432</v>
      </c>
    </row>
    <row r="62" spans="1:18" x14ac:dyDescent="0.35">
      <c r="A62" s="4">
        <f>+'Raw Data - Production'!A67</f>
        <v>46205</v>
      </c>
      <c r="B62" s="6">
        <f t="shared" si="6"/>
        <v>27</v>
      </c>
      <c r="C62" s="6" t="str">
        <f t="shared" si="1"/>
        <v>July</v>
      </c>
      <c r="D62" s="6" t="s">
        <v>173</v>
      </c>
      <c r="E62" s="14">
        <f>+'Raw Data - Production'!D67+'Raw Data - Production'!E67+'Raw Data - Production'!F67</f>
        <v>96096</v>
      </c>
      <c r="F62" s="15">
        <f>+'Raw Data - Production'!G67+'Raw Data - Production'!H67+'Raw Data - Production'!I67</f>
        <v>26565</v>
      </c>
      <c r="G62" s="16">
        <f>+'Raw Data - Production'!K67+'Raw Data - Production'!L67+'Raw Data - Packing'!I67</f>
        <v>360</v>
      </c>
      <c r="H62" s="15">
        <f>+'Raw Data - Production'!N67+'Raw Data - Production'!O67+'Raw Data - Production'!P67+'Raw Data - Packing'!L67</f>
        <v>112</v>
      </c>
      <c r="I62" s="66">
        <f>SUMIF('Raw Data - Packing'!A:A,A62,'Raw Data - Packing'!D:D)</f>
        <v>90060</v>
      </c>
      <c r="J62" s="15">
        <f>SUMIF('Raw Data - Packing'!A:A,A62,'Raw Data - Packing'!F:F)</f>
        <v>17504</v>
      </c>
      <c r="K62" s="20"/>
      <c r="L62" s="68">
        <v>8400</v>
      </c>
      <c r="M62" s="68">
        <v>4650</v>
      </c>
      <c r="N62" s="68">
        <f>+E62*Weights!$B$2</f>
        <v>6081.0749999999998</v>
      </c>
      <c r="O62" s="68">
        <f>+F62*Weights!$B$4</f>
        <v>4150.78125</v>
      </c>
      <c r="Q62" s="83">
        <f t="shared" si="2"/>
        <v>107564</v>
      </c>
    </row>
    <row r="63" spans="1:18" x14ac:dyDescent="0.35">
      <c r="A63" s="4">
        <f>+'Raw Data - Production'!A68</f>
        <v>46206</v>
      </c>
      <c r="B63" s="6">
        <f t="shared" si="6"/>
        <v>27</v>
      </c>
      <c r="C63" s="6" t="str">
        <f t="shared" si="1"/>
        <v>July</v>
      </c>
      <c r="D63" s="6" t="s">
        <v>173</v>
      </c>
      <c r="E63" s="14">
        <f>+'Raw Data - Production'!D68+'Raw Data - Production'!E68+'Raw Data - Production'!F68</f>
        <v>0</v>
      </c>
      <c r="F63" s="15">
        <f>+'Raw Data - Production'!G68+'Raw Data - Production'!H68+'Raw Data - Production'!I68</f>
        <v>0</v>
      </c>
      <c r="G63" s="16">
        <f>+'Raw Data - Production'!K68+'Raw Data - Production'!L68+'Raw Data - Packing'!I68</f>
        <v>0</v>
      </c>
      <c r="H63" s="15">
        <f>+'Raw Data - Production'!N68+'Raw Data - Production'!O68+'Raw Data - Production'!P68+'Raw Data - Packing'!L68</f>
        <v>0</v>
      </c>
      <c r="I63" s="66">
        <f>SUMIF('Raw Data - Packing'!A:A,A63,'Raw Data - Packing'!D:D)</f>
        <v>0</v>
      </c>
      <c r="J63" s="15">
        <f>SUMIF('Raw Data - Packing'!A:A,A63,'Raw Data - Packing'!F:F)</f>
        <v>0</v>
      </c>
      <c r="K63" s="20"/>
      <c r="L63" s="68">
        <f>+E63-I63+L62-(G63/Weights!$B$2)</f>
        <v>8400</v>
      </c>
      <c r="M63" s="68">
        <f>+F63-J63+M62-(H63/Weights!$B$4)</f>
        <v>4650</v>
      </c>
      <c r="N63" s="68">
        <f>+E63*Weights!$B$2</f>
        <v>0</v>
      </c>
      <c r="O63" s="68">
        <f>+F63*Weights!$B$4</f>
        <v>0</v>
      </c>
      <c r="Q63" s="83">
        <f t="shared" si="2"/>
        <v>0</v>
      </c>
    </row>
    <row r="64" spans="1:18" x14ac:dyDescent="0.35">
      <c r="A64" s="4">
        <f>+'Raw Data - Production'!A69</f>
        <v>46209</v>
      </c>
      <c r="B64" s="6">
        <f t="shared" si="6"/>
        <v>28</v>
      </c>
      <c r="C64" s="6" t="str">
        <f t="shared" si="1"/>
        <v>July</v>
      </c>
      <c r="D64" s="6" t="s">
        <v>173</v>
      </c>
      <c r="E64" s="14">
        <f>+'Raw Data - Production'!D69+'Raw Data - Production'!E69+'Raw Data - Production'!F69</f>
        <v>55680</v>
      </c>
      <c r="F64" s="15">
        <f>+'Raw Data - Production'!G69+'Raw Data - Production'!H69+'Raw Data - Production'!I69</f>
        <v>6090</v>
      </c>
      <c r="G64" s="16">
        <f>+'Raw Data - Production'!K69+'Raw Data - Production'!L69+'Raw Data - Packing'!I69</f>
        <v>1233.98</v>
      </c>
      <c r="H64" s="15">
        <f>+'Raw Data - Production'!N69+'Raw Data - Production'!O69+'Raw Data - Production'!P69+'Raw Data - Packing'!L69</f>
        <v>270</v>
      </c>
      <c r="I64" s="66">
        <f>SUMIF('Raw Data - Packing'!A:A,A64,'Raw Data - Packing'!D:D)</f>
        <v>44580</v>
      </c>
      <c r="J64" s="15">
        <f>SUMIF('Raw Data - Packing'!A:A,A64,'Raw Data - Packing'!F:F)</f>
        <v>8470</v>
      </c>
      <c r="K64" s="20"/>
      <c r="L64" s="68">
        <f>+E64-I64+L63-(G64/Weights!$B$2)</f>
        <v>6.9135802466917085E-2</v>
      </c>
      <c r="M64" s="68">
        <f>+F64-J64+M63-(H64/Weights!$B$4)</f>
        <v>542</v>
      </c>
      <c r="N64" s="68">
        <f>+E64*Weights!$B$2</f>
        <v>3523.5</v>
      </c>
      <c r="O64" s="68">
        <f>+F64*Weights!$B$4</f>
        <v>951.5625</v>
      </c>
      <c r="Q64" s="83">
        <f t="shared" si="2"/>
        <v>53050</v>
      </c>
    </row>
    <row r="65" spans="1:17" x14ac:dyDescent="0.35">
      <c r="A65" s="4">
        <f>+'Raw Data - Production'!A70</f>
        <v>46210</v>
      </c>
      <c r="B65" s="6">
        <f t="shared" si="6"/>
        <v>28</v>
      </c>
      <c r="C65" s="6" t="str">
        <f t="shared" si="1"/>
        <v>July</v>
      </c>
      <c r="D65" s="6" t="s">
        <v>173</v>
      </c>
      <c r="E65" s="14">
        <f>+'Raw Data - Production'!D70+'Raw Data - Production'!E70+'Raw Data - Production'!F70</f>
        <v>85824</v>
      </c>
      <c r="F65" s="15">
        <f>+'Raw Data - Production'!G70+'Raw Data - Production'!H70+'Raw Data - Production'!I70</f>
        <v>23415</v>
      </c>
      <c r="G65" s="16">
        <f>+'Raw Data - Production'!K70+'Raw Data - Production'!L70+'Raw Data - Packing'!I70</f>
        <v>426</v>
      </c>
      <c r="H65" s="15">
        <f>+'Raw Data - Production'!N70+'Raw Data - Production'!O70+'Raw Data - Production'!P70+'Raw Data - Packing'!L70</f>
        <v>221</v>
      </c>
      <c r="I65" s="66">
        <f>SUMIF('Raw Data - Packing'!A:A,A65,'Raw Data - Packing'!D:D)</f>
        <v>75600</v>
      </c>
      <c r="J65" s="15">
        <f>SUMIF('Raw Data - Packing'!A:A,A65,'Raw Data - Packing'!F:F)</f>
        <v>8640</v>
      </c>
      <c r="K65" s="20"/>
      <c r="L65" s="68">
        <f>+E65-I65+L64-(G65/Weights!$B$2)</f>
        <v>3492.2172839506147</v>
      </c>
      <c r="M65" s="68">
        <f>+F65-J65+M64-(H65/Weights!$B$4)</f>
        <v>13902.6</v>
      </c>
      <c r="N65" s="68">
        <f>+E65*Weights!$B$2</f>
        <v>5431.05</v>
      </c>
      <c r="O65" s="68">
        <f>+F65*Weights!$B$4</f>
        <v>3658.59375</v>
      </c>
      <c r="Q65" s="83">
        <f t="shared" si="2"/>
        <v>84240</v>
      </c>
    </row>
    <row r="66" spans="1:17" x14ac:dyDescent="0.35">
      <c r="A66" s="4">
        <f>+'Raw Data - Production'!A71</f>
        <v>46211</v>
      </c>
      <c r="B66" s="6">
        <f t="shared" si="6"/>
        <v>28</v>
      </c>
      <c r="C66" s="6" t="str">
        <f t="shared" si="1"/>
        <v>July</v>
      </c>
      <c r="D66" s="6" t="s">
        <v>173</v>
      </c>
      <c r="E66" s="14">
        <f>+'Raw Data - Production'!D71+'Raw Data - Production'!E71+'Raw Data - Production'!F71</f>
        <v>62256</v>
      </c>
      <c r="F66" s="15">
        <f>+'Raw Data - Production'!G71+'Raw Data - Production'!H71+'Raw Data - Production'!I71</f>
        <v>20909</v>
      </c>
      <c r="G66" s="16">
        <f>+'Raw Data - Production'!K71+'Raw Data - Production'!L71+'Raw Data - Packing'!I71</f>
        <v>546</v>
      </c>
      <c r="H66" s="15">
        <f>+'Raw Data - Production'!N71+'Raw Data - Production'!O71+'Raw Data - Production'!P71+'Raw Data - Packing'!L71</f>
        <v>460</v>
      </c>
      <c r="I66" s="66">
        <f>SUMIF('Raw Data - Packing'!A:A,A66,'Raw Data - Packing'!D:D)</f>
        <v>30480</v>
      </c>
      <c r="J66" s="15">
        <f>SUMIF('Raw Data - Packing'!A:A,A66,'Raw Data - Packing'!F:F)</f>
        <v>9216</v>
      </c>
      <c r="K66" s="20"/>
      <c r="L66" s="68">
        <f>+E66-I66+L65-(G66/Weights!$B$2)</f>
        <v>26640.069135802471</v>
      </c>
      <c r="M66" s="68">
        <f>+F66-J66+M65-(H66/Weights!$B$4)</f>
        <v>22651.599999999999</v>
      </c>
      <c r="N66" s="68">
        <f>+E66*Weights!$B$2</f>
        <v>3939.6374999999998</v>
      </c>
      <c r="O66" s="68">
        <f>+F66*Weights!$B$4</f>
        <v>3267.03125</v>
      </c>
      <c r="Q66" s="83">
        <f t="shared" si="2"/>
        <v>39696</v>
      </c>
    </row>
    <row r="67" spans="1:17" x14ac:dyDescent="0.35">
      <c r="A67" s="4">
        <f>+'Raw Data - Production'!A72</f>
        <v>46212</v>
      </c>
      <c r="B67" s="6">
        <f t="shared" si="6"/>
        <v>28</v>
      </c>
      <c r="C67" s="6" t="str">
        <f t="shared" ref="C67:C130" si="7">+TEXT(A67,"mmmm")</f>
        <v>July</v>
      </c>
      <c r="D67" s="6" t="s">
        <v>173</v>
      </c>
      <c r="E67" s="14">
        <f>+'Raw Data - Production'!D72+'Raw Data - Production'!E72+'Raw Data - Production'!F72</f>
        <v>66816</v>
      </c>
      <c r="F67" s="15">
        <f>+'Raw Data - Production'!G72+'Raw Data - Production'!H72+'Raw Data - Production'!I72</f>
        <v>31710</v>
      </c>
      <c r="G67" s="16">
        <f>+'Raw Data - Production'!K72+'Raw Data - Production'!L72+'Raw Data - Packing'!I72</f>
        <v>342</v>
      </c>
      <c r="H67" s="15">
        <f>+'Raw Data - Production'!N72+'Raw Data - Production'!O72+'Raw Data - Production'!P72+'Raw Data - Packing'!L72</f>
        <v>211</v>
      </c>
      <c r="I67" s="66">
        <f>SUMIF('Raw Data - Packing'!A:A,A67,'Raw Data - Packing'!D:D)</f>
        <v>0</v>
      </c>
      <c r="J67" s="15">
        <f>SUMIF('Raw Data - Packing'!A:A,A67,'Raw Data - Packing'!F:F)</f>
        <v>26775</v>
      </c>
      <c r="K67" s="20"/>
      <c r="L67" s="68">
        <f>+E67-I67+L66-(G67/Weights!$B$2)</f>
        <v>88051.62469135804</v>
      </c>
      <c r="M67" s="68">
        <f>+F67-J67+M66-(H67/Weights!$B$4)</f>
        <v>26236.199999999997</v>
      </c>
      <c r="N67" s="68">
        <f>+E67*Weights!$B$2</f>
        <v>4228.2</v>
      </c>
      <c r="O67" s="68">
        <f>+F67*Weights!$B$4</f>
        <v>4954.6875</v>
      </c>
      <c r="Q67" s="83">
        <f t="shared" ref="Q67:Q130" si="8">I67+J67</f>
        <v>26775</v>
      </c>
    </row>
    <row r="68" spans="1:17" x14ac:dyDescent="0.35">
      <c r="A68" s="4">
        <f>+'Raw Data - Production'!A73</f>
        <v>46213</v>
      </c>
      <c r="B68" s="6">
        <f t="shared" si="6"/>
        <v>28</v>
      </c>
      <c r="C68" s="6" t="str">
        <f t="shared" si="7"/>
        <v>July</v>
      </c>
      <c r="D68" s="6" t="s">
        <v>173</v>
      </c>
      <c r="E68" s="14">
        <f>+'Raw Data - Production'!D73+'Raw Data - Production'!E73+'Raw Data - Production'!F73</f>
        <v>0</v>
      </c>
      <c r="F68" s="15">
        <f>+'Raw Data - Production'!G73+'Raw Data - Production'!H73+'Raw Data - Production'!I73</f>
        <v>0</v>
      </c>
      <c r="G68" s="16">
        <f>+'Raw Data - Production'!K73+'Raw Data - Production'!L73+'Raw Data - Packing'!I73</f>
        <v>0</v>
      </c>
      <c r="H68" s="15">
        <f>+'Raw Data - Production'!N73+'Raw Data - Production'!O73+'Raw Data - Production'!P73+'Raw Data - Packing'!L73</f>
        <v>0</v>
      </c>
      <c r="I68" s="66">
        <f>SUMIF('Raw Data - Packing'!A:A,A68,'Raw Data - Packing'!D:D)</f>
        <v>0</v>
      </c>
      <c r="J68" s="15">
        <f>SUMIF('Raw Data - Packing'!A:A,A68,'Raw Data - Packing'!F:F)</f>
        <v>0</v>
      </c>
      <c r="K68" s="20"/>
      <c r="L68" s="68">
        <f>+E68-I68+L67-(G68/Weights!$B$2)</f>
        <v>88051.62469135804</v>
      </c>
      <c r="M68" s="68">
        <f>+F68-J68+M67-(H68/Weights!$B$4)</f>
        <v>26236.199999999997</v>
      </c>
      <c r="N68" s="68">
        <f>+E68*Weights!$B$2</f>
        <v>0</v>
      </c>
      <c r="O68" s="68">
        <f>+F68*Weights!$B$4</f>
        <v>0</v>
      </c>
      <c r="Q68" s="83">
        <f t="shared" si="8"/>
        <v>0</v>
      </c>
    </row>
    <row r="69" spans="1:17" x14ac:dyDescent="0.35">
      <c r="A69" s="4">
        <f>+'Raw Data - Production'!A74</f>
        <v>46216</v>
      </c>
      <c r="B69" s="6">
        <f t="shared" si="6"/>
        <v>29</v>
      </c>
      <c r="C69" s="6" t="str">
        <f t="shared" si="7"/>
        <v>July</v>
      </c>
      <c r="D69" s="6" t="s">
        <v>173</v>
      </c>
      <c r="E69" s="14">
        <f>+'Raw Data - Production'!D74+'Raw Data - Production'!E74+'Raw Data - Production'!F74</f>
        <v>0</v>
      </c>
      <c r="F69" s="15">
        <f>+'Raw Data - Production'!G74+'Raw Data - Production'!H74+'Raw Data - Production'!I74</f>
        <v>0</v>
      </c>
      <c r="G69" s="16">
        <f>+'Raw Data - Production'!K74+'Raw Data - Production'!L74+'Raw Data - Packing'!I74</f>
        <v>0</v>
      </c>
      <c r="H69" s="15">
        <f>+'Raw Data - Production'!N74+'Raw Data - Production'!O74+'Raw Data - Production'!P74+'Raw Data - Packing'!L74</f>
        <v>0</v>
      </c>
      <c r="I69" s="66">
        <f>SUMIF('Raw Data - Packing'!A:A,A69,'Raw Data - Packing'!D:D)</f>
        <v>83250</v>
      </c>
      <c r="J69" s="15">
        <f>SUMIF('Raw Data - Packing'!A:A,A69,'Raw Data - Packing'!F:F)</f>
        <v>10080</v>
      </c>
      <c r="K69" s="20"/>
      <c r="L69" s="68">
        <v>0</v>
      </c>
      <c r="M69" s="68">
        <f>+F69-J69+M68-(H69/Weights!$B$4)</f>
        <v>16156.199999999997</v>
      </c>
      <c r="N69" s="68">
        <f>+E69*Weights!$B$2</f>
        <v>0</v>
      </c>
      <c r="O69" s="68">
        <f>+F69*Weights!$B$4</f>
        <v>0</v>
      </c>
      <c r="Q69" s="83">
        <f t="shared" si="8"/>
        <v>93330</v>
      </c>
    </row>
    <row r="70" spans="1:17" x14ac:dyDescent="0.35">
      <c r="A70" s="4">
        <f>+'Raw Data - Production'!A75</f>
        <v>46217</v>
      </c>
      <c r="B70" s="6">
        <f t="shared" si="6"/>
        <v>29</v>
      </c>
      <c r="C70" s="6" t="str">
        <f t="shared" si="7"/>
        <v>July</v>
      </c>
      <c r="D70" s="6" t="s">
        <v>173</v>
      </c>
      <c r="E70" s="14">
        <f>+'Raw Data - Production'!D75+'Raw Data - Production'!E75+'Raw Data - Production'!F75</f>
        <v>0</v>
      </c>
      <c r="F70" s="15">
        <f>+'Raw Data - Production'!G75+'Raw Data - Production'!H75+'Raw Data - Production'!I75</f>
        <v>0</v>
      </c>
      <c r="G70" s="16">
        <f>+'Raw Data - Production'!K75+'Raw Data - Production'!L75+'Raw Data - Packing'!I75</f>
        <v>0</v>
      </c>
      <c r="H70" s="15">
        <f>+'Raw Data - Production'!N75+'Raw Data - Production'!O75+'Raw Data - Production'!P75+'Raw Data - Packing'!L75</f>
        <v>0</v>
      </c>
      <c r="I70" s="66">
        <f>SUMIF('Raw Data - Packing'!A:A,A70,'Raw Data - Packing'!D:D)</f>
        <v>0</v>
      </c>
      <c r="J70" s="15">
        <f>SUMIF('Raw Data - Packing'!A:A,A70,'Raw Data - Packing'!F:F)</f>
        <v>0</v>
      </c>
      <c r="K70" s="20"/>
      <c r="L70" s="68">
        <f>+E70-I70+L69-(G70/Weights!$B$2)</f>
        <v>0</v>
      </c>
      <c r="M70" s="68">
        <f>+F70-J70+M69-(H70/Weights!$B$4)</f>
        <v>16156.199999999997</v>
      </c>
      <c r="N70" s="68">
        <f>+E70*Weights!$B$2</f>
        <v>0</v>
      </c>
      <c r="O70" s="68">
        <f>+F70*Weights!$B$4</f>
        <v>0</v>
      </c>
      <c r="Q70" s="83">
        <f t="shared" si="8"/>
        <v>0</v>
      </c>
    </row>
    <row r="71" spans="1:17" x14ac:dyDescent="0.35">
      <c r="A71" s="4">
        <f>+'Raw Data - Production'!A76</f>
        <v>46218</v>
      </c>
      <c r="B71" s="6">
        <f t="shared" si="6"/>
        <v>29</v>
      </c>
      <c r="C71" s="6" t="str">
        <f t="shared" si="7"/>
        <v>July</v>
      </c>
      <c r="D71" s="6" t="s">
        <v>173</v>
      </c>
      <c r="E71" s="14">
        <f>+'Raw Data - Production'!D76+'Raw Data - Production'!E76+'Raw Data - Production'!F76</f>
        <v>0</v>
      </c>
      <c r="F71" s="15">
        <f>+'Raw Data - Production'!G76+'Raw Data - Production'!H76+'Raw Data - Production'!I76</f>
        <v>0</v>
      </c>
      <c r="G71" s="16">
        <f>+'Raw Data - Production'!K76+'Raw Data - Production'!L76+'Raw Data - Packing'!I76</f>
        <v>0</v>
      </c>
      <c r="H71" s="15">
        <f>+'Raw Data - Production'!N76+'Raw Data - Production'!O76+'Raw Data - Production'!P76+'Raw Data - Packing'!L76</f>
        <v>0</v>
      </c>
      <c r="I71" s="66">
        <f>SUMIF('Raw Data - Packing'!A:A,A71,'Raw Data - Packing'!D:D)</f>
        <v>0</v>
      </c>
      <c r="J71" s="15">
        <f>SUMIF('Raw Data - Packing'!A:A,A71,'Raw Data - Packing'!F:F)</f>
        <v>0</v>
      </c>
      <c r="K71" s="20"/>
      <c r="L71" s="68">
        <f>+E71-I71+L70-(G71/Weights!$B$2)</f>
        <v>0</v>
      </c>
      <c r="M71" s="68">
        <f>+F71-J71+M70-(H71/Weights!$B$4)</f>
        <v>16156.199999999997</v>
      </c>
      <c r="N71" s="68">
        <f>+E71*Weights!$B$2</f>
        <v>0</v>
      </c>
      <c r="O71" s="68">
        <f>+F71*Weights!$B$4</f>
        <v>0</v>
      </c>
      <c r="Q71" s="83">
        <f t="shared" si="8"/>
        <v>0</v>
      </c>
    </row>
    <row r="72" spans="1:17" x14ac:dyDescent="0.35">
      <c r="A72" s="4">
        <f>+'Raw Data - Production'!A77</f>
        <v>46219</v>
      </c>
      <c r="B72" s="6">
        <f t="shared" si="6"/>
        <v>29</v>
      </c>
      <c r="C72" s="6" t="str">
        <f t="shared" si="7"/>
        <v>July</v>
      </c>
      <c r="D72" s="6" t="s">
        <v>173</v>
      </c>
      <c r="E72" s="14">
        <f>+'Raw Data - Production'!D77+'Raw Data - Production'!E77+'Raw Data - Production'!F77</f>
        <v>0</v>
      </c>
      <c r="F72" s="15">
        <f>+'Raw Data - Production'!G77+'Raw Data - Production'!H77+'Raw Data - Production'!I77</f>
        <v>0</v>
      </c>
      <c r="G72" s="16">
        <f>+'Raw Data - Production'!K77+'Raw Data - Production'!L77+'Raw Data - Packing'!I77</f>
        <v>0</v>
      </c>
      <c r="H72" s="15">
        <f>+'Raw Data - Production'!N77+'Raw Data - Production'!O77+'Raw Data - Production'!P77+'Raw Data - Packing'!L77</f>
        <v>0</v>
      </c>
      <c r="I72" s="66">
        <f>SUMIF('Raw Data - Packing'!A:A,A72,'Raw Data - Packing'!D:D)</f>
        <v>0</v>
      </c>
      <c r="J72" s="15">
        <f>SUMIF('Raw Data - Packing'!A:A,A72,'Raw Data - Packing'!F:F)</f>
        <v>6160</v>
      </c>
      <c r="K72" s="20"/>
      <c r="L72" s="68">
        <f>+E72-I72+L71-(G72/Weights!$B$2)</f>
        <v>0</v>
      </c>
      <c r="M72" s="68">
        <f>+F72-J72+M71-(H72/Weights!$B$4)</f>
        <v>9996.1999999999971</v>
      </c>
      <c r="N72" s="68">
        <f>+E72*Weights!$B$2</f>
        <v>0</v>
      </c>
      <c r="O72" s="68">
        <f>+F72*Weights!$B$4</f>
        <v>0</v>
      </c>
      <c r="Q72" s="83">
        <f t="shared" si="8"/>
        <v>6160</v>
      </c>
    </row>
    <row r="73" spans="1:17" x14ac:dyDescent="0.35">
      <c r="A73" s="4">
        <f>+'Raw Data - Production'!A78</f>
        <v>46220</v>
      </c>
      <c r="B73" s="6">
        <f t="shared" si="6"/>
        <v>29</v>
      </c>
      <c r="C73" s="6" t="str">
        <f t="shared" si="7"/>
        <v>July</v>
      </c>
      <c r="D73" s="6" t="s">
        <v>173</v>
      </c>
      <c r="E73" s="14">
        <f>+'Raw Data - Production'!D78+'Raw Data - Production'!E78+'Raw Data - Production'!F78</f>
        <v>0</v>
      </c>
      <c r="F73" s="15">
        <f>+'Raw Data - Production'!G78+'Raw Data - Production'!H78+'Raw Data - Production'!I78</f>
        <v>0</v>
      </c>
      <c r="G73" s="16">
        <f>+'Raw Data - Production'!K78+'Raw Data - Production'!L78+'Raw Data - Packing'!I78</f>
        <v>0</v>
      </c>
      <c r="H73" s="15">
        <f>+'Raw Data - Production'!N78+'Raw Data - Production'!O78+'Raw Data - Production'!P78+'Raw Data - Packing'!L78</f>
        <v>0</v>
      </c>
      <c r="I73" s="66">
        <f>SUMIF('Raw Data - Packing'!A:A,A73,'Raw Data - Packing'!D:D)</f>
        <v>0</v>
      </c>
      <c r="J73" s="15">
        <f>SUMIF('Raw Data - Packing'!A:A,A73,'Raw Data - Packing'!F:F)</f>
        <v>0</v>
      </c>
      <c r="K73" s="20"/>
      <c r="L73" s="68">
        <f>+E73-I73+L72-(G73/Weights!$B$2)</f>
        <v>0</v>
      </c>
      <c r="M73" s="68">
        <f>+F73-J73+M72-(H73/Weights!$B$4)</f>
        <v>9996.1999999999971</v>
      </c>
      <c r="N73" s="68">
        <f>+E73*Weights!$B$2</f>
        <v>0</v>
      </c>
      <c r="O73" s="68">
        <f>+F73*Weights!$B$4</f>
        <v>0</v>
      </c>
      <c r="Q73" s="83">
        <f t="shared" si="8"/>
        <v>0</v>
      </c>
    </row>
    <row r="74" spans="1:17" x14ac:dyDescent="0.35">
      <c r="A74" s="4">
        <f>+'Raw Data - Production'!A79</f>
        <v>46223</v>
      </c>
      <c r="B74" s="6">
        <f t="shared" si="6"/>
        <v>30</v>
      </c>
      <c r="C74" s="6" t="str">
        <f t="shared" si="7"/>
        <v>July</v>
      </c>
      <c r="D74" s="6" t="s">
        <v>173</v>
      </c>
      <c r="E74" s="14">
        <f>+'Raw Data - Production'!D79+'Raw Data - Production'!E79+'Raw Data - Production'!F79</f>
        <v>52800</v>
      </c>
      <c r="F74" s="15">
        <f>+'Raw Data - Production'!G79+'Raw Data - Production'!H79+'Raw Data - Production'!I79</f>
        <v>0</v>
      </c>
      <c r="G74" s="16">
        <f>+'Raw Data - Production'!K79+'Raw Data - Production'!L79+'Raw Data - Packing'!I79</f>
        <v>200</v>
      </c>
      <c r="H74" s="15">
        <f>+'Raw Data - Production'!N79+'Raw Data - Production'!O79+'Raw Data - Production'!P79+'Raw Data - Packing'!L79</f>
        <v>0</v>
      </c>
      <c r="I74" s="66">
        <f>SUMIF('Raw Data - Packing'!A:A,A74,'Raw Data - Packing'!D:D)</f>
        <v>0</v>
      </c>
      <c r="J74" s="15">
        <f>SUMIF('Raw Data - Packing'!A:A,A74,'Raw Data - Packing'!F:F)</f>
        <v>0</v>
      </c>
      <c r="K74" s="20"/>
      <c r="L74" s="68">
        <f>+E74-I74+L73-(G74/Weights!$B$2)</f>
        <v>49639.506172839509</v>
      </c>
      <c r="M74" s="68">
        <f>+F74-J74+M73-(H74/Weights!$B$4)</f>
        <v>9996.1999999999971</v>
      </c>
      <c r="N74" s="68">
        <f>+E74*Weights!$B$2</f>
        <v>3341.25</v>
      </c>
      <c r="O74" s="68">
        <f>+F74*Weights!$B$4</f>
        <v>0</v>
      </c>
      <c r="Q74" s="83">
        <f t="shared" si="8"/>
        <v>0</v>
      </c>
    </row>
    <row r="75" spans="1:17" x14ac:dyDescent="0.35">
      <c r="A75" s="4">
        <f>+'Raw Data - Production'!A80</f>
        <v>46224</v>
      </c>
      <c r="B75" s="6">
        <f t="shared" si="6"/>
        <v>30</v>
      </c>
      <c r="C75" s="6" t="str">
        <f t="shared" si="7"/>
        <v>July</v>
      </c>
      <c r="D75" s="6" t="s">
        <v>173</v>
      </c>
      <c r="E75" s="14">
        <f>+'Raw Data - Production'!D80+'Raw Data - Production'!E80+'Raw Data - Production'!F80</f>
        <v>82848</v>
      </c>
      <c r="F75" s="15">
        <f>+'Raw Data - Production'!G80+'Raw Data - Production'!H80+'Raw Data - Production'!I80</f>
        <v>29645</v>
      </c>
      <c r="G75" s="16">
        <f>+'Raw Data - Production'!K80+'Raw Data - Production'!L80+'Raw Data - Packing'!I80</f>
        <v>277</v>
      </c>
      <c r="H75" s="15">
        <f>+'Raw Data - Production'!N80+'Raw Data - Production'!O80+'Raw Data - Production'!P80+'Raw Data - Packing'!L80</f>
        <v>570</v>
      </c>
      <c r="I75" s="66">
        <f>SUMIF('Raw Data - Packing'!A:A,A75,'Raw Data - Packing'!D:D)</f>
        <v>0</v>
      </c>
      <c r="J75" s="15">
        <f>SUMIF('Raw Data - Packing'!A:A,A75,'Raw Data - Packing'!F:F)</f>
        <v>21440</v>
      </c>
      <c r="K75" s="20"/>
      <c r="L75" s="68">
        <f>+E75-I75+L74-(G75/Weights!$B$2)</f>
        <v>128110.2222222222</v>
      </c>
      <c r="M75" s="68">
        <f>+F75-J75+M74-(H75/Weights!$B$4)</f>
        <v>14553.199999999997</v>
      </c>
      <c r="N75" s="68">
        <f>+E75*Weights!$B$2</f>
        <v>5242.7249999999995</v>
      </c>
      <c r="O75" s="68">
        <f>+F75*Weights!$B$4</f>
        <v>4632.03125</v>
      </c>
      <c r="Q75" s="83">
        <f t="shared" si="8"/>
        <v>21440</v>
      </c>
    </row>
    <row r="76" spans="1:17" x14ac:dyDescent="0.35">
      <c r="A76" s="4">
        <f>+'Raw Data - Production'!A81</f>
        <v>46225</v>
      </c>
      <c r="B76" s="6">
        <f t="shared" si="6"/>
        <v>30</v>
      </c>
      <c r="C76" s="6" t="str">
        <f t="shared" si="7"/>
        <v>July</v>
      </c>
      <c r="D76" s="6" t="s">
        <v>173</v>
      </c>
      <c r="E76" s="14">
        <f>+'Raw Data - Production'!D81+'Raw Data - Production'!E81+'Raw Data - Production'!F81</f>
        <v>73296</v>
      </c>
      <c r="F76" s="15">
        <f>+'Raw Data - Production'!G81+'Raw Data - Production'!H81+'Raw Data - Production'!I81</f>
        <v>23800</v>
      </c>
      <c r="G76" s="16">
        <f>+'Raw Data - Production'!K81+'Raw Data - Production'!L81+'Raw Data - Packing'!I81</f>
        <v>510</v>
      </c>
      <c r="H76" s="15">
        <f>+'Raw Data - Production'!N81+'Raw Data - Production'!O81+'Raw Data - Production'!P81+'Raw Data - Packing'!L81</f>
        <v>512</v>
      </c>
      <c r="I76" s="66">
        <f>SUMIF('Raw Data - Packing'!A:A,A76,'Raw Data - Packing'!D:D)</f>
        <v>37800</v>
      </c>
      <c r="J76" s="15">
        <f>SUMIF('Raw Data - Packing'!A:A,A76,'Raw Data - Packing'!F:F)</f>
        <v>32704</v>
      </c>
      <c r="K76" s="20"/>
      <c r="L76" s="68">
        <f>+E76-I76+L75-(G76/Weights!$B$2)</f>
        <v>155546.96296296292</v>
      </c>
      <c r="M76" s="68">
        <f>+F76-J76+M75-(H76/Weights!$B$4)</f>
        <v>2372.3999999999969</v>
      </c>
      <c r="N76" s="68">
        <f>+E76*Weights!$B$2</f>
        <v>4638.2624999999998</v>
      </c>
      <c r="O76" s="68">
        <f>+F76*Weights!$B$4</f>
        <v>3718.75</v>
      </c>
      <c r="Q76" s="83">
        <f t="shared" si="8"/>
        <v>70504</v>
      </c>
    </row>
    <row r="77" spans="1:17" x14ac:dyDescent="0.35">
      <c r="A77" s="4">
        <f>+'Raw Data - Production'!A82</f>
        <v>46226</v>
      </c>
      <c r="B77" s="6">
        <f t="shared" si="6"/>
        <v>30</v>
      </c>
      <c r="C77" s="6" t="str">
        <f t="shared" si="7"/>
        <v>July</v>
      </c>
      <c r="D77" s="6" t="s">
        <v>173</v>
      </c>
      <c r="E77" s="14">
        <f>+'Raw Data - Production'!D82+'Raw Data - Production'!E82+'Raw Data - Production'!F82</f>
        <v>75264</v>
      </c>
      <c r="F77" s="15">
        <f>+'Raw Data - Production'!G82+'Raw Data - Production'!H82+'Raw Data - Production'!I82</f>
        <v>21542.5</v>
      </c>
      <c r="G77" s="16">
        <f>+'Raw Data - Production'!K82+'Raw Data - Production'!L82+'Raw Data - Packing'!I82</f>
        <v>373</v>
      </c>
      <c r="H77" s="15">
        <f>+'Raw Data - Production'!N82+'Raw Data - Production'!O82+'Raw Data - Production'!P82+'Raw Data - Packing'!L82</f>
        <v>573</v>
      </c>
      <c r="I77" s="66">
        <f>SUMIF('Raw Data - Packing'!A:A,A77,'Raw Data - Packing'!D:D)</f>
        <v>60480</v>
      </c>
      <c r="J77" s="15">
        <f>SUMIF('Raw Data - Packing'!A:A,A77,'Raw Data - Packing'!F:F)</f>
        <v>24288</v>
      </c>
      <c r="K77" s="20"/>
      <c r="L77" s="68">
        <f>+E77-I77+L76-(G77/Weights!$B$2)</f>
        <v>164436.64197530859</v>
      </c>
      <c r="M77" s="68">
        <f>13*150</f>
        <v>1950</v>
      </c>
      <c r="N77" s="68">
        <f>+E77*Weights!$B$2</f>
        <v>4762.8</v>
      </c>
      <c r="O77" s="68">
        <f>+F77*Weights!$B$4</f>
        <v>3366.015625</v>
      </c>
      <c r="Q77" s="83">
        <f t="shared" si="8"/>
        <v>84768</v>
      </c>
    </row>
    <row r="78" spans="1:17" x14ac:dyDescent="0.35">
      <c r="A78" s="4">
        <f>+'Raw Data - Production'!A83</f>
        <v>46227</v>
      </c>
      <c r="B78" s="6">
        <f t="shared" si="6"/>
        <v>30</v>
      </c>
      <c r="C78" s="6" t="str">
        <f t="shared" si="7"/>
        <v>July</v>
      </c>
      <c r="D78" s="6" t="s">
        <v>173</v>
      </c>
      <c r="E78" s="14">
        <f>+'Raw Data - Production'!D83+'Raw Data - Production'!E83+'Raw Data - Production'!F83</f>
        <v>0</v>
      </c>
      <c r="F78" s="15">
        <f>+'Raw Data - Production'!G83+'Raw Data - Production'!H83+'Raw Data - Production'!I83</f>
        <v>0</v>
      </c>
      <c r="G78" s="16">
        <f>+'Raw Data - Production'!K83+'Raw Data - Production'!L83+'Raw Data - Packing'!I83</f>
        <v>147</v>
      </c>
      <c r="H78" s="15">
        <f>+'Raw Data - Production'!N83+'Raw Data - Production'!O83+'Raw Data - Production'!P83+'Raw Data - Packing'!L83</f>
        <v>0</v>
      </c>
      <c r="I78" s="66">
        <f>SUMIF('Raw Data - Packing'!A:A,A78,'Raw Data - Packing'!D:D)</f>
        <v>87135</v>
      </c>
      <c r="J78" s="15">
        <f>SUMIF('Raw Data - Packing'!A:A,A78,'Raw Data - Packing'!F:F)</f>
        <v>1888</v>
      </c>
      <c r="K78" s="20"/>
      <c r="L78" s="68">
        <f>+E78-I78+L77-(G78/Weights!$B$2)</f>
        <v>74978.67901234563</v>
      </c>
      <c r="M78" s="68">
        <v>0</v>
      </c>
      <c r="N78" s="68">
        <f>+E78*Weights!$B$2</f>
        <v>0</v>
      </c>
      <c r="O78" s="68">
        <f>+F78*Weights!$B$4</f>
        <v>0</v>
      </c>
      <c r="Q78" s="83">
        <f t="shared" si="8"/>
        <v>89023</v>
      </c>
    </row>
    <row r="79" spans="1:17" x14ac:dyDescent="0.35">
      <c r="A79" s="4">
        <f>+'Raw Data - Production'!A84</f>
        <v>46230</v>
      </c>
      <c r="B79" s="6">
        <f t="shared" si="6"/>
        <v>31</v>
      </c>
      <c r="C79" s="6" t="str">
        <f t="shared" si="7"/>
        <v>July</v>
      </c>
      <c r="D79" s="6" t="s">
        <v>173</v>
      </c>
      <c r="E79" s="14">
        <f>+'Raw Data - Production'!D84+'Raw Data - Production'!E84+'Raw Data - Production'!F84</f>
        <v>56448</v>
      </c>
      <c r="F79" s="15">
        <f>+'Raw Data - Production'!G84+'Raw Data - Production'!H84+'Raw Data - Production'!I84</f>
        <v>25392.5</v>
      </c>
      <c r="G79" s="16">
        <f>+'Raw Data - Production'!K84+'Raw Data - Production'!L84+'Raw Data - Packing'!I84</f>
        <v>424</v>
      </c>
      <c r="H79" s="15">
        <f>+'Raw Data - Production'!N84+'Raw Data - Production'!O84+'Raw Data - Production'!P84+'Raw Data - Packing'!L84</f>
        <v>183</v>
      </c>
      <c r="I79" s="66">
        <f>SUMIF('Raw Data - Packing'!A:A,A79,'Raw Data - Packing'!D:D)</f>
        <v>62490</v>
      </c>
      <c r="J79" s="15">
        <f>SUMIF('Raw Data - Packing'!A:A,A79,'Raw Data - Packing'!F:F)</f>
        <v>19392</v>
      </c>
      <c r="K79" s="20"/>
      <c r="L79" s="68">
        <f>+E79-I79+L78-(G79/Weights!$B$2)</f>
        <v>62236.432098765385</v>
      </c>
      <c r="M79" s="68">
        <f>+F79-J79+M78-(H79/Weights!$B$4)</f>
        <v>4829.3</v>
      </c>
      <c r="N79" s="68">
        <f>+E79*Weights!$B$2</f>
        <v>3572.1</v>
      </c>
      <c r="O79" s="68">
        <f>+F79*Weights!$B$4</f>
        <v>3967.578125</v>
      </c>
      <c r="Q79" s="83">
        <f t="shared" si="8"/>
        <v>81882</v>
      </c>
    </row>
    <row r="80" spans="1:17" x14ac:dyDescent="0.35">
      <c r="A80" s="4">
        <f>+'Raw Data - Production'!A85</f>
        <v>46231</v>
      </c>
      <c r="B80" s="6">
        <f t="shared" si="6"/>
        <v>31</v>
      </c>
      <c r="C80" s="6" t="str">
        <f t="shared" si="7"/>
        <v>July</v>
      </c>
      <c r="D80" s="6" t="s">
        <v>173</v>
      </c>
      <c r="E80" s="14">
        <f>+'Raw Data - Production'!D85+'Raw Data - Production'!E85+'Raw Data - Production'!F85</f>
        <v>48888</v>
      </c>
      <c r="F80" s="15">
        <f>+'Raw Data - Production'!G85+'Raw Data - Production'!H85+'Raw Data - Production'!I85</f>
        <v>29662</v>
      </c>
      <c r="G80" s="16">
        <f>+'Raw Data - Production'!K85+'Raw Data - Production'!L85+'Raw Data - Packing'!I85</f>
        <v>198</v>
      </c>
      <c r="H80" s="15">
        <f>+'Raw Data - Production'!N85+'Raw Data - Production'!O85+'Raw Data - Production'!P85+'Raw Data - Packing'!L85</f>
        <v>154</v>
      </c>
      <c r="I80" s="66">
        <f>SUMIF('Raw Data - Packing'!A:A,A80,'Raw Data - Packing'!D:D)</f>
        <v>104775</v>
      </c>
      <c r="J80" s="15">
        <f>SUMIF('Raw Data - Packing'!A:A,A80,'Raw Data - Packing'!F:F)</f>
        <v>26944</v>
      </c>
      <c r="K80" s="20"/>
      <c r="L80" s="68">
        <f>+E80-I80+L79-(G80/Weights!$B$2)</f>
        <v>3220.5432098764954</v>
      </c>
      <c r="M80" s="68">
        <f>+F80-J80+M79-(H80/Weights!$B$4)</f>
        <v>6561.7</v>
      </c>
      <c r="N80" s="68">
        <f>+E80*Weights!$B$2</f>
        <v>3093.6937499999999</v>
      </c>
      <c r="O80" s="68">
        <f>+F80*Weights!$B$4</f>
        <v>4634.6875</v>
      </c>
      <c r="Q80" s="83">
        <f t="shared" si="8"/>
        <v>131719</v>
      </c>
    </row>
    <row r="81" spans="1:20" x14ac:dyDescent="0.35">
      <c r="A81" s="4">
        <f>+'Raw Data - Production'!A86</f>
        <v>46232</v>
      </c>
      <c r="B81" s="6">
        <f t="shared" si="6"/>
        <v>31</v>
      </c>
      <c r="C81" s="6" t="str">
        <f t="shared" si="7"/>
        <v>July</v>
      </c>
      <c r="D81" s="6" t="s">
        <v>173</v>
      </c>
      <c r="E81" s="14">
        <f>+'Raw Data - Production'!D86+'Raw Data - Production'!E86+'Raw Data - Production'!F86</f>
        <v>69080</v>
      </c>
      <c r="F81" s="15">
        <f>+'Raw Data - Production'!G86+'Raw Data - Production'!H86+'Raw Data - Production'!I86</f>
        <v>34527.5</v>
      </c>
      <c r="G81" s="16">
        <f>+'Raw Data - Production'!K86+'Raw Data - Production'!L86+'Raw Data - Packing'!I86</f>
        <v>516.85</v>
      </c>
      <c r="H81" s="15">
        <f>+'Raw Data - Production'!N86+'Raw Data - Production'!O86+'Raw Data - Production'!P86+'Raw Data - Packing'!L86</f>
        <v>1134</v>
      </c>
      <c r="I81" s="66">
        <f>SUMIF('Raw Data - Packing'!A:A,A81,'Raw Data - Packing'!D:D)</f>
        <v>58320</v>
      </c>
      <c r="J81" s="15">
        <f>SUMIF('Raw Data - Packing'!A:A,A81,'Raw Data - Packing'!F:F)</f>
        <v>22560</v>
      </c>
      <c r="K81" s="20"/>
      <c r="L81" s="68">
        <f>+E81-I81+L80-(G81/Weights!$B$2)</f>
        <v>5813.0370370369892</v>
      </c>
      <c r="M81" s="68">
        <f>+F81-J81+M80-(H81/Weights!$B$4)</f>
        <v>11271.6</v>
      </c>
      <c r="N81" s="68">
        <f>+E81*Weights!$B$2</f>
        <v>4371.46875</v>
      </c>
      <c r="O81" s="68">
        <f>+F81*Weights!$B$4</f>
        <v>5394.921875</v>
      </c>
      <c r="Q81" s="83">
        <f t="shared" si="8"/>
        <v>80880</v>
      </c>
    </row>
    <row r="82" spans="1:20" x14ac:dyDescent="0.35">
      <c r="A82" s="4">
        <f>+'Raw Data - Production'!A87</f>
        <v>46233</v>
      </c>
      <c r="B82" s="6">
        <f t="shared" si="6"/>
        <v>31</v>
      </c>
      <c r="C82" s="6" t="str">
        <f t="shared" si="7"/>
        <v>July</v>
      </c>
      <c r="D82" s="6" t="s">
        <v>173</v>
      </c>
      <c r="E82" s="14">
        <f>+'Raw Data - Production'!D87+'Raw Data - Production'!E87+'Raw Data - Production'!F87</f>
        <v>41664</v>
      </c>
      <c r="F82" s="15">
        <f>+'Raw Data - Production'!G87+'Raw Data - Production'!H87+'Raw Data - Production'!I87</f>
        <v>0</v>
      </c>
      <c r="G82" s="16">
        <f>+'Raw Data - Production'!K87+'Raw Data - Production'!L87+'Raw Data - Packing'!I87</f>
        <v>280</v>
      </c>
      <c r="H82" s="15">
        <f>+'Raw Data - Production'!N87+'Raw Data - Production'!O87+'Raw Data - Production'!P87+'Raw Data - Packing'!L87</f>
        <v>431.25</v>
      </c>
      <c r="I82" s="66">
        <f>SUMIF('Raw Data - Packing'!A:A,A82,'Raw Data - Packing'!D:D)</f>
        <v>45360</v>
      </c>
      <c r="J82" s="15">
        <f>SUMIF('Raw Data - Packing'!A:A,A82,'Raw Data - Packing'!F:F)</f>
        <v>8512</v>
      </c>
      <c r="K82" s="20"/>
      <c r="L82" s="68">
        <f>+E82-I82+L81-(G82/Weights!$B$2)</f>
        <v>-2307.6543209877027</v>
      </c>
      <c r="M82" s="68">
        <f>+F82-J82+M81-(H82/Weights!$B$4)</f>
        <v>-0.3999999999996362</v>
      </c>
      <c r="N82" s="68">
        <f>+E82*Weights!$B$2</f>
        <v>2636.5499999999997</v>
      </c>
      <c r="O82" s="68">
        <f>+F82*Weights!$B$4</f>
        <v>0</v>
      </c>
      <c r="Q82" s="83">
        <f t="shared" si="8"/>
        <v>53872</v>
      </c>
    </row>
    <row r="83" spans="1:20" x14ac:dyDescent="0.35">
      <c r="A83" s="4">
        <f>+'Raw Data - Production'!A88</f>
        <v>46234</v>
      </c>
      <c r="B83" s="6">
        <f t="shared" si="6"/>
        <v>31</v>
      </c>
      <c r="C83" s="6" t="str">
        <f t="shared" si="7"/>
        <v>July</v>
      </c>
      <c r="D83" s="6" t="s">
        <v>173</v>
      </c>
      <c r="E83" s="14">
        <f>+'Raw Data - Production'!D88+'Raw Data - Production'!E88+'Raw Data - Production'!F88</f>
        <v>0</v>
      </c>
      <c r="F83" s="15">
        <f>+'Raw Data - Production'!G88+'Raw Data - Production'!H88+'Raw Data - Production'!I88</f>
        <v>0</v>
      </c>
      <c r="G83" s="16">
        <f>+'Raw Data - Production'!K88+'Raw Data - Production'!L88+'Raw Data - Packing'!I88</f>
        <v>0</v>
      </c>
      <c r="H83" s="15">
        <f>+'Raw Data - Production'!N88+'Raw Data - Production'!O88+'Raw Data - Production'!P88+'Raw Data - Packing'!L88</f>
        <v>0</v>
      </c>
      <c r="I83" s="66">
        <f>SUMIF('Raw Data - Packing'!A:A,A83,'Raw Data - Packing'!D:D)</f>
        <v>0</v>
      </c>
      <c r="J83" s="15">
        <f>SUMIF('Raw Data - Packing'!A:A,A83,'Raw Data - Packing'!F:F)</f>
        <v>0</v>
      </c>
      <c r="K83" s="20"/>
      <c r="L83" s="68">
        <f>+E83-I83+L82-(G83/Weights!$B$2)</f>
        <v>-2307.6543209877027</v>
      </c>
      <c r="M83" s="68">
        <f>+F83-J83+M82-(H83/Weights!$B$4)</f>
        <v>-0.3999999999996362</v>
      </c>
      <c r="N83" s="68">
        <f>+E83*Weights!$B$2</f>
        <v>0</v>
      </c>
      <c r="O83" s="68">
        <f>+F83*Weights!$B$4</f>
        <v>0</v>
      </c>
      <c r="Q83" s="83">
        <f t="shared" si="8"/>
        <v>0</v>
      </c>
    </row>
    <row r="84" spans="1:20" x14ac:dyDescent="0.35">
      <c r="A84" s="4">
        <f>+'Raw Data - Production'!A89</f>
        <v>46237</v>
      </c>
      <c r="B84" s="6">
        <f t="shared" si="6"/>
        <v>32</v>
      </c>
      <c r="C84" s="6" t="str">
        <f t="shared" si="7"/>
        <v>August</v>
      </c>
      <c r="D84" s="6" t="s">
        <v>183</v>
      </c>
      <c r="E84" s="14">
        <f>+'Raw Data - Production'!D89+'Raw Data - Production'!E89+'Raw Data - Production'!F89</f>
        <v>69792</v>
      </c>
      <c r="F84" s="15">
        <f>+'Raw Data - Production'!G89+'Raw Data - Production'!H89+'Raw Data - Production'!I89</f>
        <v>44765</v>
      </c>
      <c r="G84" s="16">
        <f>+'Raw Data - Production'!K89+'Raw Data - Production'!L89+'Raw Data - Packing'!I89</f>
        <v>411</v>
      </c>
      <c r="H84" s="15">
        <f>+'Raw Data - Production'!N89+'Raw Data - Production'!O89+'Raw Data - Production'!P89+'Raw Data - Packing'!L89</f>
        <v>1024</v>
      </c>
      <c r="I84" s="66">
        <f>SUMIF('Raw Data - Packing'!A:A,A84,'Raw Data - Packing'!D:D)</f>
        <v>59940</v>
      </c>
      <c r="J84" s="15">
        <f>SUMIF('Raw Data - Packing'!A:A,A84,'Raw Data - Packing'!F:F)</f>
        <v>21600</v>
      </c>
      <c r="K84" s="20"/>
      <c r="L84" s="68">
        <f>+E84-I84+L83-(G84/Weights!$B$2)</f>
        <v>1049.5308641974825</v>
      </c>
      <c r="M84" s="68">
        <f>+F84-J84+M83-(H84/Weights!$B$4)</f>
        <v>16611</v>
      </c>
      <c r="N84" s="68">
        <f>+E84*Weights!$B$2</f>
        <v>4416.5249999999996</v>
      </c>
      <c r="O84" s="68">
        <f>+F84*Weights!$B$4</f>
        <v>6994.53125</v>
      </c>
      <c r="Q84" s="83">
        <f t="shared" si="8"/>
        <v>81540</v>
      </c>
    </row>
    <row r="85" spans="1:20" x14ac:dyDescent="0.35">
      <c r="A85" s="4">
        <f>+'Raw Data - Production'!A90</f>
        <v>46238</v>
      </c>
      <c r="B85" s="6">
        <f t="shared" si="6"/>
        <v>32</v>
      </c>
      <c r="C85" s="6" t="str">
        <f t="shared" si="7"/>
        <v>August</v>
      </c>
      <c r="D85" s="6" t="s">
        <v>183</v>
      </c>
      <c r="E85" s="14">
        <f>+'Raw Data - Production'!D90+'Raw Data - Production'!E90+'Raw Data - Production'!F90</f>
        <v>87648</v>
      </c>
      <c r="F85" s="15">
        <f>+'Raw Data - Production'!G90+'Raw Data - Production'!H90+'Raw Data - Production'!I90</f>
        <v>35560</v>
      </c>
      <c r="G85" s="16">
        <f>+'Raw Data - Production'!K90+'Raw Data - Production'!L90+'Raw Data - Packing'!I90</f>
        <v>762</v>
      </c>
      <c r="H85" s="15">
        <f>+'Raw Data - Production'!N90+'Raw Data - Production'!O90+'Raw Data - Production'!P90+'Raw Data - Packing'!L90</f>
        <v>524</v>
      </c>
      <c r="I85" s="66">
        <f>SUMIF('Raw Data - Packing'!A:A,A85,'Raw Data - Packing'!D:D)</f>
        <v>78780</v>
      </c>
      <c r="J85" s="15">
        <f>SUMIF('Raw Data - Packing'!A:A,A85,'Raw Data - Packing'!F:F)</f>
        <v>25920</v>
      </c>
      <c r="K85" s="20"/>
      <c r="L85" s="68">
        <f>+E85-I85+L84-(G85/Weights!$B$2)</f>
        <v>-2123.9506172839992</v>
      </c>
      <c r="M85" s="68">
        <f>+F85-J85+M84-(H85/Weights!$B$4)</f>
        <v>22897.4</v>
      </c>
      <c r="N85" s="68">
        <f>+E85*Weights!$B$2</f>
        <v>5546.4749999999995</v>
      </c>
      <c r="O85" s="68">
        <f>+F85*Weights!$B$4</f>
        <v>5556.25</v>
      </c>
      <c r="Q85" s="83">
        <f t="shared" si="8"/>
        <v>104700</v>
      </c>
      <c r="S85" s="11" t="s">
        <v>182</v>
      </c>
    </row>
    <row r="86" spans="1:20" x14ac:dyDescent="0.35">
      <c r="A86" s="4">
        <f>+'Raw Data - Production'!A91</f>
        <v>46239</v>
      </c>
      <c r="B86" s="6">
        <f t="shared" si="6"/>
        <v>32</v>
      </c>
      <c r="C86" s="6" t="str">
        <f t="shared" si="7"/>
        <v>August</v>
      </c>
      <c r="D86" s="6" t="s">
        <v>183</v>
      </c>
      <c r="E86" s="14">
        <f>+'Raw Data - Production'!D91+'Raw Data - Production'!E91+'Raw Data - Production'!F91</f>
        <v>80592</v>
      </c>
      <c r="F86" s="15">
        <f>+'Raw Data - Production'!G91+'Raw Data - Production'!H91+'Raw Data - Production'!I91</f>
        <v>32830</v>
      </c>
      <c r="G86" s="16">
        <f>+'Raw Data - Production'!K91+'Raw Data - Production'!L91+'Raw Data - Packing'!I91</f>
        <v>735</v>
      </c>
      <c r="H86" s="15">
        <f>+'Raw Data - Production'!N91+'Raw Data - Production'!O91+'Raw Data - Production'!P91+'Raw Data - Packing'!L91</f>
        <v>984</v>
      </c>
      <c r="I86" s="66">
        <f>SUMIF('Raw Data - Packing'!A:A,A86,'Raw Data - Packing'!D:D)</f>
        <v>52920</v>
      </c>
      <c r="J86" s="15">
        <f>SUMIF('Raw Data - Packing'!A:A,A86,'Raw Data - Packing'!F:F)</f>
        <v>21600</v>
      </c>
      <c r="K86" s="20"/>
      <c r="L86" s="68">
        <f>+E86-I86+L85-(G86/Weights!$B$2)</f>
        <v>13933.234567901187</v>
      </c>
      <c r="M86" s="68">
        <f>+F86-J86+M85-(H86/Weights!$B$4)</f>
        <v>27829.800000000003</v>
      </c>
      <c r="N86" s="68">
        <f>+E86*Weights!$B$2</f>
        <v>5099.9624999999996</v>
      </c>
      <c r="O86" s="68">
        <f>+F86*Weights!$B$4</f>
        <v>5129.6875</v>
      </c>
      <c r="Q86" s="83">
        <f t="shared" si="8"/>
        <v>74520</v>
      </c>
    </row>
    <row r="87" spans="1:20" x14ac:dyDescent="0.35">
      <c r="A87" s="4">
        <f>+'Raw Data - Production'!A92</f>
        <v>46240</v>
      </c>
      <c r="B87" s="6">
        <f t="shared" si="6"/>
        <v>32</v>
      </c>
      <c r="C87" s="6" t="str">
        <f t="shared" si="7"/>
        <v>August</v>
      </c>
      <c r="D87" s="6" t="s">
        <v>183</v>
      </c>
      <c r="E87" s="14">
        <f>+'Raw Data - Production'!D92+'Raw Data - Production'!E92+'Raw Data - Production'!F92</f>
        <v>50400</v>
      </c>
      <c r="F87" s="15">
        <f>+'Raw Data - Production'!G92+'Raw Data - Production'!H92+'Raw Data - Production'!I92</f>
        <v>35105</v>
      </c>
      <c r="G87" s="16">
        <f>+'Raw Data - Production'!K92+'Raw Data - Production'!L92+'Raw Data - Packing'!I92</f>
        <v>509</v>
      </c>
      <c r="H87" s="15">
        <f>+'Raw Data - Production'!N92+'Raw Data - Production'!O92+'Raw Data - Production'!P92+'Raw Data - Packing'!L92</f>
        <v>604</v>
      </c>
      <c r="I87" s="66">
        <f>SUMIF('Raw Data - Packing'!A:A,A87,'Raw Data - Packing'!D:D)</f>
        <v>43560</v>
      </c>
      <c r="J87" s="15">
        <f>SUMIF('Raw Data - Packing'!A:A,A87,'Raw Data - Packing'!F:F)</f>
        <v>30240</v>
      </c>
      <c r="K87" s="20"/>
      <c r="L87" s="68">
        <f>+E87-I87+L86-(G87/Weights!$B$2)</f>
        <v>12729.777777777728</v>
      </c>
      <c r="M87" s="68">
        <f>+F87-J87+M86-(H87/Weights!$B$4)</f>
        <v>28829.200000000004</v>
      </c>
      <c r="N87" s="68">
        <f>+E87*Weights!$B$2</f>
        <v>3189.375</v>
      </c>
      <c r="O87" s="68">
        <f>+F87*Weights!$B$4</f>
        <v>5485.15625</v>
      </c>
      <c r="Q87" s="83">
        <f t="shared" si="8"/>
        <v>73800</v>
      </c>
    </row>
    <row r="88" spans="1:20" x14ac:dyDescent="0.35">
      <c r="A88" s="4">
        <f>+'Raw Data - Production'!A93</f>
        <v>46241</v>
      </c>
      <c r="B88" s="6">
        <f t="shared" si="6"/>
        <v>32</v>
      </c>
      <c r="C88" s="6" t="str">
        <f t="shared" si="7"/>
        <v>August</v>
      </c>
      <c r="D88" s="6" t="s">
        <v>183</v>
      </c>
      <c r="E88" s="14">
        <f>+'Raw Data - Production'!D93+'Raw Data - Production'!E93+'Raw Data - Production'!F93</f>
        <v>0</v>
      </c>
      <c r="F88" s="15">
        <f>+'Raw Data - Production'!G93+'Raw Data - Production'!H93+'Raw Data - Production'!I93</f>
        <v>0</v>
      </c>
      <c r="G88" s="16">
        <f>+'Raw Data - Production'!K93+'Raw Data - Production'!L93+'Raw Data - Packing'!I93</f>
        <v>0</v>
      </c>
      <c r="H88" s="15">
        <f>+'Raw Data - Production'!N93+'Raw Data - Production'!O93+'Raw Data - Production'!P93+'Raw Data - Packing'!L93</f>
        <v>0</v>
      </c>
      <c r="I88" s="66">
        <f>SUMIF('Raw Data - Packing'!A:A,A88,'Raw Data - Packing'!D:D)</f>
        <v>0</v>
      </c>
      <c r="J88" s="15">
        <f>SUMIF('Raw Data - Packing'!A:A,A88,'Raw Data - Packing'!F:F)</f>
        <v>0</v>
      </c>
      <c r="K88" s="20"/>
      <c r="L88" s="68">
        <f>+E88-I88+L87-(G88/Weights!$B$2)</f>
        <v>12729.777777777728</v>
      </c>
      <c r="M88" s="68">
        <f>+F88-J88+M87-(H88/Weights!$B$4)</f>
        <v>28829.200000000004</v>
      </c>
      <c r="N88" s="68">
        <f>+E88*Weights!$B$2</f>
        <v>0</v>
      </c>
      <c r="O88" s="68">
        <f>+F88*Weights!$B$4</f>
        <v>0</v>
      </c>
      <c r="Q88" s="83">
        <f t="shared" si="8"/>
        <v>0</v>
      </c>
    </row>
    <row r="89" spans="1:20" x14ac:dyDescent="0.35">
      <c r="A89" s="4">
        <f>+'Raw Data - Production'!A94</f>
        <v>46244</v>
      </c>
      <c r="B89" s="6">
        <f t="shared" si="6"/>
        <v>33</v>
      </c>
      <c r="C89" s="6" t="str">
        <f t="shared" si="7"/>
        <v>August</v>
      </c>
      <c r="D89" s="6" t="s">
        <v>183</v>
      </c>
      <c r="E89" s="14">
        <f>+'Raw Data - Production'!D94+'Raw Data - Production'!E94+'Raw Data - Production'!F94</f>
        <v>68736</v>
      </c>
      <c r="F89" s="15">
        <f>+'Raw Data - Production'!G94+'Raw Data - Production'!H94+'Raw Data - Production'!I94</f>
        <v>46690</v>
      </c>
      <c r="G89" s="16">
        <f>+'Raw Data - Production'!K94+'Raw Data - Production'!L94+'Raw Data - Packing'!I94</f>
        <v>250</v>
      </c>
      <c r="H89" s="15">
        <f>+'Raw Data - Production'!N94+'Raw Data - Production'!O94+'Raw Data - Production'!P94+'Raw Data - Packing'!L94</f>
        <v>1060</v>
      </c>
      <c r="I89" s="66">
        <f>SUMIF('Raw Data - Packing'!A:A,A89,'Raw Data - Packing'!D:D)</f>
        <v>63780</v>
      </c>
      <c r="J89" s="15">
        <f>SUMIF('Raw Data - Packing'!A:A,A89,'Raw Data - Packing'!F:F)</f>
        <v>30336</v>
      </c>
      <c r="K89" s="20"/>
      <c r="L89" s="68">
        <f>+E89-I89+L88-(G89/Weights!$B$2)</f>
        <v>13735.160493827112</v>
      </c>
      <c r="M89" s="68">
        <f>+F89-J89+M88-(H89/Weights!$B$4)</f>
        <v>38399.200000000004</v>
      </c>
      <c r="N89" s="68">
        <f>+E89*Weights!$B$2</f>
        <v>4349.7</v>
      </c>
      <c r="O89" s="68">
        <f>+F89*Weights!$B$4</f>
        <v>7295.3125</v>
      </c>
      <c r="Q89" s="83">
        <f t="shared" si="8"/>
        <v>94116</v>
      </c>
      <c r="S89" s="11">
        <f>+E89-(G89*Weights!$B$2)</f>
        <v>68720.1796875</v>
      </c>
      <c r="T89" s="11">
        <f>+F89-(H89*Weights!$B$4)</f>
        <v>46524.375</v>
      </c>
    </row>
    <row r="90" spans="1:20" x14ac:dyDescent="0.35">
      <c r="A90" s="4">
        <f>+'Raw Data - Production'!A95</f>
        <v>46245</v>
      </c>
      <c r="B90" s="6">
        <f t="shared" si="6"/>
        <v>33</v>
      </c>
      <c r="C90" s="6" t="str">
        <f t="shared" si="7"/>
        <v>August</v>
      </c>
      <c r="D90" s="6" t="s">
        <v>183</v>
      </c>
      <c r="E90" s="14">
        <f>+'Raw Data - Production'!D95+'Raw Data - Production'!E95+'Raw Data - Production'!F95</f>
        <v>84960</v>
      </c>
      <c r="F90" s="15">
        <f>+'Raw Data - Production'!G95+'Raw Data - Production'!H95+'Raw Data - Production'!I95</f>
        <v>40425</v>
      </c>
      <c r="G90" s="16">
        <f>+'Raw Data - Production'!K95+'Raw Data - Production'!L95+'Raw Data - Packing'!I95</f>
        <v>336</v>
      </c>
      <c r="H90" s="15">
        <f>+'Raw Data - Production'!N95+'Raw Data - Production'!O95+'Raw Data - Production'!P95+'Raw Data - Packing'!L95</f>
        <v>862</v>
      </c>
      <c r="I90" s="66">
        <f>SUMIF('Raw Data - Packing'!A:A,A90,'Raw Data - Packing'!D:D)</f>
        <v>48060</v>
      </c>
      <c r="J90" s="15">
        <f>SUMIF('Raw Data - Packing'!A:A,A90,'Raw Data - Packing'!F:F)</f>
        <v>40550</v>
      </c>
      <c r="K90" s="20"/>
      <c r="L90" s="68">
        <f>+E90-I90+L89-(G90/Weights!$B$2)</f>
        <v>45325.530864197484</v>
      </c>
      <c r="M90" s="68">
        <f>+F90-J90+M89-(H90/Weights!$B$4)</f>
        <v>32757.400000000005</v>
      </c>
      <c r="N90" s="68">
        <f>+E90*Weights!$B$2</f>
        <v>5376.375</v>
      </c>
      <c r="O90" s="68">
        <f>+F90*Weights!$B$4</f>
        <v>6316.40625</v>
      </c>
      <c r="Q90" s="83">
        <f t="shared" si="8"/>
        <v>88610</v>
      </c>
      <c r="S90" s="11">
        <f>+E90-(G90*Weights!$B$2)</f>
        <v>84938.737500000003</v>
      </c>
      <c r="T90" s="11">
        <f>+F90-(H90*Weights!$B$4)</f>
        <v>40290.3125</v>
      </c>
    </row>
    <row r="91" spans="1:20" x14ac:dyDescent="0.35">
      <c r="A91" s="4">
        <f>+'Raw Data - Production'!A96</f>
        <v>46246</v>
      </c>
      <c r="B91" s="6">
        <f t="shared" si="6"/>
        <v>33</v>
      </c>
      <c r="C91" s="6" t="str">
        <f t="shared" si="7"/>
        <v>August</v>
      </c>
      <c r="D91" s="6" t="s">
        <v>183</v>
      </c>
      <c r="E91" s="14">
        <f>+'Raw Data - Production'!D96+'Raw Data - Production'!E96+'Raw Data - Production'!F96</f>
        <v>90720</v>
      </c>
      <c r="F91" s="15">
        <f>+'Raw Data - Production'!G96+'Raw Data - Production'!H96+'Raw Data - Production'!I96</f>
        <v>40565</v>
      </c>
      <c r="G91" s="16">
        <f>+'Raw Data - Production'!K96+'Raw Data - Production'!L96+'Raw Data - Packing'!I96</f>
        <v>306</v>
      </c>
      <c r="H91" s="15">
        <f>+'Raw Data - Production'!N96+'Raw Data - Production'!O96+'Raw Data - Production'!P96+'Raw Data - Packing'!L96</f>
        <v>189</v>
      </c>
      <c r="I91" s="66">
        <f>SUMIF('Raw Data - Packing'!A:A,A91,'Raw Data - Packing'!D:D)</f>
        <v>60480</v>
      </c>
      <c r="J91" s="15">
        <f>SUMIF('Raw Data - Packing'!A:A,A91,'Raw Data - Packing'!F:F)</f>
        <v>28800</v>
      </c>
      <c r="K91" s="20"/>
      <c r="L91" s="68">
        <f>+E91-I91+L90-(G91/Weights!$B$2)</f>
        <v>70729.975308641922</v>
      </c>
      <c r="M91" s="68">
        <f>+F91-J91+M90-(H91/Weights!$B$4)</f>
        <v>43312.80000000001</v>
      </c>
      <c r="N91" s="68">
        <f>+E91*Weights!$B$2</f>
        <v>5740.875</v>
      </c>
      <c r="O91" s="68">
        <f>+F91*Weights!$B$4</f>
        <v>6338.28125</v>
      </c>
      <c r="Q91" s="83">
        <f t="shared" si="8"/>
        <v>89280</v>
      </c>
      <c r="S91" s="11">
        <f>+E91-(G91*Weights!$B$2)</f>
        <v>90700.635937500003</v>
      </c>
      <c r="T91" s="11">
        <f>+F91-(H91*Weights!$B$4)</f>
        <v>40535.46875</v>
      </c>
    </row>
    <row r="92" spans="1:20" x14ac:dyDescent="0.35">
      <c r="A92" s="4">
        <f>+'Raw Data - Production'!A97</f>
        <v>46247</v>
      </c>
      <c r="B92" s="6">
        <f t="shared" si="6"/>
        <v>33</v>
      </c>
      <c r="C92" s="6" t="str">
        <f t="shared" si="7"/>
        <v>August</v>
      </c>
      <c r="D92" s="6" t="s">
        <v>183</v>
      </c>
      <c r="E92" s="14">
        <f>+'Raw Data - Production'!D97+'Raw Data - Production'!E97+'Raw Data - Production'!F97</f>
        <v>0</v>
      </c>
      <c r="F92" s="15">
        <f>+'Raw Data - Production'!G97+'Raw Data - Production'!H97+'Raw Data - Production'!I97</f>
        <v>0</v>
      </c>
      <c r="G92" s="16">
        <f>+'Raw Data - Production'!K97+'Raw Data - Production'!L97+'Raw Data - Packing'!I97</f>
        <v>0</v>
      </c>
      <c r="H92" s="15">
        <f>+'Raw Data - Production'!N97+'Raw Data - Production'!O97+'Raw Data - Production'!P97+'Raw Data - Packing'!L97</f>
        <v>0</v>
      </c>
      <c r="I92" s="66">
        <f>SUMIF('Raw Data - Packing'!A:A,A92,'Raw Data - Packing'!D:D)</f>
        <v>25320</v>
      </c>
      <c r="J92" s="15">
        <f>SUMIF('Raw Data - Packing'!A:A,A92,'Raw Data - Packing'!F:F)</f>
        <v>18332</v>
      </c>
      <c r="K92" s="20"/>
      <c r="L92" s="68">
        <f>+E92-I92+L91-(G92/Weights!$B$2)</f>
        <v>45409.975308641922</v>
      </c>
      <c r="M92" s="68">
        <f>+F92-J92+M91-(H92/Weights!$B$4)</f>
        <v>24980.80000000001</v>
      </c>
      <c r="N92" s="68">
        <f>+E92*Weights!$B$2</f>
        <v>0</v>
      </c>
      <c r="O92" s="68">
        <f>+F92*Weights!$B$4</f>
        <v>0</v>
      </c>
      <c r="Q92" s="83">
        <f t="shared" si="8"/>
        <v>43652</v>
      </c>
      <c r="S92" s="11">
        <f>+E92-(G92*Weights!$B$2)</f>
        <v>0</v>
      </c>
      <c r="T92" s="11">
        <f>+F92-(H92*Weights!$B$4)</f>
        <v>0</v>
      </c>
    </row>
    <row r="93" spans="1:20" x14ac:dyDescent="0.35">
      <c r="A93" s="4">
        <f>+'Raw Data - Production'!A98</f>
        <v>46248</v>
      </c>
      <c r="B93" s="6">
        <f t="shared" si="6"/>
        <v>33</v>
      </c>
      <c r="C93" s="6" t="str">
        <f t="shared" si="7"/>
        <v>August</v>
      </c>
      <c r="D93" s="6" t="s">
        <v>183</v>
      </c>
      <c r="E93" s="14">
        <f>+'Raw Data - Production'!D98+'Raw Data - Production'!E98+'Raw Data - Production'!F98</f>
        <v>0</v>
      </c>
      <c r="F93" s="15">
        <f>+'Raw Data - Production'!G98+'Raw Data - Production'!H98+'Raw Data - Production'!I98</f>
        <v>0</v>
      </c>
      <c r="G93" s="16">
        <f>+'Raw Data - Production'!K98+'Raw Data - Production'!L98+'Raw Data - Packing'!I98</f>
        <v>0</v>
      </c>
      <c r="H93" s="15">
        <f>+'Raw Data - Production'!N98+'Raw Data - Production'!O98+'Raw Data - Production'!P98+'Raw Data - Packing'!L98</f>
        <v>0</v>
      </c>
      <c r="I93" s="66">
        <f>SUMIF('Raw Data - Packing'!A:A,A93,'Raw Data - Packing'!D:D)</f>
        <v>0</v>
      </c>
      <c r="J93" s="15">
        <f>SUMIF('Raw Data - Packing'!A:A,A93,'Raw Data - Packing'!F:F)</f>
        <v>0</v>
      </c>
      <c r="K93" s="20"/>
      <c r="L93" s="68">
        <f>+E93-I93+L92-(G93/Weights!$B$2)</f>
        <v>45409.975308641922</v>
      </c>
      <c r="M93" s="68">
        <f>+F93-J93+M92-(H93/Weights!$B$4)</f>
        <v>24980.80000000001</v>
      </c>
      <c r="N93" s="68">
        <f>+E93*Weights!$B$2</f>
        <v>0</v>
      </c>
      <c r="O93" s="68">
        <f>+F93*Weights!$B$4</f>
        <v>0</v>
      </c>
      <c r="Q93" s="83">
        <f t="shared" si="8"/>
        <v>0</v>
      </c>
      <c r="S93" s="11">
        <f>+E93-(G93*Weights!$B$2)</f>
        <v>0</v>
      </c>
      <c r="T93" s="11">
        <f>+F93-(H93*Weights!$B$4)</f>
        <v>0</v>
      </c>
    </row>
    <row r="94" spans="1:20" x14ac:dyDescent="0.35">
      <c r="A94" s="4">
        <f>+'Raw Data - Production'!A99</f>
        <v>46251</v>
      </c>
      <c r="B94" s="6">
        <f t="shared" si="6"/>
        <v>34</v>
      </c>
      <c r="C94" s="6" t="str">
        <f t="shared" si="7"/>
        <v>August</v>
      </c>
      <c r="D94" s="6" t="s">
        <v>183</v>
      </c>
      <c r="E94" s="14">
        <f>+'Raw Data - Production'!D99+'Raw Data - Production'!E99+'Raw Data - Production'!F99</f>
        <v>0</v>
      </c>
      <c r="F94" s="15">
        <f>+'Raw Data - Production'!G99+'Raw Data - Production'!H99+'Raw Data - Production'!I99</f>
        <v>47005</v>
      </c>
      <c r="G94" s="16">
        <f>+'Raw Data - Production'!K99+'Raw Data - Production'!L99+'Raw Data - Packing'!I99</f>
        <v>20</v>
      </c>
      <c r="H94" s="15">
        <f>+'Raw Data - Production'!N99+'Raw Data - Production'!O99+'Raw Data - Production'!P99+'Raw Data - Packing'!L99</f>
        <v>158</v>
      </c>
      <c r="I94" s="66">
        <f>SUMIF('Raw Data - Packing'!A:A,A94,'Raw Data - Packing'!D:D)</f>
        <v>30240</v>
      </c>
      <c r="J94" s="15">
        <f>SUMIF('Raw Data - Packing'!A:A,A94,'Raw Data - Packing'!F:F)</f>
        <v>21600</v>
      </c>
      <c r="K94" s="20"/>
      <c r="L94" s="68">
        <f>+E94-I94+L93-(G94/Weights!$B$2)</f>
        <v>14853.925925925872</v>
      </c>
      <c r="M94" s="68">
        <f>+F94-J94+M93-(H94/Weights!$B$4)</f>
        <v>49374.600000000013</v>
      </c>
      <c r="N94" s="68">
        <f>+E94*Weights!$B$2</f>
        <v>0</v>
      </c>
      <c r="O94" s="68">
        <f>+F94*Weights!$B$4</f>
        <v>7344.53125</v>
      </c>
      <c r="Q94" s="83">
        <f t="shared" si="8"/>
        <v>51840</v>
      </c>
      <c r="S94" s="11">
        <f>+E94-(G94*Weights!$B$2)</f>
        <v>-1.265625</v>
      </c>
      <c r="T94" s="11">
        <f>+F94-(H94*Weights!$B$4)</f>
        <v>46980.3125</v>
      </c>
    </row>
    <row r="95" spans="1:20" x14ac:dyDescent="0.35">
      <c r="A95" s="4">
        <f>+'Raw Data - Production'!A100</f>
        <v>46252</v>
      </c>
      <c r="B95" s="6">
        <f t="shared" si="6"/>
        <v>34</v>
      </c>
      <c r="C95" s="6" t="str">
        <f t="shared" si="7"/>
        <v>August</v>
      </c>
      <c r="D95" s="6" t="s">
        <v>183</v>
      </c>
      <c r="E95" s="14">
        <f>+'Raw Data - Production'!D100+'Raw Data - Production'!E100+'Raw Data - Production'!F100</f>
        <v>109824</v>
      </c>
      <c r="F95" s="15">
        <f>+'Raw Data - Production'!G100+'Raw Data - Production'!H100+'Raw Data - Production'!I100</f>
        <v>5775</v>
      </c>
      <c r="G95" s="16">
        <f>+'Raw Data - Production'!K100+'Raw Data - Production'!L100+'Raw Data - Packing'!I100</f>
        <v>329</v>
      </c>
      <c r="H95" s="15">
        <f>+'Raw Data - Production'!N100+'Raw Data - Production'!O100+'Raw Data - Production'!P100+'Raw Data - Packing'!L100</f>
        <v>28</v>
      </c>
      <c r="I95" s="66">
        <f>SUMIF('Raw Data - Packing'!A:A,A95,'Raw Data - Packing'!D:D)</f>
        <v>15120</v>
      </c>
      <c r="J95" s="15">
        <f>SUMIF('Raw Data - Packing'!A:A,A95,'Raw Data - Packing'!F:F)</f>
        <v>22880</v>
      </c>
      <c r="K95" s="20"/>
      <c r="L95" s="68">
        <f>+E95-I95+L94-(G95/Weights!$B$2)</f>
        <v>104358.91358024685</v>
      </c>
      <c r="M95" s="68">
        <f>+F95-J95+M94-(H95/Weights!$B$4)</f>
        <v>32090.400000000012</v>
      </c>
      <c r="N95" s="68">
        <f>+E95*Weights!$B$2</f>
        <v>6949.7999999999993</v>
      </c>
      <c r="O95" s="68">
        <f>+F95*Weights!$B$4</f>
        <v>902.34375</v>
      </c>
      <c r="Q95" s="83">
        <f t="shared" si="8"/>
        <v>38000</v>
      </c>
      <c r="S95" s="11">
        <f>+E95-(G95*Weights!$B$2)</f>
        <v>109803.18046875</v>
      </c>
      <c r="T95" s="11">
        <f>+F95-(H95*Weights!$B$4)</f>
        <v>5770.625</v>
      </c>
    </row>
    <row r="96" spans="1:20" x14ac:dyDescent="0.35">
      <c r="A96" s="4">
        <f>+'Raw Data - Production'!A101</f>
        <v>46253</v>
      </c>
      <c r="B96" s="6">
        <f t="shared" si="6"/>
        <v>34</v>
      </c>
      <c r="C96" s="6" t="str">
        <f t="shared" si="7"/>
        <v>August</v>
      </c>
      <c r="D96" s="6" t="s">
        <v>183</v>
      </c>
      <c r="E96" s="14">
        <f>+'Raw Data - Production'!D101+'Raw Data - Production'!E101+'Raw Data - Production'!F101</f>
        <v>0</v>
      </c>
      <c r="F96" s="15">
        <f>+'Raw Data - Production'!G101+'Raw Data - Production'!H101+'Raw Data - Production'!I101</f>
        <v>0</v>
      </c>
      <c r="G96" s="16">
        <f>+'Raw Data - Production'!K101+'Raw Data - Production'!L101+'Raw Data - Packing'!I101</f>
        <v>0</v>
      </c>
      <c r="H96" s="15">
        <f>+'Raw Data - Production'!N101+'Raw Data - Production'!O101+'Raw Data - Production'!P101+'Raw Data - Packing'!L101</f>
        <v>0</v>
      </c>
      <c r="I96" s="66">
        <f>SUMIF('Raw Data - Packing'!A:A,A96,'Raw Data - Packing'!D:D)</f>
        <v>99300</v>
      </c>
      <c r="J96" s="15">
        <f>SUMIF('Raw Data - Packing'!A:A,A96,'Raw Data - Packing'!F:F)</f>
        <v>8576</v>
      </c>
      <c r="K96" s="20"/>
      <c r="L96" s="68">
        <v>0</v>
      </c>
      <c r="M96" s="68">
        <f>+F96-J96+M95-(H96/Weights!$B$4)</f>
        <v>23514.400000000012</v>
      </c>
      <c r="N96" s="68">
        <f>+E96*Weights!$B$2</f>
        <v>0</v>
      </c>
      <c r="O96" s="68">
        <f>+F96*Weights!$B$4</f>
        <v>0</v>
      </c>
      <c r="Q96" s="83">
        <f t="shared" si="8"/>
        <v>107876</v>
      </c>
      <c r="S96" s="11">
        <f>+E96-(G96*Weights!$B$2)</f>
        <v>0</v>
      </c>
      <c r="T96" s="11">
        <f>+F96-(H96*Weights!$B$4)</f>
        <v>0</v>
      </c>
    </row>
    <row r="97" spans="1:20" x14ac:dyDescent="0.35">
      <c r="A97" s="4">
        <f>+'Raw Data - Production'!A102</f>
        <v>46254</v>
      </c>
      <c r="B97" s="6">
        <f t="shared" si="6"/>
        <v>34</v>
      </c>
      <c r="C97" s="6" t="str">
        <f t="shared" si="7"/>
        <v>August</v>
      </c>
      <c r="D97" s="6" t="s">
        <v>183</v>
      </c>
      <c r="E97" s="14">
        <f>+'Raw Data - Production'!D102+'Raw Data - Production'!E102+'Raw Data - Production'!F102</f>
        <v>0</v>
      </c>
      <c r="F97" s="15">
        <f>+'Raw Data - Production'!G102+'Raw Data - Production'!H102+'Raw Data - Production'!I102</f>
        <v>0</v>
      </c>
      <c r="G97" s="16">
        <f>+'Raw Data - Production'!K102+'Raw Data - Production'!L102+'Raw Data - Packing'!I102</f>
        <v>0</v>
      </c>
      <c r="H97" s="15">
        <f>+'Raw Data - Production'!N102+'Raw Data - Production'!O102+'Raw Data - Production'!P102+'Raw Data - Packing'!L102</f>
        <v>0</v>
      </c>
      <c r="I97" s="66">
        <f>SUMIF('Raw Data - Packing'!A:A,A97,'Raw Data - Packing'!D:D)</f>
        <v>0</v>
      </c>
      <c r="J97" s="15">
        <f>SUMIF('Raw Data - Packing'!A:A,A97,'Raw Data - Packing'!F:F)</f>
        <v>0</v>
      </c>
      <c r="K97" s="20"/>
      <c r="L97" s="68">
        <f>+E97-I97+L96-(G97/Weights!$B$2)</f>
        <v>0</v>
      </c>
      <c r="M97" s="68">
        <f>+F97-J97+M96-(H97/Weights!$B$4)</f>
        <v>23514.400000000012</v>
      </c>
      <c r="N97" s="68">
        <f>+E97*Weights!$B$2</f>
        <v>0</v>
      </c>
      <c r="O97" s="68">
        <f>+F97*Weights!$B$4</f>
        <v>0</v>
      </c>
      <c r="Q97" s="83">
        <f t="shared" si="8"/>
        <v>0</v>
      </c>
      <c r="S97" s="11">
        <f>+E97-(G97*Weights!$B$2)</f>
        <v>0</v>
      </c>
      <c r="T97" s="11">
        <f>+F97-(H97*Weights!$B$4)</f>
        <v>0</v>
      </c>
    </row>
    <row r="98" spans="1:20" x14ac:dyDescent="0.35">
      <c r="A98" s="4">
        <f>+'Raw Data - Production'!A103</f>
        <v>46255</v>
      </c>
      <c r="B98" s="6">
        <f t="shared" si="6"/>
        <v>34</v>
      </c>
      <c r="C98" s="6" t="str">
        <f t="shared" si="7"/>
        <v>August</v>
      </c>
      <c r="D98" s="6" t="s">
        <v>183</v>
      </c>
      <c r="E98" s="14">
        <f>+'Raw Data - Production'!D103+'Raw Data - Production'!E103+'Raw Data - Production'!F103</f>
        <v>0</v>
      </c>
      <c r="F98" s="15">
        <f>+'Raw Data - Production'!G103+'Raw Data - Production'!H103+'Raw Data - Production'!I103</f>
        <v>0</v>
      </c>
      <c r="G98" s="16">
        <f>+'Raw Data - Production'!K103+'Raw Data - Production'!L103+'Raw Data - Packing'!I103</f>
        <v>0</v>
      </c>
      <c r="H98" s="15">
        <f>+'Raw Data - Production'!N103+'Raw Data - Production'!O103+'Raw Data - Production'!P103+'Raw Data - Packing'!L103</f>
        <v>0</v>
      </c>
      <c r="I98" s="66">
        <f>SUMIF('Raw Data - Packing'!A:A,A98,'Raw Data - Packing'!D:D)</f>
        <v>0</v>
      </c>
      <c r="J98" s="15">
        <f>SUMIF('Raw Data - Packing'!A:A,A98,'Raw Data - Packing'!F:F)</f>
        <v>0</v>
      </c>
      <c r="K98" s="20"/>
      <c r="L98" s="68">
        <f>+E98-I98+L97-(G98/Weights!$B$2)</f>
        <v>0</v>
      </c>
      <c r="M98" s="68">
        <v>2750</v>
      </c>
      <c r="N98" s="68">
        <f>+E98*Weights!$B$2</f>
        <v>0</v>
      </c>
      <c r="O98" s="68">
        <f>+F98*Weights!$B$4</f>
        <v>0</v>
      </c>
      <c r="Q98" s="83">
        <f t="shared" si="8"/>
        <v>0</v>
      </c>
      <c r="S98" s="11">
        <f>+E98-(G98*Weights!$B$2)</f>
        <v>0</v>
      </c>
      <c r="T98" s="11">
        <f>+F98-(H98*Weights!$B$4)</f>
        <v>0</v>
      </c>
    </row>
    <row r="99" spans="1:20" x14ac:dyDescent="0.35">
      <c r="A99" s="4">
        <f>+'Raw Data - Production'!A104</f>
        <v>46258</v>
      </c>
      <c r="B99" s="6">
        <f t="shared" si="6"/>
        <v>35</v>
      </c>
      <c r="C99" s="6" t="str">
        <f t="shared" si="7"/>
        <v>August</v>
      </c>
      <c r="D99" s="6" t="s">
        <v>183</v>
      </c>
      <c r="E99" s="14">
        <f>+'Raw Data - Production'!D104+'Raw Data - Production'!E104+'Raw Data - Production'!F104</f>
        <v>0</v>
      </c>
      <c r="F99" s="15">
        <f>+'Raw Data - Production'!G104+'Raw Data - Production'!H104+'Raw Data - Production'!I104</f>
        <v>57015</v>
      </c>
      <c r="G99" s="16">
        <f>+'Raw Data - Production'!K104+'Raw Data - Production'!L104+'Raw Data - Packing'!I104</f>
        <v>0</v>
      </c>
      <c r="H99" s="15">
        <f>+'Raw Data - Production'!N104+'Raw Data - Production'!O104+'Raw Data - Production'!P104+'Raw Data - Packing'!L104</f>
        <v>776</v>
      </c>
      <c r="I99" s="66">
        <f>SUMIF('Raw Data - Packing'!A:A,A99,'Raw Data - Packing'!D:D)</f>
        <v>0</v>
      </c>
      <c r="J99" s="15">
        <f>SUMIF('Raw Data - Packing'!A:A,A99,'Raw Data - Packing'!F:F)</f>
        <v>30240</v>
      </c>
      <c r="K99" s="20"/>
      <c r="L99" s="68">
        <f>+E99-I99+L98-(G99/Weights!$B$2)</f>
        <v>0</v>
      </c>
      <c r="M99" s="68">
        <f>+F99-J99+M98-(H99/Weights!$B$4)</f>
        <v>24558.6</v>
      </c>
      <c r="N99" s="68">
        <f>+E99*Weights!$B$2</f>
        <v>0</v>
      </c>
      <c r="O99" s="68">
        <f>+F99*Weights!$B$4</f>
        <v>8908.59375</v>
      </c>
      <c r="Q99" s="83">
        <f t="shared" si="8"/>
        <v>30240</v>
      </c>
    </row>
    <row r="100" spans="1:20" x14ac:dyDescent="0.35">
      <c r="A100" s="4">
        <f>+'Raw Data - Production'!A105</f>
        <v>46259</v>
      </c>
      <c r="B100" s="6">
        <f t="shared" si="6"/>
        <v>35</v>
      </c>
      <c r="C100" s="6" t="str">
        <f t="shared" si="7"/>
        <v>August</v>
      </c>
      <c r="D100" s="6" t="s">
        <v>183</v>
      </c>
      <c r="E100" s="14">
        <f>+'Raw Data - Production'!D105+'Raw Data - Production'!E105+'Raw Data - Production'!F105</f>
        <v>101856</v>
      </c>
      <c r="F100" s="15">
        <f>+'Raw Data - Production'!G105+'Raw Data - Production'!H105+'Raw Data - Production'!I105</f>
        <v>38972.5</v>
      </c>
      <c r="G100" s="16">
        <f>+'Raw Data - Production'!K105+'Raw Data - Production'!L105+'Raw Data - Packing'!I105</f>
        <v>339</v>
      </c>
      <c r="H100" s="15">
        <f>+'Raw Data - Production'!N105+'Raw Data - Production'!O105+'Raw Data - Production'!P105+'Raw Data - Packing'!L105</f>
        <v>406</v>
      </c>
      <c r="I100" s="66">
        <f>SUMIF('Raw Data - Packing'!A:A,A100,'Raw Data - Packing'!D:D)</f>
        <v>93240</v>
      </c>
      <c r="J100" s="15">
        <f>SUMIF('Raw Data - Packing'!A:A,A100,'Raw Data - Packing'!F:F)</f>
        <v>24576</v>
      </c>
      <c r="K100" s="20"/>
      <c r="L100" s="68">
        <v>0</v>
      </c>
      <c r="M100" s="68">
        <f>+F100-J100+M99-(H100/Weights!$B$4)</f>
        <v>36356.699999999997</v>
      </c>
      <c r="N100" s="68">
        <f>+E100*Weights!$B$2</f>
        <v>6445.5749999999998</v>
      </c>
      <c r="O100" s="68">
        <f>+F100*Weights!$B$4</f>
        <v>6089.453125</v>
      </c>
      <c r="Q100" s="83">
        <f t="shared" si="8"/>
        <v>117816</v>
      </c>
    </row>
    <row r="101" spans="1:20" x14ac:dyDescent="0.35">
      <c r="A101" s="4">
        <f>+'Raw Data - Production'!A106</f>
        <v>46260</v>
      </c>
      <c r="B101" s="6">
        <f t="shared" si="6"/>
        <v>35</v>
      </c>
      <c r="C101" s="6" t="str">
        <f t="shared" si="7"/>
        <v>August</v>
      </c>
      <c r="D101" s="6" t="s">
        <v>183</v>
      </c>
      <c r="E101" s="14">
        <f>+'Raw Data - Production'!D106+'Raw Data - Production'!E106+'Raw Data - Production'!F106</f>
        <v>135456</v>
      </c>
      <c r="F101" s="15">
        <f>+'Raw Data - Production'!G106+'Raw Data - Production'!H106+'Raw Data - Production'!I106</f>
        <v>40425</v>
      </c>
      <c r="G101" s="16">
        <f>+'Raw Data - Production'!K106+'Raw Data - Production'!L106+'Raw Data - Packing'!I106</f>
        <v>871</v>
      </c>
      <c r="H101" s="15">
        <f>+'Raw Data - Production'!N106+'Raw Data - Production'!O106+'Raw Data - Production'!P106+'Raw Data - Packing'!L106</f>
        <v>203</v>
      </c>
      <c r="I101" s="66">
        <f>SUMIF('Raw Data - Packing'!A:A,A101,'Raw Data - Packing'!D:D)</f>
        <v>86520</v>
      </c>
      <c r="J101" s="15">
        <f>SUMIF('Raw Data - Packing'!A:A,A101,'Raw Data - Packing'!F:F)</f>
        <v>11200</v>
      </c>
      <c r="K101" s="20"/>
      <c r="L101" s="68">
        <f>+E101-I101+L100-(G101/Weights!$B$2)</f>
        <v>35172.049382716046</v>
      </c>
      <c r="M101" s="68">
        <f>+F101-J101+M100-(H101/Weights!$B$4)</f>
        <v>64282.5</v>
      </c>
      <c r="N101" s="68">
        <f>+E101*Weights!$B$2</f>
        <v>8571.8249999999989</v>
      </c>
      <c r="O101" s="68">
        <f>+F101*Weights!$B$4</f>
        <v>6316.40625</v>
      </c>
      <c r="Q101" s="83">
        <f t="shared" si="8"/>
        <v>97720</v>
      </c>
    </row>
    <row r="102" spans="1:20" x14ac:dyDescent="0.35">
      <c r="A102" s="4">
        <f>+'Raw Data - Production'!A107</f>
        <v>46261</v>
      </c>
      <c r="B102" s="6">
        <f t="shared" si="6"/>
        <v>35</v>
      </c>
      <c r="C102" s="6" t="str">
        <f t="shared" si="7"/>
        <v>August</v>
      </c>
      <c r="D102" s="6" t="s">
        <v>183</v>
      </c>
      <c r="E102" s="14">
        <f>+'Raw Data - Production'!D107+'Raw Data - Production'!E107+'Raw Data - Production'!F107</f>
        <v>102912</v>
      </c>
      <c r="F102" s="15">
        <f>+'Raw Data - Production'!G107+'Raw Data - Production'!H107+'Raw Data - Production'!I107</f>
        <v>7805</v>
      </c>
      <c r="G102" s="16">
        <f>+'Raw Data - Production'!K107+'Raw Data - Production'!L107+'Raw Data - Packing'!I107</f>
        <v>318</v>
      </c>
      <c r="H102" s="15">
        <f>+'Raw Data - Production'!N107+'Raw Data - Production'!O107+'Raw Data - Production'!P107+'Raw Data - Packing'!L107</f>
        <v>38</v>
      </c>
      <c r="I102" s="66">
        <f>SUMIF('Raw Data - Packing'!A:A,A102,'Raw Data - Packing'!D:D)</f>
        <v>60480</v>
      </c>
      <c r="J102" s="15">
        <f>SUMIF('Raw Data - Packing'!A:A,A102,'Raw Data - Packing'!F:F)</f>
        <v>33992</v>
      </c>
      <c r="K102" s="20"/>
      <c r="L102" s="68">
        <f>+E102-I102+L101-(G102/Weights!$B$2)</f>
        <v>72578.864197530856</v>
      </c>
      <c r="M102" s="68">
        <f>+F102-J102+M101-(H102/Weights!$B$4)</f>
        <v>37852.300000000003</v>
      </c>
      <c r="N102" s="68">
        <f>+E102*Weights!$B$2</f>
        <v>6512.4</v>
      </c>
      <c r="O102" s="68">
        <f>+F102*Weights!$B$4</f>
        <v>1219.53125</v>
      </c>
      <c r="Q102" s="83">
        <f t="shared" si="8"/>
        <v>94472</v>
      </c>
    </row>
    <row r="103" spans="1:20" x14ac:dyDescent="0.35">
      <c r="A103" s="4">
        <f>+'Raw Data - Production'!A108</f>
        <v>46262</v>
      </c>
      <c r="B103" s="6">
        <f t="shared" si="6"/>
        <v>35</v>
      </c>
      <c r="C103" s="6" t="str">
        <f t="shared" si="7"/>
        <v>August</v>
      </c>
      <c r="D103" s="6" t="s">
        <v>183</v>
      </c>
      <c r="E103" s="14">
        <f>+'Raw Data - Production'!D108+'Raw Data - Production'!E108+'Raw Data - Production'!F108</f>
        <v>0</v>
      </c>
      <c r="F103" s="15">
        <f>+'Raw Data - Production'!G108+'Raw Data - Production'!H108+'Raw Data - Production'!I108</f>
        <v>0</v>
      </c>
      <c r="G103" s="16">
        <f>+'Raw Data - Production'!K108+'Raw Data - Production'!L108+'Raw Data - Packing'!I108</f>
        <v>0</v>
      </c>
      <c r="H103" s="15">
        <f>+'Raw Data - Production'!N108+'Raw Data - Production'!O108+'Raw Data - Production'!P108+'Raw Data - Packing'!L108</f>
        <v>70</v>
      </c>
      <c r="I103" s="66">
        <f>SUMIF('Raw Data - Packing'!A:A,A103,'Raw Data - Packing'!D:D)</f>
        <v>49380</v>
      </c>
      <c r="J103" s="15">
        <f>SUMIF('Raw Data - Packing'!A:A,A103,'Raw Data - Packing'!F:F)</f>
        <v>22960</v>
      </c>
      <c r="K103" s="20"/>
      <c r="L103" s="68">
        <v>80000</v>
      </c>
      <c r="M103" s="68">
        <f>+F103-J103+M102-(H103/Weights!$B$4)</f>
        <v>14444.300000000003</v>
      </c>
      <c r="N103" s="68">
        <f>+E103*Weights!$B$2</f>
        <v>0</v>
      </c>
      <c r="O103" s="68">
        <f>+F103*Weights!$B$4</f>
        <v>0</v>
      </c>
      <c r="Q103" s="83">
        <f t="shared" si="8"/>
        <v>72340</v>
      </c>
    </row>
    <row r="104" spans="1:20" x14ac:dyDescent="0.35">
      <c r="A104" s="4">
        <f>+'Raw Data - Production'!A109</f>
        <v>46265</v>
      </c>
      <c r="B104" s="6">
        <f t="shared" si="6"/>
        <v>36</v>
      </c>
      <c r="C104" s="6" t="str">
        <f t="shared" si="7"/>
        <v>August</v>
      </c>
      <c r="E104" s="14">
        <f>+'Raw Data - Production'!D109+'Raw Data - Production'!E109+'Raw Data - Production'!F109</f>
        <v>108624</v>
      </c>
      <c r="F104" s="15">
        <f>+'Raw Data - Production'!G109+'Raw Data - Production'!H109+'Raw Data - Production'!I109</f>
        <v>48090</v>
      </c>
      <c r="G104" s="16">
        <f>+'Raw Data - Production'!K109+'Raw Data - Production'!L109+'Raw Data - Packing'!I109</f>
        <v>490</v>
      </c>
      <c r="H104" s="15">
        <f>+'Raw Data - Production'!N109+'Raw Data - Production'!O109+'Raw Data - Production'!P109+'Raw Data - Packing'!L109</f>
        <v>392</v>
      </c>
      <c r="I104" s="66">
        <f>SUMIF('Raw Data - Packing'!A:A,A104,'Raw Data - Packing'!D:D)</f>
        <v>23750</v>
      </c>
      <c r="J104" s="15">
        <f>SUMIF('Raw Data - Packing'!A:A,A104,'Raw Data - Packing'!F:F)</f>
        <v>11200</v>
      </c>
      <c r="K104" s="20"/>
      <c r="L104" s="68">
        <f>+E104-I104+L103-(G104/Weights!$B$2)</f>
        <v>157130.7901234568</v>
      </c>
      <c r="M104" s="68">
        <f>+F104-J104+M103-(H104/Weights!$B$4)</f>
        <v>48825.5</v>
      </c>
      <c r="N104" s="68">
        <f>+E104*Weights!$B$2</f>
        <v>6873.8624999999993</v>
      </c>
      <c r="O104" s="68">
        <f>+F104*Weights!$B$4</f>
        <v>7514.0625</v>
      </c>
      <c r="Q104" s="83">
        <f t="shared" si="8"/>
        <v>34950</v>
      </c>
    </row>
    <row r="105" spans="1:20" x14ac:dyDescent="0.35">
      <c r="A105" s="4">
        <f>+'Raw Data - Production'!A110</f>
        <v>46266</v>
      </c>
      <c r="B105" s="6">
        <f t="shared" si="6"/>
        <v>36</v>
      </c>
      <c r="C105" s="6" t="str">
        <f t="shared" si="7"/>
        <v>September</v>
      </c>
      <c r="E105" s="14">
        <f>+'Raw Data - Production'!D110+'Raw Data - Production'!E110+'Raw Data - Production'!F110</f>
        <v>117744</v>
      </c>
      <c r="F105" s="15">
        <f>+'Raw Data - Production'!G110+'Raw Data - Production'!H110+'Raw Data - Production'!I110</f>
        <v>29470</v>
      </c>
      <c r="G105" s="16">
        <f>+'Raw Data - Production'!K110+'Raw Data - Production'!L110+'Raw Data - Packing'!I110</f>
        <v>447</v>
      </c>
      <c r="H105" s="15">
        <f>+'Raw Data - Production'!N110+'Raw Data - Production'!O110+'Raw Data - Production'!P110+'Raw Data - Packing'!L110</f>
        <v>2260</v>
      </c>
      <c r="I105" s="66">
        <f>SUMIF('Raw Data - Packing'!A:A,A105,'Raw Data - Packing'!D:D)</f>
        <v>78960</v>
      </c>
      <c r="J105" s="15">
        <f>SUMIF('Raw Data - Packing'!A:A,A105,'Raw Data - Packing'!F:F)</f>
        <v>23344</v>
      </c>
      <c r="K105" s="20"/>
      <c r="L105" s="68">
        <f>+E105-I105+L104-(G105/Weights!$B$2)</f>
        <v>188851.08641975309</v>
      </c>
      <c r="M105" s="68">
        <f>+F105-J105+M104-(H105/Weights!$B$4)</f>
        <v>40487.5</v>
      </c>
      <c r="N105" s="68">
        <f>+E105*Weights!$B$2</f>
        <v>7450.9874999999993</v>
      </c>
      <c r="O105" s="68">
        <f>+F105*Weights!$B$4</f>
        <v>4604.6875</v>
      </c>
      <c r="Q105" s="83">
        <f t="shared" si="8"/>
        <v>102304</v>
      </c>
    </row>
    <row r="106" spans="1:20" x14ac:dyDescent="0.35">
      <c r="A106" s="4">
        <f>+'Raw Data - Production'!A111</f>
        <v>46267</v>
      </c>
      <c r="B106" s="6">
        <f t="shared" si="6"/>
        <v>36</v>
      </c>
      <c r="C106" s="6" t="str">
        <f t="shared" si="7"/>
        <v>September</v>
      </c>
      <c r="E106" s="14">
        <f>+'Raw Data - Production'!D111+'Raw Data - Production'!E111+'Raw Data - Production'!F111</f>
        <v>40800</v>
      </c>
      <c r="F106" s="15">
        <f>+'Raw Data - Production'!G111+'Raw Data - Production'!H111+'Raw Data - Production'!I111</f>
        <v>1995</v>
      </c>
      <c r="G106" s="16">
        <f>+'Raw Data - Production'!K111+'Raw Data - Production'!L111+'Raw Data - Packing'!I111</f>
        <v>552</v>
      </c>
      <c r="H106" s="15">
        <f>+'Raw Data - Production'!N111+'Raw Data - Production'!O111+'Raw Data - Production'!P111+'Raw Data - Packing'!L111</f>
        <v>0</v>
      </c>
      <c r="I106" s="66">
        <f>SUMIF('Raw Data - Packing'!A:A,A106,'Raw Data - Packing'!D:D)</f>
        <v>33810</v>
      </c>
      <c r="J106" s="15">
        <f>SUMIF('Raw Data - Packing'!A:A,A106,'Raw Data - Packing'!F:F)</f>
        <v>0</v>
      </c>
      <c r="K106" s="20"/>
      <c r="L106" s="68">
        <f>+E106-I106+L105-(G106/Weights!$B$2)</f>
        <v>187118.12345679011</v>
      </c>
      <c r="M106" s="68">
        <f>+F106-J106+M105-(H106/Weights!$B$4)</f>
        <v>42482.5</v>
      </c>
      <c r="N106" s="68">
        <f>+E106*Weights!$B$2</f>
        <v>2581.875</v>
      </c>
      <c r="O106" s="68">
        <f>+F106*Weights!$B$4</f>
        <v>311.71875</v>
      </c>
      <c r="Q106" s="83">
        <f t="shared" si="8"/>
        <v>33810</v>
      </c>
    </row>
    <row r="107" spans="1:20" x14ac:dyDescent="0.35">
      <c r="A107" s="4">
        <f>+'Raw Data - Production'!A112</f>
        <v>46268</v>
      </c>
      <c r="B107" s="6">
        <f t="shared" si="6"/>
        <v>36</v>
      </c>
      <c r="C107" s="6" t="str">
        <f t="shared" si="7"/>
        <v>September</v>
      </c>
      <c r="E107" s="14">
        <f>+'Raw Data - Production'!D112+'Raw Data - Production'!E112+'Raw Data - Production'!F112</f>
        <v>168387</v>
      </c>
      <c r="F107" s="15">
        <f>+'Raw Data - Production'!G112+'Raw Data - Production'!H112+'Raw Data - Production'!I112</f>
        <v>0</v>
      </c>
      <c r="G107" s="16">
        <f>+'Raw Data - Production'!K112+'Raw Data - Production'!L112+'Raw Data - Packing'!I112</f>
        <v>540</v>
      </c>
      <c r="H107" s="15">
        <f>+'Raw Data - Production'!N112+'Raw Data - Production'!O112+'Raw Data - Production'!P112+'Raw Data - Packing'!L112</f>
        <v>0</v>
      </c>
      <c r="I107" s="66">
        <f>SUMIF('Raw Data - Packing'!A:A,A107,'Raw Data - Packing'!D:D)</f>
        <v>227580</v>
      </c>
      <c r="J107" s="15">
        <f>SUMIF('Raw Data - Packing'!A:A,A107,'Raw Data - Packing'!F:F)</f>
        <v>7560</v>
      </c>
      <c r="K107" s="20"/>
      <c r="L107" s="68">
        <f>+E107-I107+L106-(G107/Weights!$B$2)</f>
        <v>119391.79012345678</v>
      </c>
      <c r="M107" s="68">
        <f>+F107-J107+M106-(H107/Weights!$B$4)</f>
        <v>34922.5</v>
      </c>
      <c r="N107" s="68">
        <f>+E107*Weights!$B$2</f>
        <v>10655.73984375</v>
      </c>
      <c r="O107" s="68">
        <f>+F107*Weights!$B$4</f>
        <v>0</v>
      </c>
      <c r="Q107" s="83">
        <f t="shared" si="8"/>
        <v>235140</v>
      </c>
    </row>
    <row r="108" spans="1:20" x14ac:dyDescent="0.35">
      <c r="A108" s="4">
        <f>+'Raw Data - Production'!A113</f>
        <v>46269</v>
      </c>
      <c r="B108" s="6">
        <f t="shared" si="6"/>
        <v>36</v>
      </c>
      <c r="C108" s="6" t="str">
        <f t="shared" si="7"/>
        <v>September</v>
      </c>
      <c r="E108" s="14">
        <f>+'Raw Data - Production'!D113+'Raw Data - Production'!E113+'Raw Data - Production'!F113</f>
        <v>0</v>
      </c>
      <c r="F108" s="15">
        <f>+'Raw Data - Production'!G113+'Raw Data - Production'!H113+'Raw Data - Production'!I113</f>
        <v>0</v>
      </c>
      <c r="G108" s="16">
        <f>+'Raw Data - Production'!K113+'Raw Data - Production'!L113+'Raw Data - Packing'!I113</f>
        <v>0</v>
      </c>
      <c r="H108" s="15">
        <f>+'Raw Data - Production'!N113+'Raw Data - Production'!O113+'Raw Data - Production'!P113+'Raw Data - Packing'!L113</f>
        <v>0</v>
      </c>
      <c r="I108" s="66">
        <f>SUMIF('Raw Data - Packing'!A:A,A108,'Raw Data - Packing'!D:D)</f>
        <v>0</v>
      </c>
      <c r="J108" s="15">
        <f>SUMIF('Raw Data - Packing'!A:A,A108,'Raw Data - Packing'!F:F)</f>
        <v>0</v>
      </c>
      <c r="K108" s="20"/>
      <c r="L108" s="68">
        <f>+E108-I108+L107-(G108/Weights!$B$2)</f>
        <v>119391.79012345678</v>
      </c>
      <c r="M108" s="68">
        <f>+F108-J108+M107-(H108/Weights!$B$4)</f>
        <v>34922.5</v>
      </c>
      <c r="N108" s="68">
        <f>+E108*Weights!$B$2</f>
        <v>0</v>
      </c>
      <c r="O108" s="68">
        <f>+F108*Weights!$B$4</f>
        <v>0</v>
      </c>
      <c r="Q108" s="83">
        <f t="shared" si="8"/>
        <v>0</v>
      </c>
    </row>
    <row r="109" spans="1:20" x14ac:dyDescent="0.35">
      <c r="A109" s="4">
        <f>+'Raw Data - Production'!A114</f>
        <v>46273</v>
      </c>
      <c r="B109" s="6">
        <f t="shared" si="6"/>
        <v>37</v>
      </c>
      <c r="C109" s="6" t="str">
        <f t="shared" si="7"/>
        <v>September</v>
      </c>
      <c r="E109" s="14">
        <f>+'Raw Data - Production'!D114+'Raw Data - Production'!E114+'Raw Data - Production'!F114</f>
        <v>0</v>
      </c>
      <c r="F109" s="15">
        <f>+'Raw Data - Production'!G114+'Raw Data - Production'!H114+'Raw Data - Production'!I114</f>
        <v>0</v>
      </c>
      <c r="G109" s="16">
        <f>+'Raw Data - Production'!K114+'Raw Data - Production'!L114+'Raw Data - Packing'!I114</f>
        <v>78</v>
      </c>
      <c r="H109" s="15">
        <f>+'Raw Data - Production'!N114+'Raw Data - Production'!O114+'Raw Data - Production'!P114+'Raw Data - Packing'!L114</f>
        <v>0</v>
      </c>
      <c r="I109" s="66">
        <f>SUMIF('Raw Data - Packing'!A:A,A109,'Raw Data - Packing'!D:D)</f>
        <v>93360</v>
      </c>
      <c r="J109" s="15">
        <f>SUMIF('Raw Data - Packing'!A:A,A109,'Raw Data - Packing'!F:F)</f>
        <v>0</v>
      </c>
      <c r="K109" s="20"/>
      <c r="L109" s="68">
        <f>+E109-I109+L108-(G109/Weights!$B$2)</f>
        <v>24799.197530864192</v>
      </c>
      <c r="M109" s="68">
        <f>+F109-J109+M108-(H109/Weights!$B$4)</f>
        <v>34922.5</v>
      </c>
      <c r="N109" s="68">
        <f>+E109*Weights!$B$2</f>
        <v>0</v>
      </c>
      <c r="O109" s="68">
        <f>+F109*Weights!$B$4</f>
        <v>0</v>
      </c>
      <c r="Q109" s="83">
        <f t="shared" si="8"/>
        <v>93360</v>
      </c>
    </row>
    <row r="110" spans="1:20" x14ac:dyDescent="0.35">
      <c r="A110" s="4">
        <f>+'Raw Data - Production'!A115</f>
        <v>46274</v>
      </c>
      <c r="B110" s="6">
        <f t="shared" si="6"/>
        <v>37</v>
      </c>
      <c r="C110" s="6" t="str">
        <f t="shared" si="7"/>
        <v>September</v>
      </c>
      <c r="E110" s="14">
        <f>+'Raw Data - Production'!D115+'Raw Data - Production'!E115+'Raw Data - Production'!F115</f>
        <v>0</v>
      </c>
      <c r="F110" s="15">
        <f>+'Raw Data - Production'!G115+'Raw Data - Production'!H115+'Raw Data - Production'!I115</f>
        <v>0</v>
      </c>
      <c r="G110" s="16">
        <f>+'Raw Data - Production'!K115+'Raw Data - Production'!L115+'Raw Data - Packing'!I115</f>
        <v>0</v>
      </c>
      <c r="H110" s="15">
        <f>+'Raw Data - Production'!N115+'Raw Data - Production'!O115+'Raw Data - Production'!P115+'Raw Data - Packing'!L115</f>
        <v>0</v>
      </c>
      <c r="I110" s="66">
        <f>SUMIF('Raw Data - Packing'!A:A,A110,'Raw Data - Packing'!D:D)</f>
        <v>0</v>
      </c>
      <c r="J110" s="15">
        <f>SUMIF('Raw Data - Packing'!A:A,A110,'Raw Data - Packing'!F:F)</f>
        <v>0</v>
      </c>
      <c r="K110" s="20"/>
      <c r="L110" s="68">
        <f>+E110-I110+L109-(G110/Weights!$B$2)</f>
        <v>24799.197530864192</v>
      </c>
      <c r="M110" s="68">
        <f>+F110-J110+M109-(H110/Weights!$B$4)</f>
        <v>34922.5</v>
      </c>
      <c r="N110" s="68">
        <f>+E110*Weights!$B$2</f>
        <v>0</v>
      </c>
      <c r="O110" s="68">
        <f>+F110*Weights!$B$4</f>
        <v>0</v>
      </c>
      <c r="Q110" s="83">
        <f t="shared" si="8"/>
        <v>0</v>
      </c>
    </row>
    <row r="111" spans="1:20" x14ac:dyDescent="0.35">
      <c r="A111" s="4">
        <f>+'Raw Data - Production'!A116</f>
        <v>46275</v>
      </c>
      <c r="B111" s="6">
        <f t="shared" si="6"/>
        <v>37</v>
      </c>
      <c r="C111" s="6" t="str">
        <f t="shared" si="7"/>
        <v>September</v>
      </c>
      <c r="E111" s="14">
        <f>+'Raw Data - Production'!D116+'Raw Data - Production'!E116+'Raw Data - Production'!F116</f>
        <v>0</v>
      </c>
      <c r="F111" s="15">
        <f>+'Raw Data - Production'!G116+'Raw Data - Production'!H116+'Raw Data - Production'!I116</f>
        <v>0</v>
      </c>
      <c r="G111" s="16">
        <f>+'Raw Data - Production'!K116+'Raw Data - Production'!L116+'Raw Data - Packing'!I116</f>
        <v>0</v>
      </c>
      <c r="H111" s="15">
        <f>+'Raw Data - Production'!N116+'Raw Data - Production'!O116+'Raw Data - Production'!P116+'Raw Data - Packing'!L116</f>
        <v>0</v>
      </c>
      <c r="I111" s="66">
        <f>SUMIF('Raw Data - Packing'!A:A,A111,'Raw Data - Packing'!D:D)</f>
        <v>0</v>
      </c>
      <c r="J111" s="15">
        <f>SUMIF('Raw Data - Packing'!A:A,A111,'Raw Data - Packing'!F:F)</f>
        <v>0</v>
      </c>
      <c r="K111" s="20"/>
      <c r="L111" s="68">
        <f>+E111-I111+L110-(G111/Weights!$B$2)</f>
        <v>24799.197530864192</v>
      </c>
      <c r="M111" s="68">
        <f>+F111-J111+M110-(H111/Weights!$B$4)</f>
        <v>34922.5</v>
      </c>
      <c r="N111" s="68">
        <f>+E111*Weights!$B$2</f>
        <v>0</v>
      </c>
      <c r="O111" s="68">
        <f>+F111*Weights!$B$4</f>
        <v>0</v>
      </c>
      <c r="Q111" s="83">
        <f t="shared" si="8"/>
        <v>0</v>
      </c>
    </row>
    <row r="112" spans="1:20" x14ac:dyDescent="0.35">
      <c r="A112" s="4">
        <f>+'Raw Data - Production'!A117</f>
        <v>46276</v>
      </c>
      <c r="B112" s="6">
        <f t="shared" si="6"/>
        <v>37</v>
      </c>
      <c r="C112" s="6" t="str">
        <f t="shared" si="7"/>
        <v>September</v>
      </c>
      <c r="E112" s="14">
        <f>+'Raw Data - Production'!D117+'Raw Data - Production'!E117+'Raw Data - Production'!F117</f>
        <v>0</v>
      </c>
      <c r="F112" s="15">
        <f>+'Raw Data - Production'!G117+'Raw Data - Production'!H117+'Raw Data - Production'!I117</f>
        <v>0</v>
      </c>
      <c r="G112" s="16">
        <f>+'Raw Data - Production'!K117+'Raw Data - Production'!L117+'Raw Data - Packing'!I117</f>
        <v>0</v>
      </c>
      <c r="H112" s="15">
        <f>+'Raw Data - Production'!N117+'Raw Data - Production'!O117+'Raw Data - Production'!P117+'Raw Data - Packing'!L117</f>
        <v>0</v>
      </c>
      <c r="I112" s="66">
        <f>SUMIF('Raw Data - Packing'!A:A,A112,'Raw Data - Packing'!D:D)</f>
        <v>0</v>
      </c>
      <c r="J112" s="15">
        <f>SUMIF('Raw Data - Packing'!A:A,A112,'Raw Data - Packing'!F:F)</f>
        <v>0</v>
      </c>
      <c r="K112" s="20"/>
      <c r="L112" s="68">
        <f>+E112-I112+L111-(G112/Weights!$B$2)</f>
        <v>24799.197530864192</v>
      </c>
      <c r="M112" s="68">
        <f>+F112-J112+M111-(H112/Weights!$B$4)</f>
        <v>34922.5</v>
      </c>
      <c r="N112" s="68">
        <f>+E112*Weights!$B$2</f>
        <v>0</v>
      </c>
      <c r="O112" s="68">
        <f>+F112*Weights!$B$4</f>
        <v>0</v>
      </c>
      <c r="Q112" s="83">
        <f t="shared" si="8"/>
        <v>0</v>
      </c>
    </row>
    <row r="113" spans="1:17" x14ac:dyDescent="0.35">
      <c r="A113" s="4">
        <f>+'Raw Data - Production'!A118</f>
        <v>46279</v>
      </c>
      <c r="B113" s="6">
        <f t="shared" si="6"/>
        <v>38</v>
      </c>
      <c r="C113" s="6" t="str">
        <f t="shared" si="7"/>
        <v>September</v>
      </c>
      <c r="E113" s="14">
        <f>+'Raw Data - Production'!D118+'Raw Data - Production'!E118+'Raw Data - Production'!F118</f>
        <v>0</v>
      </c>
      <c r="F113" s="15">
        <f>+'Raw Data - Production'!G118+'Raw Data - Production'!H118+'Raw Data - Production'!I118</f>
        <v>0</v>
      </c>
      <c r="G113" s="16">
        <f>+'Raw Data - Production'!K118+'Raw Data - Production'!L118+'Raw Data - Packing'!I118</f>
        <v>0</v>
      </c>
      <c r="H113" s="15">
        <f>+'Raw Data - Production'!N118+'Raw Data - Production'!O118+'Raw Data - Production'!P118+'Raw Data - Packing'!L118</f>
        <v>0</v>
      </c>
      <c r="I113" s="66">
        <f>SUMIF('Raw Data - Packing'!A:A,A113,'Raw Data - Packing'!D:D)</f>
        <v>0</v>
      </c>
      <c r="J113" s="15">
        <f>SUMIF('Raw Data - Packing'!A:A,A113,'Raw Data - Packing'!F:F)</f>
        <v>0</v>
      </c>
      <c r="K113" s="20"/>
      <c r="L113" s="68">
        <f>+E113-I113+L112-(G113/Weights!$B$2)</f>
        <v>24799.197530864192</v>
      </c>
      <c r="M113" s="68">
        <f>+F113-J113+M112-(H113/Weights!$B$4)</f>
        <v>34922.5</v>
      </c>
      <c r="N113" s="68">
        <f>+E113*Weights!$B$2</f>
        <v>0</v>
      </c>
      <c r="O113" s="68">
        <f>+F113*Weights!$B$4</f>
        <v>0</v>
      </c>
      <c r="Q113" s="83">
        <f t="shared" si="8"/>
        <v>0</v>
      </c>
    </row>
    <row r="114" spans="1:17" x14ac:dyDescent="0.35">
      <c r="A114" s="4">
        <f>+'Raw Data - Production'!A119</f>
        <v>46280</v>
      </c>
      <c r="B114" s="6">
        <f t="shared" ref="B114:B177" si="9">+WEEKNUM(A114)</f>
        <v>38</v>
      </c>
      <c r="C114" s="6" t="str">
        <f t="shared" si="7"/>
        <v>September</v>
      </c>
      <c r="E114" s="14">
        <f>+'Raw Data - Production'!D119+'Raw Data - Production'!E119+'Raw Data - Production'!F119</f>
        <v>0</v>
      </c>
      <c r="F114" s="15">
        <f>+'Raw Data - Production'!G119+'Raw Data - Production'!H119+'Raw Data - Production'!I119</f>
        <v>0</v>
      </c>
      <c r="G114" s="16">
        <f>+'Raw Data - Production'!K119+'Raw Data - Production'!L119+'Raw Data - Packing'!I119</f>
        <v>0</v>
      </c>
      <c r="H114" s="15">
        <f>+'Raw Data - Production'!N119+'Raw Data - Production'!O119+'Raw Data - Production'!P119+'Raw Data - Packing'!L119</f>
        <v>0</v>
      </c>
      <c r="I114" s="66">
        <f>SUMIF('Raw Data - Packing'!A:A,A114,'Raw Data - Packing'!D:D)</f>
        <v>0</v>
      </c>
      <c r="J114" s="15">
        <f>SUMIF('Raw Data - Packing'!A:A,A114,'Raw Data - Packing'!F:F)</f>
        <v>0</v>
      </c>
      <c r="K114" s="20"/>
      <c r="L114" s="68">
        <f>+E114-I114+L113-(G114/Weights!$B$2)</f>
        <v>24799.197530864192</v>
      </c>
      <c r="M114" s="68">
        <f>+F114-J114+M113-(H114/Weights!$B$4)</f>
        <v>34922.5</v>
      </c>
      <c r="N114" s="68">
        <f>+E114*Weights!$B$2</f>
        <v>0</v>
      </c>
      <c r="O114" s="68">
        <f>+F114*Weights!$B$4</f>
        <v>0</v>
      </c>
      <c r="Q114" s="83">
        <f t="shared" si="8"/>
        <v>0</v>
      </c>
    </row>
    <row r="115" spans="1:17" x14ac:dyDescent="0.35">
      <c r="A115" s="4">
        <f>+'Raw Data - Production'!A120</f>
        <v>46281</v>
      </c>
      <c r="B115" s="6">
        <f t="shared" si="9"/>
        <v>38</v>
      </c>
      <c r="C115" s="6" t="str">
        <f t="shared" si="7"/>
        <v>September</v>
      </c>
      <c r="E115" s="14">
        <f>+'Raw Data - Production'!D120+'Raw Data - Production'!E120+'Raw Data - Production'!F120</f>
        <v>0</v>
      </c>
      <c r="F115" s="15">
        <f>+'Raw Data - Production'!G120+'Raw Data - Production'!H120+'Raw Data - Production'!I120</f>
        <v>0</v>
      </c>
      <c r="G115" s="16">
        <f>+'Raw Data - Production'!K120+'Raw Data - Production'!L120+'Raw Data - Packing'!I120</f>
        <v>0</v>
      </c>
      <c r="H115" s="15">
        <f>+'Raw Data - Production'!N120+'Raw Data - Production'!O120+'Raw Data - Production'!P120+'Raw Data - Packing'!L120</f>
        <v>0</v>
      </c>
      <c r="I115" s="66">
        <f>SUMIF('Raw Data - Packing'!A:A,A115,'Raw Data - Packing'!D:D)</f>
        <v>0</v>
      </c>
      <c r="J115" s="15">
        <f>SUMIF('Raw Data - Packing'!A:A,A115,'Raw Data - Packing'!F:F)</f>
        <v>0</v>
      </c>
      <c r="K115" s="20"/>
      <c r="L115" s="68">
        <f>+E115-I115+L114-(G115/Weights!$B$2)</f>
        <v>24799.197530864192</v>
      </c>
      <c r="M115" s="68">
        <f>+F115-J115+M114-(H115/Weights!$B$4)</f>
        <v>34922.5</v>
      </c>
      <c r="N115" s="68">
        <f>+E115*Weights!$B$2</f>
        <v>0</v>
      </c>
      <c r="O115" s="68">
        <f>+F115*Weights!$B$4</f>
        <v>0</v>
      </c>
      <c r="Q115" s="83">
        <f t="shared" si="8"/>
        <v>0</v>
      </c>
    </row>
    <row r="116" spans="1:17" x14ac:dyDescent="0.35">
      <c r="A116" s="4">
        <f>+'Raw Data - Production'!A121</f>
        <v>46282</v>
      </c>
      <c r="B116" s="6">
        <f t="shared" si="9"/>
        <v>38</v>
      </c>
      <c r="C116" s="6" t="str">
        <f t="shared" si="7"/>
        <v>September</v>
      </c>
      <c r="E116" s="14">
        <f>+'Raw Data - Production'!D121+'Raw Data - Production'!E121+'Raw Data - Production'!F121</f>
        <v>0</v>
      </c>
      <c r="F116" s="15">
        <f>+'Raw Data - Production'!G121+'Raw Data - Production'!H121+'Raw Data - Production'!I121</f>
        <v>0</v>
      </c>
      <c r="G116" s="16">
        <f>+'Raw Data - Production'!K121+'Raw Data - Production'!L121+'Raw Data - Packing'!I121</f>
        <v>0</v>
      </c>
      <c r="H116" s="15">
        <f>+'Raw Data - Production'!N121+'Raw Data - Production'!O121+'Raw Data - Production'!P121+'Raw Data - Packing'!L121</f>
        <v>0</v>
      </c>
      <c r="I116" s="66">
        <f>SUMIF('Raw Data - Packing'!A:A,A116,'Raw Data - Packing'!D:D)</f>
        <v>0</v>
      </c>
      <c r="J116" s="15">
        <f>SUMIF('Raw Data - Packing'!A:A,A116,'Raw Data - Packing'!F:F)</f>
        <v>0</v>
      </c>
      <c r="K116" s="20"/>
      <c r="L116" s="68">
        <f>+E116-I116+L115-(G116/Weights!$B$2)</f>
        <v>24799.197530864192</v>
      </c>
      <c r="M116" s="68">
        <f>+F116-J116+M115-(H116/Weights!$B$4)</f>
        <v>34922.5</v>
      </c>
      <c r="N116" s="68">
        <f>+E116*Weights!$B$2</f>
        <v>0</v>
      </c>
      <c r="O116" s="68">
        <f>+F116*Weights!$B$4</f>
        <v>0</v>
      </c>
      <c r="Q116" s="83">
        <f t="shared" si="8"/>
        <v>0</v>
      </c>
    </row>
    <row r="117" spans="1:17" x14ac:dyDescent="0.35">
      <c r="A117" s="4">
        <f>+'Raw Data - Production'!A122</f>
        <v>46283</v>
      </c>
      <c r="B117" s="6">
        <f t="shared" si="9"/>
        <v>38</v>
      </c>
      <c r="C117" s="6" t="str">
        <f t="shared" si="7"/>
        <v>September</v>
      </c>
      <c r="E117" s="14">
        <f>+'Raw Data - Production'!D122+'Raw Data - Production'!E122+'Raw Data - Production'!F122</f>
        <v>0</v>
      </c>
      <c r="F117" s="15">
        <f>+'Raw Data - Production'!G122+'Raw Data - Production'!H122+'Raw Data - Production'!I122</f>
        <v>0</v>
      </c>
      <c r="G117" s="16">
        <f>+'Raw Data - Production'!K122+'Raw Data - Production'!L122+'Raw Data - Packing'!I122</f>
        <v>0</v>
      </c>
      <c r="H117" s="15">
        <f>+'Raw Data - Production'!N122+'Raw Data - Production'!O122+'Raw Data - Production'!P122+'Raw Data - Packing'!L122</f>
        <v>0</v>
      </c>
      <c r="I117" s="66">
        <f>SUMIF('Raw Data - Packing'!A:A,A117,'Raw Data - Packing'!D:D)</f>
        <v>0</v>
      </c>
      <c r="J117" s="15">
        <f>SUMIF('Raw Data - Packing'!A:A,A117,'Raw Data - Packing'!F:F)</f>
        <v>0</v>
      </c>
      <c r="K117" s="20"/>
      <c r="L117" s="68">
        <f>+E117-I117+L116-(G117/Weights!$B$2)</f>
        <v>24799.197530864192</v>
      </c>
      <c r="M117" s="68">
        <f>+F117-J117+M116-(H117/Weights!$B$4)</f>
        <v>34922.5</v>
      </c>
      <c r="N117" s="68">
        <f>+E117*Weights!$B$2</f>
        <v>0</v>
      </c>
      <c r="O117" s="68">
        <f>+F117*Weights!$B$4</f>
        <v>0</v>
      </c>
      <c r="Q117" s="83">
        <f t="shared" si="8"/>
        <v>0</v>
      </c>
    </row>
    <row r="118" spans="1:17" x14ac:dyDescent="0.35">
      <c r="A118" s="4">
        <f>+'Raw Data - Production'!A123</f>
        <v>46286</v>
      </c>
      <c r="B118" s="6">
        <f t="shared" si="9"/>
        <v>39</v>
      </c>
      <c r="C118" s="6" t="str">
        <f t="shared" si="7"/>
        <v>September</v>
      </c>
      <c r="E118" s="14">
        <f>+'Raw Data - Production'!D123+'Raw Data - Production'!E123+'Raw Data - Production'!F123</f>
        <v>0</v>
      </c>
      <c r="F118" s="15">
        <f>+'Raw Data - Production'!G123+'Raw Data - Production'!H123+'Raw Data - Production'!I123</f>
        <v>0</v>
      </c>
      <c r="G118" s="16">
        <f>+'Raw Data - Production'!K123+'Raw Data - Production'!L123+'Raw Data - Packing'!I123</f>
        <v>0</v>
      </c>
      <c r="H118" s="15">
        <f>+'Raw Data - Production'!N123+'Raw Data - Production'!O123+'Raw Data - Production'!P123+'Raw Data - Packing'!L123</f>
        <v>0</v>
      </c>
      <c r="I118" s="66">
        <f>SUMIF('Raw Data - Packing'!A:A,A118,'Raw Data - Packing'!D:D)</f>
        <v>0</v>
      </c>
      <c r="J118" s="15">
        <f>SUMIF('Raw Data - Packing'!A:A,A118,'Raw Data - Packing'!F:F)</f>
        <v>0</v>
      </c>
      <c r="K118" s="20"/>
      <c r="L118" s="68">
        <f>+E118-I118+L117-(G118/Weights!$B$2)</f>
        <v>24799.197530864192</v>
      </c>
      <c r="M118" s="68">
        <f>+F118-J118+M117-(H118/Weights!$B$4)</f>
        <v>34922.5</v>
      </c>
      <c r="N118" s="68">
        <f>+E118*Weights!$B$2</f>
        <v>0</v>
      </c>
      <c r="O118" s="68">
        <f>+F118*Weights!$B$4</f>
        <v>0</v>
      </c>
      <c r="Q118" s="83">
        <f t="shared" si="8"/>
        <v>0</v>
      </c>
    </row>
    <row r="119" spans="1:17" x14ac:dyDescent="0.35">
      <c r="A119" s="4">
        <f>+'Raw Data - Production'!A124</f>
        <v>46287</v>
      </c>
      <c r="B119" s="6">
        <f t="shared" si="9"/>
        <v>39</v>
      </c>
      <c r="C119" s="6" t="str">
        <f t="shared" si="7"/>
        <v>September</v>
      </c>
      <c r="E119" s="14">
        <f>+'Raw Data - Production'!D124+'Raw Data - Production'!E124+'Raw Data - Production'!F124</f>
        <v>0</v>
      </c>
      <c r="F119" s="15">
        <f>+'Raw Data - Production'!G124+'Raw Data - Production'!H124+'Raw Data - Production'!I124</f>
        <v>0</v>
      </c>
      <c r="G119" s="16">
        <f>+'Raw Data - Production'!K124+'Raw Data - Production'!L124+'Raw Data - Packing'!I124</f>
        <v>0</v>
      </c>
      <c r="H119" s="15">
        <f>+'Raw Data - Production'!N124+'Raw Data - Production'!O124+'Raw Data - Production'!P124+'Raw Data - Packing'!L124</f>
        <v>0</v>
      </c>
      <c r="I119" s="66">
        <f>SUMIF('Raw Data - Packing'!A:A,A119,'Raw Data - Packing'!D:D)</f>
        <v>0</v>
      </c>
      <c r="J119" s="15">
        <f>SUMIF('Raw Data - Packing'!A:A,A119,'Raw Data - Packing'!F:F)</f>
        <v>0</v>
      </c>
      <c r="K119" s="20"/>
      <c r="L119" s="68">
        <f>+E119-I119+L118-(G119/Weights!$B$2)</f>
        <v>24799.197530864192</v>
      </c>
      <c r="M119" s="68">
        <f>+F119-J119+M118-(H119/Weights!$B$4)</f>
        <v>34922.5</v>
      </c>
      <c r="N119" s="68">
        <f>+E119*Weights!$B$2</f>
        <v>0</v>
      </c>
      <c r="O119" s="68">
        <f>+F119*Weights!$B$4</f>
        <v>0</v>
      </c>
      <c r="Q119" s="83">
        <f t="shared" si="8"/>
        <v>0</v>
      </c>
    </row>
    <row r="120" spans="1:17" x14ac:dyDescent="0.35">
      <c r="A120" s="4">
        <f>+'Raw Data - Production'!A125</f>
        <v>46288</v>
      </c>
      <c r="B120" s="6">
        <f t="shared" si="9"/>
        <v>39</v>
      </c>
      <c r="C120" s="6" t="str">
        <f t="shared" si="7"/>
        <v>September</v>
      </c>
      <c r="E120" s="14">
        <f>+'Raw Data - Production'!D125+'Raw Data - Production'!E125+'Raw Data - Production'!F125</f>
        <v>0</v>
      </c>
      <c r="F120" s="15">
        <f>+'Raw Data - Production'!G125+'Raw Data - Production'!H125+'Raw Data - Production'!I125</f>
        <v>0</v>
      </c>
      <c r="G120" s="16">
        <f>+'Raw Data - Production'!K125+'Raw Data - Production'!L125+'Raw Data - Packing'!I125</f>
        <v>0</v>
      </c>
      <c r="H120" s="15">
        <f>+'Raw Data - Production'!N125+'Raw Data - Production'!O125+'Raw Data - Production'!P125+'Raw Data - Packing'!L125</f>
        <v>0</v>
      </c>
      <c r="I120" s="66">
        <f>SUMIF('Raw Data - Packing'!A:A,A120,'Raw Data - Packing'!D:D)</f>
        <v>0</v>
      </c>
      <c r="J120" s="15">
        <f>SUMIF('Raw Data - Packing'!A:A,A120,'Raw Data - Packing'!F:F)</f>
        <v>0</v>
      </c>
      <c r="K120" s="20"/>
      <c r="L120" s="68">
        <f>+E120-I120+L119-(G120/Weights!$B$2)</f>
        <v>24799.197530864192</v>
      </c>
      <c r="M120" s="68">
        <f>+F120-J120+M119-(H120/Weights!$B$4)</f>
        <v>34922.5</v>
      </c>
      <c r="N120" s="68">
        <f>+E120*Weights!$B$2</f>
        <v>0</v>
      </c>
      <c r="O120" s="68">
        <f>+F120*Weights!$B$4</f>
        <v>0</v>
      </c>
      <c r="Q120" s="83">
        <f t="shared" si="8"/>
        <v>0</v>
      </c>
    </row>
    <row r="121" spans="1:17" x14ac:dyDescent="0.35">
      <c r="A121" s="4">
        <f>+'Raw Data - Production'!A126</f>
        <v>46289</v>
      </c>
      <c r="B121" s="6">
        <f t="shared" si="9"/>
        <v>39</v>
      </c>
      <c r="C121" s="6" t="str">
        <f t="shared" si="7"/>
        <v>September</v>
      </c>
      <c r="E121" s="14">
        <f>+'Raw Data - Production'!D126+'Raw Data - Production'!E126+'Raw Data - Production'!F126</f>
        <v>0</v>
      </c>
      <c r="F121" s="15">
        <f>+'Raw Data - Production'!G126+'Raw Data - Production'!H126+'Raw Data - Production'!I126</f>
        <v>0</v>
      </c>
      <c r="G121" s="16">
        <f>+'Raw Data - Production'!K126+'Raw Data - Production'!L126+'Raw Data - Packing'!I126</f>
        <v>0</v>
      </c>
      <c r="H121" s="15">
        <f>+'Raw Data - Production'!N126+'Raw Data - Production'!O126+'Raw Data - Production'!P126+'Raw Data - Packing'!L126</f>
        <v>0</v>
      </c>
      <c r="I121" s="66">
        <f>SUMIF('Raw Data - Packing'!A:A,A121,'Raw Data - Packing'!D:D)</f>
        <v>0</v>
      </c>
      <c r="J121" s="15">
        <f>SUMIF('Raw Data - Packing'!A:A,A121,'Raw Data - Packing'!F:F)</f>
        <v>0</v>
      </c>
      <c r="K121" s="20"/>
      <c r="L121" s="68">
        <f>+E121-I121+L120-(G121/Weights!$B$2)</f>
        <v>24799.197530864192</v>
      </c>
      <c r="M121" s="68">
        <f>+F121-J121+M120-(H121/Weights!$B$4)</f>
        <v>34922.5</v>
      </c>
      <c r="N121" s="68">
        <f>+E121*Weights!$B$2</f>
        <v>0</v>
      </c>
      <c r="O121" s="68">
        <f>+F121*Weights!$B$4</f>
        <v>0</v>
      </c>
      <c r="Q121" s="83">
        <f t="shared" si="8"/>
        <v>0</v>
      </c>
    </row>
    <row r="122" spans="1:17" x14ac:dyDescent="0.35">
      <c r="A122" s="4">
        <f>+'Raw Data - Production'!A127</f>
        <v>46290</v>
      </c>
      <c r="B122" s="6">
        <f t="shared" si="9"/>
        <v>39</v>
      </c>
      <c r="C122" s="6" t="str">
        <f t="shared" si="7"/>
        <v>September</v>
      </c>
      <c r="E122" s="14">
        <f>+'Raw Data - Production'!D127+'Raw Data - Production'!E127+'Raw Data - Production'!F127</f>
        <v>0</v>
      </c>
      <c r="F122" s="15">
        <f>+'Raw Data - Production'!G127+'Raw Data - Production'!H127+'Raw Data - Production'!I127</f>
        <v>0</v>
      </c>
      <c r="G122" s="16">
        <f>+'Raw Data - Production'!K127+'Raw Data - Production'!L127+'Raw Data - Packing'!I127</f>
        <v>0</v>
      </c>
      <c r="H122" s="15">
        <f>+'Raw Data - Production'!N127+'Raw Data - Production'!O127+'Raw Data - Production'!P127+'Raw Data - Packing'!L127</f>
        <v>0</v>
      </c>
      <c r="I122" s="66">
        <f>SUMIF('Raw Data - Packing'!A:A,A122,'Raw Data - Packing'!D:D)</f>
        <v>0</v>
      </c>
      <c r="J122" s="15">
        <f>SUMIF('Raw Data - Packing'!A:A,A122,'Raw Data - Packing'!F:F)</f>
        <v>0</v>
      </c>
      <c r="K122" s="20"/>
      <c r="L122" s="68">
        <f>+E122-I122+L121-(G122/Weights!$B$2)</f>
        <v>24799.197530864192</v>
      </c>
      <c r="M122" s="68">
        <f>+F122-J122+M121-(H122/Weights!$B$4)</f>
        <v>34922.5</v>
      </c>
      <c r="N122" s="68">
        <f>+E122*Weights!$B$2</f>
        <v>0</v>
      </c>
      <c r="O122" s="68">
        <f>+F122*Weights!$B$4</f>
        <v>0</v>
      </c>
      <c r="Q122" s="83">
        <f t="shared" si="8"/>
        <v>0</v>
      </c>
    </row>
    <row r="123" spans="1:17" x14ac:dyDescent="0.35">
      <c r="A123" s="4">
        <f>+'Raw Data - Production'!A128</f>
        <v>46293</v>
      </c>
      <c r="B123" s="6">
        <f t="shared" si="9"/>
        <v>40</v>
      </c>
      <c r="C123" s="6" t="str">
        <f t="shared" si="7"/>
        <v>September</v>
      </c>
      <c r="E123" s="14">
        <f>+'Raw Data - Production'!D128+'Raw Data - Production'!E128+'Raw Data - Production'!F128</f>
        <v>0</v>
      </c>
      <c r="F123" s="15">
        <f>+'Raw Data - Production'!G128+'Raw Data - Production'!H128+'Raw Data - Production'!I128</f>
        <v>0</v>
      </c>
      <c r="G123" s="16">
        <f>+'Raw Data - Production'!K128+'Raw Data - Production'!L128+'Raw Data - Packing'!I128</f>
        <v>0</v>
      </c>
      <c r="H123" s="15">
        <f>+'Raw Data - Production'!N128+'Raw Data - Production'!O128+'Raw Data - Production'!P128+'Raw Data - Packing'!L128</f>
        <v>0</v>
      </c>
      <c r="I123" s="66">
        <f>SUMIF('Raw Data - Packing'!A:A,A123,'Raw Data - Packing'!D:D)</f>
        <v>0</v>
      </c>
      <c r="J123" s="15">
        <f>SUMIF('Raw Data - Packing'!A:A,A123,'Raw Data - Packing'!F:F)</f>
        <v>0</v>
      </c>
      <c r="K123" s="20"/>
      <c r="L123" s="68">
        <f>+E123-I123+L122-(G123/Weights!$B$2)</f>
        <v>24799.197530864192</v>
      </c>
      <c r="M123" s="68">
        <f>+F123-J123+M122-(H123/Weights!$B$4)</f>
        <v>34922.5</v>
      </c>
      <c r="N123" s="68">
        <f>+E123*Weights!$B$2</f>
        <v>0</v>
      </c>
      <c r="O123" s="68">
        <f>+F123*Weights!$B$4</f>
        <v>0</v>
      </c>
      <c r="Q123" s="83">
        <f t="shared" si="8"/>
        <v>0</v>
      </c>
    </row>
    <row r="124" spans="1:17" x14ac:dyDescent="0.35">
      <c r="A124" s="4">
        <f>+'Raw Data - Production'!A129</f>
        <v>46294</v>
      </c>
      <c r="B124" s="6">
        <f t="shared" si="9"/>
        <v>40</v>
      </c>
      <c r="C124" s="6" t="str">
        <f t="shared" si="7"/>
        <v>September</v>
      </c>
      <c r="E124" s="14">
        <f>+'Raw Data - Production'!D129+'Raw Data - Production'!E129+'Raw Data - Production'!F129</f>
        <v>0</v>
      </c>
      <c r="F124" s="15">
        <f>+'Raw Data - Production'!G129+'Raw Data - Production'!H129+'Raw Data - Production'!I129</f>
        <v>0</v>
      </c>
      <c r="G124" s="16">
        <f>+'Raw Data - Production'!K129+'Raw Data - Production'!L129+'Raw Data - Packing'!I129</f>
        <v>0</v>
      </c>
      <c r="H124" s="15">
        <f>+'Raw Data - Production'!N129+'Raw Data - Production'!O129+'Raw Data - Production'!P129+'Raw Data - Packing'!L129</f>
        <v>0</v>
      </c>
      <c r="I124" s="66">
        <f>SUMIF('Raw Data - Packing'!A:A,A124,'Raw Data - Packing'!D:D)</f>
        <v>0</v>
      </c>
      <c r="J124" s="15">
        <f>SUMIF('Raw Data - Packing'!A:A,A124,'Raw Data - Packing'!F:F)</f>
        <v>0</v>
      </c>
      <c r="K124" s="20"/>
      <c r="L124" s="68">
        <f>+E124-I124+L123-(G124/Weights!$B$2)</f>
        <v>24799.197530864192</v>
      </c>
      <c r="M124" s="68">
        <f>+F124-J124+M123-(H124/Weights!$B$4)</f>
        <v>34922.5</v>
      </c>
      <c r="N124" s="68">
        <f>+E124*Weights!$B$2</f>
        <v>0</v>
      </c>
      <c r="O124" s="68">
        <f>+F124*Weights!$B$4</f>
        <v>0</v>
      </c>
      <c r="Q124" s="83">
        <f t="shared" si="8"/>
        <v>0</v>
      </c>
    </row>
    <row r="125" spans="1:17" x14ac:dyDescent="0.35">
      <c r="A125" s="4">
        <f>+'Raw Data - Production'!A130</f>
        <v>46295</v>
      </c>
      <c r="B125" s="6">
        <f t="shared" si="9"/>
        <v>40</v>
      </c>
      <c r="C125" s="6" t="str">
        <f t="shared" si="7"/>
        <v>September</v>
      </c>
      <c r="E125" s="14">
        <f>+'Raw Data - Production'!D130+'Raw Data - Production'!E130+'Raw Data - Production'!F130</f>
        <v>0</v>
      </c>
      <c r="F125" s="15">
        <f>+'Raw Data - Production'!G130+'Raw Data - Production'!H130+'Raw Data - Production'!I130</f>
        <v>0</v>
      </c>
      <c r="G125" s="16">
        <f>+'Raw Data - Production'!K130+'Raw Data - Production'!L130+'Raw Data - Packing'!I130</f>
        <v>0</v>
      </c>
      <c r="H125" s="15">
        <f>+'Raw Data - Production'!N130+'Raw Data - Production'!O130+'Raw Data - Production'!P130+'Raw Data - Packing'!L130</f>
        <v>0</v>
      </c>
      <c r="I125" s="66">
        <f>SUMIF('Raw Data - Packing'!A:A,A125,'Raw Data - Packing'!D:D)</f>
        <v>0</v>
      </c>
      <c r="J125" s="15">
        <f>SUMIF('Raw Data - Packing'!A:A,A125,'Raw Data - Packing'!F:F)</f>
        <v>0</v>
      </c>
      <c r="K125" s="20"/>
      <c r="L125" s="68">
        <f>+E125-I125+L124-(G125/Weights!$B$2)</f>
        <v>24799.197530864192</v>
      </c>
      <c r="M125" s="68">
        <f>+F125-J125+M124-(H125/Weights!$B$4)</f>
        <v>34922.5</v>
      </c>
      <c r="N125" s="68">
        <f>+E125*Weights!$B$2</f>
        <v>0</v>
      </c>
      <c r="O125" s="68">
        <f>+F125*Weights!$B$4</f>
        <v>0</v>
      </c>
      <c r="Q125" s="83">
        <f t="shared" si="8"/>
        <v>0</v>
      </c>
    </row>
    <row r="126" spans="1:17" x14ac:dyDescent="0.35">
      <c r="A126" s="4">
        <f>+'Raw Data - Production'!A131</f>
        <v>46296</v>
      </c>
      <c r="B126" s="6">
        <f t="shared" si="9"/>
        <v>40</v>
      </c>
      <c r="C126" s="6" t="str">
        <f t="shared" si="7"/>
        <v>October</v>
      </c>
      <c r="E126" s="14">
        <f>+'Raw Data - Production'!D131+'Raw Data - Production'!E131+'Raw Data - Production'!F131</f>
        <v>0</v>
      </c>
      <c r="F126" s="15">
        <f>+'Raw Data - Production'!G131+'Raw Data - Production'!H131+'Raw Data - Production'!I131</f>
        <v>0</v>
      </c>
      <c r="G126" s="16">
        <f>+'Raw Data - Production'!K131+'Raw Data - Production'!L131+'Raw Data - Packing'!I131</f>
        <v>0</v>
      </c>
      <c r="H126" s="15">
        <f>+'Raw Data - Production'!N131+'Raw Data - Production'!O131+'Raw Data - Production'!P131+'Raw Data - Packing'!L131</f>
        <v>0</v>
      </c>
      <c r="I126" s="66">
        <f>SUMIF('Raw Data - Packing'!A:A,A126,'Raw Data - Packing'!D:D)</f>
        <v>0</v>
      </c>
      <c r="J126" s="15">
        <f>SUMIF('Raw Data - Packing'!A:A,A126,'Raw Data - Packing'!F:F)</f>
        <v>0</v>
      </c>
      <c r="K126" s="20"/>
      <c r="L126" s="68">
        <f>+E126-I126+L125-(G126/Weights!$B$2)</f>
        <v>24799.197530864192</v>
      </c>
      <c r="M126" s="68">
        <f>+F126-J126+M125-(H126/Weights!$B$4)</f>
        <v>34922.5</v>
      </c>
      <c r="N126" s="68">
        <f>+E126*Weights!$B$2</f>
        <v>0</v>
      </c>
      <c r="O126" s="68">
        <f>+F126*Weights!$B$4</f>
        <v>0</v>
      </c>
      <c r="Q126" s="83">
        <f t="shared" si="8"/>
        <v>0</v>
      </c>
    </row>
    <row r="127" spans="1:17" x14ac:dyDescent="0.35">
      <c r="A127" s="4">
        <f>+'Raw Data - Production'!A132</f>
        <v>46297</v>
      </c>
      <c r="B127" s="6">
        <f t="shared" si="9"/>
        <v>40</v>
      </c>
      <c r="C127" s="6" t="str">
        <f t="shared" si="7"/>
        <v>October</v>
      </c>
      <c r="E127" s="14">
        <f>+'Raw Data - Production'!D132+'Raw Data - Production'!E132+'Raw Data - Production'!F132</f>
        <v>0</v>
      </c>
      <c r="F127" s="15">
        <f>+'Raw Data - Production'!G132+'Raw Data - Production'!H132+'Raw Data - Production'!I132</f>
        <v>0</v>
      </c>
      <c r="G127" s="16">
        <f>+'Raw Data - Production'!K132+'Raw Data - Production'!L132+'Raw Data - Packing'!I132</f>
        <v>0</v>
      </c>
      <c r="H127" s="15">
        <f>+'Raw Data - Production'!N132+'Raw Data - Production'!O132+'Raw Data - Production'!P132+'Raw Data - Packing'!L132</f>
        <v>0</v>
      </c>
      <c r="I127" s="66">
        <f>SUMIF('Raw Data - Packing'!A:A,A127,'Raw Data - Packing'!D:D)</f>
        <v>0</v>
      </c>
      <c r="J127" s="15">
        <f>SUMIF('Raw Data - Packing'!A:A,A127,'Raw Data - Packing'!F:F)</f>
        <v>0</v>
      </c>
      <c r="K127" s="20"/>
      <c r="L127" s="68">
        <f>+E127-I127+L126-(G127/Weights!$B$2)</f>
        <v>24799.197530864192</v>
      </c>
      <c r="M127" s="68">
        <f>+F127-J127+M126-(H127/Weights!$B$4)</f>
        <v>34922.5</v>
      </c>
      <c r="N127" s="68">
        <f>+E127*Weights!$B$2</f>
        <v>0</v>
      </c>
      <c r="O127" s="68">
        <f>+F127*Weights!$B$4</f>
        <v>0</v>
      </c>
      <c r="Q127" s="83">
        <f t="shared" si="8"/>
        <v>0</v>
      </c>
    </row>
    <row r="128" spans="1:17" x14ac:dyDescent="0.35">
      <c r="A128" s="4">
        <f>+'Raw Data - Production'!A133</f>
        <v>46300</v>
      </c>
      <c r="B128" s="6">
        <f t="shared" si="9"/>
        <v>41</v>
      </c>
      <c r="C128" s="6" t="str">
        <f t="shared" si="7"/>
        <v>October</v>
      </c>
      <c r="E128" s="14">
        <f>+'Raw Data - Production'!D133+'Raw Data - Production'!E133+'Raw Data - Production'!F133</f>
        <v>0</v>
      </c>
      <c r="F128" s="15">
        <f>+'Raw Data - Production'!G133+'Raw Data - Production'!H133+'Raw Data - Production'!I133</f>
        <v>0</v>
      </c>
      <c r="G128" s="16">
        <f>+'Raw Data - Production'!K133+'Raw Data - Production'!L133+'Raw Data - Packing'!I133</f>
        <v>0</v>
      </c>
      <c r="H128" s="15">
        <f>+'Raw Data - Production'!N133+'Raw Data - Production'!O133+'Raw Data - Production'!P133+'Raw Data - Packing'!L133</f>
        <v>0</v>
      </c>
      <c r="I128" s="66">
        <f>SUMIF('Raw Data - Packing'!A:A,A128,'Raw Data - Packing'!D:D)</f>
        <v>0</v>
      </c>
      <c r="J128" s="15">
        <f>SUMIF('Raw Data - Packing'!A:A,A128,'Raw Data - Packing'!F:F)</f>
        <v>0</v>
      </c>
      <c r="K128" s="20"/>
      <c r="L128" s="68">
        <f>+E128-I128+L127-(G128/Weights!$B$2)</f>
        <v>24799.197530864192</v>
      </c>
      <c r="M128" s="68">
        <f>+F128-J128+M127-(H128/Weights!$B$4)</f>
        <v>34922.5</v>
      </c>
      <c r="N128" s="68">
        <f>+E128*Weights!$B$2</f>
        <v>0</v>
      </c>
      <c r="O128" s="68">
        <f>+F128*Weights!$B$4</f>
        <v>0</v>
      </c>
      <c r="Q128" s="83">
        <f t="shared" si="8"/>
        <v>0</v>
      </c>
    </row>
    <row r="129" spans="1:17" x14ac:dyDescent="0.35">
      <c r="A129" s="4">
        <f>+'Raw Data - Production'!A134</f>
        <v>46301</v>
      </c>
      <c r="B129" s="6">
        <f t="shared" si="9"/>
        <v>41</v>
      </c>
      <c r="C129" s="6" t="str">
        <f t="shared" si="7"/>
        <v>October</v>
      </c>
      <c r="E129" s="14">
        <f>+'Raw Data - Production'!D134+'Raw Data - Production'!E134+'Raw Data - Production'!F134</f>
        <v>0</v>
      </c>
      <c r="F129" s="15">
        <f>+'Raw Data - Production'!G134+'Raw Data - Production'!H134+'Raw Data - Production'!I134</f>
        <v>0</v>
      </c>
      <c r="G129" s="16">
        <f>+'Raw Data - Production'!K134+'Raw Data - Production'!L134+'Raw Data - Packing'!I134</f>
        <v>0</v>
      </c>
      <c r="H129" s="15">
        <f>+'Raw Data - Production'!N134+'Raw Data - Production'!O134+'Raw Data - Production'!P134+'Raw Data - Packing'!L134</f>
        <v>0</v>
      </c>
      <c r="I129" s="66">
        <f>SUMIF('Raw Data - Packing'!A:A,A129,'Raw Data - Packing'!D:D)</f>
        <v>0</v>
      </c>
      <c r="J129" s="15">
        <f>SUMIF('Raw Data - Packing'!A:A,A129,'Raw Data - Packing'!F:F)</f>
        <v>0</v>
      </c>
      <c r="K129" s="20"/>
      <c r="L129" s="68">
        <f>+E129-I129+L128-(G129/Weights!$B$2)</f>
        <v>24799.197530864192</v>
      </c>
      <c r="M129" s="68">
        <f>+F129-J129+M128-(H129/Weights!$B$4)</f>
        <v>34922.5</v>
      </c>
      <c r="N129" s="68">
        <f>+E129*Weights!$B$2</f>
        <v>0</v>
      </c>
      <c r="O129" s="68">
        <f>+F129*Weights!$B$4</f>
        <v>0</v>
      </c>
      <c r="Q129" s="83">
        <f t="shared" si="8"/>
        <v>0</v>
      </c>
    </row>
    <row r="130" spans="1:17" x14ac:dyDescent="0.35">
      <c r="A130" s="4">
        <f>+'Raw Data - Production'!A135</f>
        <v>46302</v>
      </c>
      <c r="B130" s="6">
        <f t="shared" si="9"/>
        <v>41</v>
      </c>
      <c r="C130" s="6" t="str">
        <f t="shared" si="7"/>
        <v>October</v>
      </c>
      <c r="E130" s="14">
        <f>+'Raw Data - Production'!D135+'Raw Data - Production'!E135+'Raw Data - Production'!F135</f>
        <v>0</v>
      </c>
      <c r="F130" s="15">
        <f>+'Raw Data - Production'!G135+'Raw Data - Production'!H135+'Raw Data - Production'!I135</f>
        <v>0</v>
      </c>
      <c r="G130" s="16">
        <f>+'Raw Data - Production'!K135+'Raw Data - Production'!L135+'Raw Data - Packing'!I135</f>
        <v>0</v>
      </c>
      <c r="H130" s="15">
        <f>+'Raw Data - Production'!N135+'Raw Data - Production'!O135+'Raw Data - Production'!P135+'Raw Data - Packing'!L135</f>
        <v>0</v>
      </c>
      <c r="I130" s="66">
        <f>SUMIF('Raw Data - Packing'!A:A,A130,'Raw Data - Packing'!D:D)</f>
        <v>0</v>
      </c>
      <c r="J130" s="15">
        <f>SUMIF('Raw Data - Packing'!A:A,A130,'Raw Data - Packing'!F:F)</f>
        <v>0</v>
      </c>
      <c r="K130" s="20"/>
      <c r="L130" s="68">
        <f>+E130-I130+L129-(G130/Weights!$B$2)</f>
        <v>24799.197530864192</v>
      </c>
      <c r="M130" s="68">
        <f>+F130-J130+M129-(H130/Weights!$B$4)</f>
        <v>34922.5</v>
      </c>
      <c r="N130" s="68">
        <f>+E130*Weights!$B$2</f>
        <v>0</v>
      </c>
      <c r="O130" s="68">
        <f>+F130*Weights!$B$4</f>
        <v>0</v>
      </c>
      <c r="Q130" s="83">
        <f t="shared" si="8"/>
        <v>0</v>
      </c>
    </row>
    <row r="131" spans="1:17" x14ac:dyDescent="0.35">
      <c r="A131" s="4">
        <f>+'Raw Data - Production'!A136</f>
        <v>46303</v>
      </c>
      <c r="B131" s="6">
        <f t="shared" si="9"/>
        <v>41</v>
      </c>
      <c r="C131" s="6" t="str">
        <f t="shared" ref="C131:C194" si="10">+TEXT(A131,"mmmm")</f>
        <v>October</v>
      </c>
      <c r="E131" s="14">
        <f>+'Raw Data - Production'!D136+'Raw Data - Production'!E136+'Raw Data - Production'!F136</f>
        <v>0</v>
      </c>
      <c r="F131" s="15">
        <f>+'Raw Data - Production'!G136+'Raw Data - Production'!H136+'Raw Data - Production'!I136</f>
        <v>0</v>
      </c>
      <c r="G131" s="16">
        <f>+'Raw Data - Production'!K136+'Raw Data - Production'!L136+'Raw Data - Packing'!I136</f>
        <v>0</v>
      </c>
      <c r="H131" s="15">
        <f>+'Raw Data - Production'!N136+'Raw Data - Production'!O136+'Raw Data - Production'!P136+'Raw Data - Packing'!L136</f>
        <v>0</v>
      </c>
      <c r="I131" s="66">
        <f>SUMIF('Raw Data - Packing'!A:A,A131,'Raw Data - Packing'!D:D)</f>
        <v>0</v>
      </c>
      <c r="J131" s="15">
        <f>SUMIF('Raw Data - Packing'!A:A,A131,'Raw Data - Packing'!F:F)</f>
        <v>0</v>
      </c>
      <c r="K131" s="20"/>
      <c r="L131" s="68">
        <f>+E131-I131+L130-(G131/Weights!$B$2)</f>
        <v>24799.197530864192</v>
      </c>
      <c r="M131" s="68">
        <f>+F131-J131+M130-(H131/Weights!$B$4)</f>
        <v>34922.5</v>
      </c>
      <c r="N131" s="68">
        <f>+E131*Weights!$B$2</f>
        <v>0</v>
      </c>
      <c r="O131" s="68">
        <f>+F131*Weights!$B$4</f>
        <v>0</v>
      </c>
      <c r="Q131" s="83">
        <f t="shared" ref="Q131:Q194" si="11">I131+J131</f>
        <v>0</v>
      </c>
    </row>
    <row r="132" spans="1:17" x14ac:dyDescent="0.35">
      <c r="A132" s="4">
        <f>+'Raw Data - Production'!A137</f>
        <v>46304</v>
      </c>
      <c r="B132" s="6">
        <f t="shared" si="9"/>
        <v>41</v>
      </c>
      <c r="C132" s="6" t="str">
        <f t="shared" si="10"/>
        <v>October</v>
      </c>
      <c r="E132" s="14">
        <f>+'Raw Data - Production'!D137+'Raw Data - Production'!E137+'Raw Data - Production'!F137</f>
        <v>0</v>
      </c>
      <c r="F132" s="15">
        <f>+'Raw Data - Production'!G137+'Raw Data - Production'!H137+'Raw Data - Production'!I137</f>
        <v>0</v>
      </c>
      <c r="G132" s="16">
        <f>+'Raw Data - Production'!K137+'Raw Data - Production'!L137+'Raw Data - Packing'!I137</f>
        <v>0</v>
      </c>
      <c r="H132" s="15">
        <f>+'Raw Data - Production'!N137+'Raw Data - Production'!O137+'Raw Data - Production'!P137+'Raw Data - Packing'!L137</f>
        <v>0</v>
      </c>
      <c r="I132" s="66">
        <f>SUMIF('Raw Data - Packing'!A:A,A132,'Raw Data - Packing'!D:D)</f>
        <v>0</v>
      </c>
      <c r="J132" s="15">
        <f>SUMIF('Raw Data - Packing'!A:A,A132,'Raw Data - Packing'!F:F)</f>
        <v>0</v>
      </c>
      <c r="K132" s="20"/>
      <c r="L132" s="68">
        <f>+E132-I132+L131-(G132/Weights!$B$2)</f>
        <v>24799.197530864192</v>
      </c>
      <c r="M132" s="68">
        <f>+F132-J132+M131-(H132/Weights!$B$4)</f>
        <v>34922.5</v>
      </c>
      <c r="N132" s="68">
        <f>+E132*Weights!$B$2</f>
        <v>0</v>
      </c>
      <c r="O132" s="68">
        <f>+F132*Weights!$B$4</f>
        <v>0</v>
      </c>
      <c r="Q132" s="83">
        <f t="shared" si="11"/>
        <v>0</v>
      </c>
    </row>
    <row r="133" spans="1:17" x14ac:dyDescent="0.35">
      <c r="A133" s="4">
        <f>+'Raw Data - Production'!A138</f>
        <v>46307</v>
      </c>
      <c r="B133" s="6">
        <f t="shared" si="9"/>
        <v>42</v>
      </c>
      <c r="C133" s="6" t="str">
        <f t="shared" si="10"/>
        <v>October</v>
      </c>
      <c r="E133" s="14">
        <f>+'Raw Data - Production'!D138+'Raw Data - Production'!E138+'Raw Data - Production'!F138</f>
        <v>0</v>
      </c>
      <c r="F133" s="15">
        <f>+'Raw Data - Production'!G138+'Raw Data - Production'!H138+'Raw Data - Production'!I138</f>
        <v>0</v>
      </c>
      <c r="G133" s="16">
        <f>+'Raw Data - Production'!K138+'Raw Data - Production'!L138+'Raw Data - Packing'!I138</f>
        <v>0</v>
      </c>
      <c r="H133" s="15">
        <f>+'Raw Data - Production'!N138+'Raw Data - Production'!O138+'Raw Data - Production'!P138+'Raw Data - Packing'!L138</f>
        <v>0</v>
      </c>
      <c r="I133" s="66">
        <f>SUMIF('Raw Data - Packing'!A:A,A133,'Raw Data - Packing'!D:D)</f>
        <v>0</v>
      </c>
      <c r="J133" s="15">
        <f>SUMIF('Raw Data - Packing'!A:A,A133,'Raw Data - Packing'!F:F)</f>
        <v>0</v>
      </c>
      <c r="K133" s="20"/>
      <c r="L133" s="68">
        <f>+E133-I133+L132-(G133/Weights!$B$2)</f>
        <v>24799.197530864192</v>
      </c>
      <c r="M133" s="68">
        <f>+F133-J133+M132-(H133/Weights!$B$4)</f>
        <v>34922.5</v>
      </c>
      <c r="N133" s="68">
        <f>+E133*Weights!$B$2</f>
        <v>0</v>
      </c>
      <c r="O133" s="68">
        <f>+F133*Weights!$B$4</f>
        <v>0</v>
      </c>
      <c r="Q133" s="83">
        <f t="shared" si="11"/>
        <v>0</v>
      </c>
    </row>
    <row r="134" spans="1:17" x14ac:dyDescent="0.35">
      <c r="A134" s="4">
        <f>+'Raw Data - Production'!A139</f>
        <v>46308</v>
      </c>
      <c r="B134" s="6">
        <f t="shared" si="9"/>
        <v>42</v>
      </c>
      <c r="C134" s="6" t="str">
        <f t="shared" si="10"/>
        <v>October</v>
      </c>
      <c r="E134" s="14">
        <f>+'Raw Data - Production'!D139+'Raw Data - Production'!E139+'Raw Data - Production'!F139</f>
        <v>0</v>
      </c>
      <c r="F134" s="15">
        <f>+'Raw Data - Production'!G139+'Raw Data - Production'!H139+'Raw Data - Production'!I139</f>
        <v>0</v>
      </c>
      <c r="G134" s="16">
        <f>+'Raw Data - Production'!K139+'Raw Data - Production'!L139+'Raw Data - Packing'!I139</f>
        <v>0</v>
      </c>
      <c r="H134" s="15">
        <f>+'Raw Data - Production'!N139+'Raw Data - Production'!O139+'Raw Data - Production'!P139+'Raw Data - Packing'!L139</f>
        <v>0</v>
      </c>
      <c r="I134" s="66">
        <f>SUMIF('Raw Data - Packing'!A:A,A134,'Raw Data - Packing'!D:D)</f>
        <v>0</v>
      </c>
      <c r="J134" s="15">
        <f>SUMIF('Raw Data - Packing'!A:A,A134,'Raw Data - Packing'!F:F)</f>
        <v>0</v>
      </c>
      <c r="K134" s="20"/>
      <c r="L134" s="68">
        <f>+E134-I134+L133-(G134/Weights!$B$2)</f>
        <v>24799.197530864192</v>
      </c>
      <c r="M134" s="68">
        <f>+F134-J134+M133-(H134/Weights!$B$4)</f>
        <v>34922.5</v>
      </c>
      <c r="N134" s="68">
        <f>+E134*Weights!$B$2</f>
        <v>0</v>
      </c>
      <c r="O134" s="68">
        <f>+F134*Weights!$B$4</f>
        <v>0</v>
      </c>
      <c r="Q134" s="83">
        <f t="shared" si="11"/>
        <v>0</v>
      </c>
    </row>
    <row r="135" spans="1:17" x14ac:dyDescent="0.35">
      <c r="A135" s="4">
        <f>+'Raw Data - Production'!A140</f>
        <v>46309</v>
      </c>
      <c r="B135" s="6">
        <f t="shared" si="9"/>
        <v>42</v>
      </c>
      <c r="C135" s="6" t="str">
        <f t="shared" si="10"/>
        <v>October</v>
      </c>
      <c r="E135" s="14">
        <f>+'Raw Data - Production'!D140+'Raw Data - Production'!E140+'Raw Data - Production'!F140</f>
        <v>0</v>
      </c>
      <c r="F135" s="15">
        <f>+'Raw Data - Production'!G140+'Raw Data - Production'!H140+'Raw Data - Production'!I140</f>
        <v>0</v>
      </c>
      <c r="G135" s="16">
        <f>+'Raw Data - Production'!K140+'Raw Data - Production'!L140+'Raw Data - Packing'!I140</f>
        <v>0</v>
      </c>
      <c r="H135" s="15">
        <f>+'Raw Data - Production'!N140+'Raw Data - Production'!O140+'Raw Data - Production'!P140+'Raw Data - Packing'!L140</f>
        <v>0</v>
      </c>
      <c r="I135" s="66">
        <f>SUMIF('Raw Data - Packing'!A:A,A135,'Raw Data - Packing'!D:D)</f>
        <v>0</v>
      </c>
      <c r="J135" s="15">
        <f>SUMIF('Raw Data - Packing'!A:A,A135,'Raw Data - Packing'!F:F)</f>
        <v>0</v>
      </c>
      <c r="K135" s="20"/>
      <c r="L135" s="68">
        <f>+E135-I135+L134-(G135/Weights!$B$2)</f>
        <v>24799.197530864192</v>
      </c>
      <c r="M135" s="68">
        <f>+F135-J135+M134-(H135/Weights!$B$4)</f>
        <v>34922.5</v>
      </c>
      <c r="N135" s="68">
        <f>+E135*Weights!$B$2</f>
        <v>0</v>
      </c>
      <c r="O135" s="68">
        <f>+F135*Weights!$B$4</f>
        <v>0</v>
      </c>
      <c r="Q135" s="83">
        <f t="shared" si="11"/>
        <v>0</v>
      </c>
    </row>
    <row r="136" spans="1:17" x14ac:dyDescent="0.35">
      <c r="A136" s="4">
        <f>+'Raw Data - Production'!A141</f>
        <v>46310</v>
      </c>
      <c r="B136" s="6">
        <f t="shared" si="9"/>
        <v>42</v>
      </c>
      <c r="C136" s="6" t="str">
        <f t="shared" si="10"/>
        <v>October</v>
      </c>
      <c r="E136" s="14">
        <f>+'Raw Data - Production'!D141+'Raw Data - Production'!E141+'Raw Data - Production'!F141</f>
        <v>0</v>
      </c>
      <c r="F136" s="15">
        <f>+'Raw Data - Production'!G141+'Raw Data - Production'!H141+'Raw Data - Production'!I141</f>
        <v>0</v>
      </c>
      <c r="G136" s="16">
        <f>+'Raw Data - Production'!K141+'Raw Data - Production'!L141+'Raw Data - Packing'!I141</f>
        <v>0</v>
      </c>
      <c r="H136" s="15">
        <f>+'Raw Data - Production'!N141+'Raw Data - Production'!O141+'Raw Data - Production'!P141+'Raw Data - Packing'!L141</f>
        <v>0</v>
      </c>
      <c r="I136" s="66">
        <f>SUMIF('Raw Data - Packing'!A:A,A136,'Raw Data - Packing'!D:D)</f>
        <v>0</v>
      </c>
      <c r="J136" s="15">
        <f>SUMIF('Raw Data - Packing'!A:A,A136,'Raw Data - Packing'!F:F)</f>
        <v>0</v>
      </c>
      <c r="K136" s="20"/>
      <c r="L136" s="68">
        <f>+E136-I136+L135-(G136/Weights!$B$2)</f>
        <v>24799.197530864192</v>
      </c>
      <c r="M136" s="68">
        <f>+F136-J136+M135-(H136/Weights!$B$4)</f>
        <v>34922.5</v>
      </c>
      <c r="N136" s="68">
        <f>+E136*Weights!$B$2</f>
        <v>0</v>
      </c>
      <c r="O136" s="68">
        <f>+F136*Weights!$B$4</f>
        <v>0</v>
      </c>
      <c r="Q136" s="83">
        <f t="shared" si="11"/>
        <v>0</v>
      </c>
    </row>
    <row r="137" spans="1:17" x14ac:dyDescent="0.35">
      <c r="A137" s="4">
        <f>+'Raw Data - Production'!A142</f>
        <v>46311</v>
      </c>
      <c r="B137" s="6">
        <f t="shared" si="9"/>
        <v>42</v>
      </c>
      <c r="C137" s="6" t="str">
        <f t="shared" si="10"/>
        <v>October</v>
      </c>
      <c r="E137" s="14">
        <f>+'Raw Data - Production'!D142+'Raw Data - Production'!E142+'Raw Data - Production'!F142</f>
        <v>0</v>
      </c>
      <c r="F137" s="15">
        <f>+'Raw Data - Production'!G142+'Raw Data - Production'!H142+'Raw Data - Production'!I142</f>
        <v>0</v>
      </c>
      <c r="G137" s="16">
        <f>+'Raw Data - Production'!K142+'Raw Data - Production'!L142+'Raw Data - Packing'!I142</f>
        <v>0</v>
      </c>
      <c r="H137" s="15">
        <f>+'Raw Data - Production'!N142+'Raw Data - Production'!O142+'Raw Data - Production'!P142+'Raw Data - Packing'!L142</f>
        <v>0</v>
      </c>
      <c r="I137" s="66">
        <f>SUMIF('Raw Data - Packing'!A:A,A137,'Raw Data - Packing'!D:D)</f>
        <v>0</v>
      </c>
      <c r="J137" s="15">
        <f>SUMIF('Raw Data - Packing'!A:A,A137,'Raw Data - Packing'!F:F)</f>
        <v>0</v>
      </c>
      <c r="K137" s="20"/>
      <c r="L137" s="68">
        <f>+E137-I137+L136-(G137/Weights!$B$2)</f>
        <v>24799.197530864192</v>
      </c>
      <c r="M137" s="68">
        <f>+F137-J137+M136-(H137/Weights!$B$4)</f>
        <v>34922.5</v>
      </c>
      <c r="N137" s="68">
        <f>+E137*Weights!$B$2</f>
        <v>0</v>
      </c>
      <c r="O137" s="68">
        <f>+F137*Weights!$B$4</f>
        <v>0</v>
      </c>
      <c r="Q137" s="83">
        <f t="shared" si="11"/>
        <v>0</v>
      </c>
    </row>
    <row r="138" spans="1:17" x14ac:dyDescent="0.35">
      <c r="A138" s="4">
        <f>+'Raw Data - Production'!A143</f>
        <v>46314</v>
      </c>
      <c r="B138" s="6">
        <f t="shared" si="9"/>
        <v>43</v>
      </c>
      <c r="C138" s="6" t="str">
        <f t="shared" si="10"/>
        <v>October</v>
      </c>
      <c r="E138" s="14">
        <f>+'Raw Data - Production'!D143+'Raw Data - Production'!E143+'Raw Data - Production'!F143</f>
        <v>0</v>
      </c>
      <c r="F138" s="15">
        <f>+'Raw Data - Production'!G143+'Raw Data - Production'!H143+'Raw Data - Production'!I143</f>
        <v>0</v>
      </c>
      <c r="G138" s="16">
        <f>+'Raw Data - Production'!K143+'Raw Data - Production'!L143+'Raw Data - Packing'!I143</f>
        <v>0</v>
      </c>
      <c r="H138" s="15">
        <f>+'Raw Data - Production'!N143+'Raw Data - Production'!O143+'Raw Data - Production'!P143+'Raw Data - Packing'!L143</f>
        <v>0</v>
      </c>
      <c r="I138" s="66">
        <f>SUMIF('Raw Data - Packing'!A:A,A138,'Raw Data - Packing'!D:D)</f>
        <v>0</v>
      </c>
      <c r="J138" s="15">
        <f>SUMIF('Raw Data - Packing'!A:A,A138,'Raw Data - Packing'!F:F)</f>
        <v>0</v>
      </c>
      <c r="K138" s="20"/>
      <c r="L138" s="68">
        <f>+E138-I138+L137-(G138/Weights!$B$2)</f>
        <v>24799.197530864192</v>
      </c>
      <c r="M138" s="68">
        <f>+F138-J138+M137-(H138/Weights!$B$4)</f>
        <v>34922.5</v>
      </c>
      <c r="N138" s="68">
        <f>+E138*Weights!$B$2</f>
        <v>0</v>
      </c>
      <c r="O138" s="68">
        <f>+F138*Weights!$B$4</f>
        <v>0</v>
      </c>
      <c r="Q138" s="83">
        <f t="shared" si="11"/>
        <v>0</v>
      </c>
    </row>
    <row r="139" spans="1:17" x14ac:dyDescent="0.35">
      <c r="A139" s="4">
        <f>+'Raw Data - Production'!A144</f>
        <v>46315</v>
      </c>
      <c r="B139" s="6">
        <f t="shared" si="9"/>
        <v>43</v>
      </c>
      <c r="C139" s="6" t="str">
        <f t="shared" si="10"/>
        <v>October</v>
      </c>
      <c r="E139" s="14">
        <f>+'Raw Data - Production'!D144+'Raw Data - Production'!E144+'Raw Data - Production'!F144</f>
        <v>0</v>
      </c>
      <c r="F139" s="15">
        <f>+'Raw Data - Production'!G144+'Raw Data - Production'!H144+'Raw Data - Production'!I144</f>
        <v>0</v>
      </c>
      <c r="G139" s="16">
        <f>+'Raw Data - Production'!K144+'Raw Data - Production'!L144+'Raw Data - Packing'!I144</f>
        <v>0</v>
      </c>
      <c r="H139" s="15">
        <f>+'Raw Data - Production'!N144+'Raw Data - Production'!O144+'Raw Data - Production'!P144+'Raw Data - Packing'!L144</f>
        <v>0</v>
      </c>
      <c r="I139" s="66">
        <f>SUMIF('Raw Data - Packing'!A:A,A139,'Raw Data - Packing'!D:D)</f>
        <v>0</v>
      </c>
      <c r="J139" s="15">
        <f>SUMIF('Raw Data - Packing'!A:A,A139,'Raw Data - Packing'!F:F)</f>
        <v>0</v>
      </c>
      <c r="K139" s="20"/>
      <c r="L139" s="68">
        <f>+E139-I139+L138-(G139/Weights!$B$2)</f>
        <v>24799.197530864192</v>
      </c>
      <c r="M139" s="68">
        <f>+F139-J139+M138-(H139/Weights!$B$4)</f>
        <v>34922.5</v>
      </c>
      <c r="N139" s="68">
        <f>+E139*Weights!$B$2</f>
        <v>0</v>
      </c>
      <c r="O139" s="68">
        <f>+F139*Weights!$B$4</f>
        <v>0</v>
      </c>
      <c r="Q139" s="83">
        <f t="shared" si="11"/>
        <v>0</v>
      </c>
    </row>
    <row r="140" spans="1:17" x14ac:dyDescent="0.35">
      <c r="A140" s="4">
        <f>+'Raw Data - Production'!A145</f>
        <v>46316</v>
      </c>
      <c r="B140" s="6">
        <f t="shared" si="9"/>
        <v>43</v>
      </c>
      <c r="C140" s="6" t="str">
        <f t="shared" si="10"/>
        <v>October</v>
      </c>
      <c r="E140" s="14">
        <f>+'Raw Data - Production'!D145+'Raw Data - Production'!E145+'Raw Data - Production'!F145</f>
        <v>0</v>
      </c>
      <c r="F140" s="15">
        <f>+'Raw Data - Production'!G145+'Raw Data - Production'!H145+'Raw Data - Production'!I145</f>
        <v>0</v>
      </c>
      <c r="G140" s="16">
        <f>+'Raw Data - Production'!K145+'Raw Data - Production'!L145+'Raw Data - Packing'!I145</f>
        <v>0</v>
      </c>
      <c r="H140" s="15">
        <f>+'Raw Data - Production'!N145+'Raw Data - Production'!O145+'Raw Data - Production'!P145+'Raw Data - Packing'!L145</f>
        <v>0</v>
      </c>
      <c r="I140" s="66">
        <f>SUMIF('Raw Data - Packing'!A:A,A140,'Raw Data - Packing'!D:D)</f>
        <v>0</v>
      </c>
      <c r="J140" s="15">
        <f>SUMIF('Raw Data - Packing'!A:A,A140,'Raw Data - Packing'!F:F)</f>
        <v>0</v>
      </c>
      <c r="K140" s="20"/>
      <c r="L140" s="68">
        <f>+E140-I140+L139-(G140/Weights!$B$2)</f>
        <v>24799.197530864192</v>
      </c>
      <c r="M140" s="68">
        <f>+F140-J140+M139-(H140/Weights!$B$4)</f>
        <v>34922.5</v>
      </c>
      <c r="N140" s="68">
        <f>+E140*Weights!$B$2</f>
        <v>0</v>
      </c>
      <c r="O140" s="68">
        <f>+F140*Weights!$B$4</f>
        <v>0</v>
      </c>
      <c r="Q140" s="83">
        <f t="shared" si="11"/>
        <v>0</v>
      </c>
    </row>
    <row r="141" spans="1:17" x14ac:dyDescent="0.35">
      <c r="A141" s="4">
        <f>+'Raw Data - Production'!A146</f>
        <v>46317</v>
      </c>
      <c r="B141" s="6">
        <f t="shared" si="9"/>
        <v>43</v>
      </c>
      <c r="C141" s="6" t="str">
        <f t="shared" si="10"/>
        <v>October</v>
      </c>
      <c r="E141" s="14">
        <f>+'Raw Data - Production'!D146+'Raw Data - Production'!E146+'Raw Data - Production'!F146</f>
        <v>0</v>
      </c>
      <c r="F141" s="15">
        <f>+'Raw Data - Production'!G146+'Raw Data - Production'!H146+'Raw Data - Production'!I146</f>
        <v>0</v>
      </c>
      <c r="G141" s="16">
        <f>+'Raw Data - Production'!K146+'Raw Data - Production'!L146+'Raw Data - Packing'!I146</f>
        <v>0</v>
      </c>
      <c r="H141" s="15">
        <f>+'Raw Data - Production'!N146+'Raw Data - Production'!O146+'Raw Data - Production'!P146+'Raw Data - Packing'!L146</f>
        <v>0</v>
      </c>
      <c r="I141" s="66">
        <f>SUMIF('Raw Data - Packing'!A:A,A141,'Raw Data - Packing'!D:D)</f>
        <v>0</v>
      </c>
      <c r="J141" s="15">
        <f>SUMIF('Raw Data - Packing'!A:A,A141,'Raw Data - Packing'!F:F)</f>
        <v>0</v>
      </c>
      <c r="K141" s="20"/>
      <c r="L141" s="68">
        <f>+E141-I141+L140-(G141/Weights!$B$2)</f>
        <v>24799.197530864192</v>
      </c>
      <c r="M141" s="68">
        <f>+F141-J141+M140-(H141/Weights!$B$4)</f>
        <v>34922.5</v>
      </c>
      <c r="N141" s="68">
        <f>+E141*Weights!$B$2</f>
        <v>0</v>
      </c>
      <c r="O141" s="68">
        <f>+F141*Weights!$B$4</f>
        <v>0</v>
      </c>
      <c r="Q141" s="83">
        <f t="shared" si="11"/>
        <v>0</v>
      </c>
    </row>
    <row r="142" spans="1:17" x14ac:dyDescent="0.35">
      <c r="A142" s="4">
        <f>+'Raw Data - Production'!A147</f>
        <v>46318</v>
      </c>
      <c r="B142" s="6">
        <f t="shared" si="9"/>
        <v>43</v>
      </c>
      <c r="C142" s="6" t="str">
        <f t="shared" si="10"/>
        <v>October</v>
      </c>
      <c r="E142" s="14">
        <f>+'Raw Data - Production'!D147+'Raw Data - Production'!E147+'Raw Data - Production'!F147</f>
        <v>0</v>
      </c>
      <c r="F142" s="15">
        <f>+'Raw Data - Production'!G147+'Raw Data - Production'!H147+'Raw Data - Production'!I147</f>
        <v>0</v>
      </c>
      <c r="G142" s="16">
        <f>+'Raw Data - Production'!K147+'Raw Data - Production'!L147+'Raw Data - Packing'!I147</f>
        <v>0</v>
      </c>
      <c r="H142" s="15">
        <f>+'Raw Data - Production'!N147+'Raw Data - Production'!O147+'Raw Data - Production'!P147+'Raw Data - Packing'!L147</f>
        <v>0</v>
      </c>
      <c r="I142" s="66">
        <f>SUMIF('Raw Data - Packing'!A:A,A142,'Raw Data - Packing'!D:D)</f>
        <v>0</v>
      </c>
      <c r="J142" s="15">
        <f>SUMIF('Raw Data - Packing'!A:A,A142,'Raw Data - Packing'!F:F)</f>
        <v>0</v>
      </c>
      <c r="K142" s="20"/>
      <c r="L142" s="68">
        <f>+E142-I142+L141-(G142/Weights!$B$2)</f>
        <v>24799.197530864192</v>
      </c>
      <c r="M142" s="68">
        <f>+F142-J142+M141-(H142/Weights!$B$4)</f>
        <v>34922.5</v>
      </c>
      <c r="N142" s="68">
        <f>+E142*Weights!$B$2</f>
        <v>0</v>
      </c>
      <c r="O142" s="68">
        <f>+F142*Weights!$B$4</f>
        <v>0</v>
      </c>
      <c r="Q142" s="83">
        <f t="shared" si="11"/>
        <v>0</v>
      </c>
    </row>
    <row r="143" spans="1:17" x14ac:dyDescent="0.35">
      <c r="A143" s="4">
        <f>+'Raw Data - Production'!A148</f>
        <v>46321</v>
      </c>
      <c r="B143" s="6">
        <f t="shared" si="9"/>
        <v>44</v>
      </c>
      <c r="C143" s="6" t="str">
        <f t="shared" si="10"/>
        <v>October</v>
      </c>
      <c r="E143" s="14">
        <f>+'Raw Data - Production'!D148+'Raw Data - Production'!E148+'Raw Data - Production'!F148</f>
        <v>0</v>
      </c>
      <c r="F143" s="15">
        <f>+'Raw Data - Production'!G148+'Raw Data - Production'!H148+'Raw Data - Production'!I148</f>
        <v>0</v>
      </c>
      <c r="G143" s="16">
        <f>+'Raw Data - Production'!K148+'Raw Data - Production'!L148+'Raw Data - Packing'!I148</f>
        <v>0</v>
      </c>
      <c r="H143" s="15">
        <f>+'Raw Data - Production'!N148+'Raw Data - Production'!O148+'Raw Data - Production'!P148+'Raw Data - Packing'!L148</f>
        <v>0</v>
      </c>
      <c r="I143" s="66">
        <f>SUMIF('Raw Data - Packing'!A:A,A143,'Raw Data - Packing'!D:D)</f>
        <v>0</v>
      </c>
      <c r="J143" s="15">
        <f>SUMIF('Raw Data - Packing'!A:A,A143,'Raw Data - Packing'!F:F)</f>
        <v>0</v>
      </c>
      <c r="K143" s="20"/>
      <c r="L143" s="68">
        <f>+E143-I143+L142-(G143/Weights!$B$2)</f>
        <v>24799.197530864192</v>
      </c>
      <c r="M143" s="68">
        <f>+F143-J143+M142-(H143/Weights!$B$4)</f>
        <v>34922.5</v>
      </c>
      <c r="N143" s="68">
        <f>+E143*Weights!$B$2</f>
        <v>0</v>
      </c>
      <c r="O143" s="68">
        <f>+F143*Weights!$B$4</f>
        <v>0</v>
      </c>
      <c r="Q143" s="83">
        <f t="shared" si="11"/>
        <v>0</v>
      </c>
    </row>
    <row r="144" spans="1:17" x14ac:dyDescent="0.35">
      <c r="A144" s="4">
        <f>+'Raw Data - Production'!A149</f>
        <v>46322</v>
      </c>
      <c r="B144" s="6">
        <f t="shared" si="9"/>
        <v>44</v>
      </c>
      <c r="C144" s="6" t="str">
        <f t="shared" si="10"/>
        <v>October</v>
      </c>
      <c r="E144" s="14">
        <f>+'Raw Data - Production'!D149+'Raw Data - Production'!E149+'Raw Data - Production'!F149</f>
        <v>0</v>
      </c>
      <c r="F144" s="15">
        <f>+'Raw Data - Production'!G149+'Raw Data - Production'!H149+'Raw Data - Production'!I149</f>
        <v>0</v>
      </c>
      <c r="G144" s="16">
        <f>+'Raw Data - Production'!K149+'Raw Data - Production'!L149+'Raw Data - Packing'!I149</f>
        <v>0</v>
      </c>
      <c r="H144" s="15">
        <f>+'Raw Data - Production'!N149+'Raw Data - Production'!O149+'Raw Data - Production'!P149+'Raw Data - Packing'!L149</f>
        <v>0</v>
      </c>
      <c r="I144" s="66">
        <f>SUMIF('Raw Data - Packing'!A:A,A144,'Raw Data - Packing'!D:D)</f>
        <v>0</v>
      </c>
      <c r="J144" s="15">
        <f>SUMIF('Raw Data - Packing'!A:A,A144,'Raw Data - Packing'!F:F)</f>
        <v>0</v>
      </c>
      <c r="K144" s="20"/>
      <c r="L144" s="68">
        <f>+E144-I144+L143-(G144/Weights!$B$2)</f>
        <v>24799.197530864192</v>
      </c>
      <c r="M144" s="68">
        <f>+F144-J144+M143-(H144/Weights!$B$4)</f>
        <v>34922.5</v>
      </c>
      <c r="N144" s="68">
        <f>+E144*Weights!$B$2</f>
        <v>0</v>
      </c>
      <c r="O144" s="68">
        <f>+F144*Weights!$B$4</f>
        <v>0</v>
      </c>
      <c r="Q144" s="83">
        <f t="shared" si="11"/>
        <v>0</v>
      </c>
    </row>
    <row r="145" spans="1:17" x14ac:dyDescent="0.35">
      <c r="A145" s="4">
        <f>+'Raw Data - Production'!A150</f>
        <v>46323</v>
      </c>
      <c r="B145" s="6">
        <f t="shared" si="9"/>
        <v>44</v>
      </c>
      <c r="C145" s="6" t="str">
        <f t="shared" si="10"/>
        <v>October</v>
      </c>
      <c r="E145" s="14">
        <f>+'Raw Data - Production'!D150+'Raw Data - Production'!E150+'Raw Data - Production'!F150</f>
        <v>0</v>
      </c>
      <c r="F145" s="15">
        <f>+'Raw Data - Production'!G150+'Raw Data - Production'!H150+'Raw Data - Production'!I150</f>
        <v>0</v>
      </c>
      <c r="G145" s="16">
        <f>+'Raw Data - Production'!K150+'Raw Data - Production'!L150+'Raw Data - Packing'!I150</f>
        <v>0</v>
      </c>
      <c r="H145" s="15">
        <f>+'Raw Data - Production'!N150+'Raw Data - Production'!O150+'Raw Data - Production'!P150+'Raw Data - Packing'!L150</f>
        <v>0</v>
      </c>
      <c r="I145" s="66">
        <f>SUMIF('Raw Data - Packing'!A:A,A145,'Raw Data - Packing'!D:D)</f>
        <v>0</v>
      </c>
      <c r="J145" s="15">
        <f>SUMIF('Raw Data - Packing'!A:A,A145,'Raw Data - Packing'!F:F)</f>
        <v>0</v>
      </c>
      <c r="K145" s="20"/>
      <c r="L145" s="68">
        <f>+E145-I145+L144-(G145/Weights!$B$2)</f>
        <v>24799.197530864192</v>
      </c>
      <c r="M145" s="68">
        <f>+F145-J145+M144-(H145/Weights!$B$4)</f>
        <v>34922.5</v>
      </c>
      <c r="N145" s="68">
        <f>+E145*Weights!$B$2</f>
        <v>0</v>
      </c>
      <c r="O145" s="68">
        <f>+F145*Weights!$B$4</f>
        <v>0</v>
      </c>
      <c r="Q145" s="83">
        <f t="shared" si="11"/>
        <v>0</v>
      </c>
    </row>
    <row r="146" spans="1:17" x14ac:dyDescent="0.35">
      <c r="A146" s="4">
        <f>+'Raw Data - Production'!A151</f>
        <v>46324</v>
      </c>
      <c r="B146" s="6">
        <f t="shared" si="9"/>
        <v>44</v>
      </c>
      <c r="C146" s="6" t="str">
        <f t="shared" si="10"/>
        <v>October</v>
      </c>
      <c r="E146" s="14">
        <f>+'Raw Data - Production'!D151+'Raw Data - Production'!E151+'Raw Data - Production'!F151</f>
        <v>0</v>
      </c>
      <c r="F146" s="15">
        <f>+'Raw Data - Production'!G151+'Raw Data - Production'!H151+'Raw Data - Production'!I151</f>
        <v>0</v>
      </c>
      <c r="G146" s="16">
        <f>+'Raw Data - Production'!K151+'Raw Data - Production'!L151+'Raw Data - Packing'!I151</f>
        <v>0</v>
      </c>
      <c r="H146" s="15">
        <f>+'Raw Data - Production'!N151+'Raw Data - Production'!O151+'Raw Data - Production'!P151+'Raw Data - Packing'!L151</f>
        <v>0</v>
      </c>
      <c r="I146" s="66">
        <f>SUMIF('Raw Data - Packing'!A:A,A146,'Raw Data - Packing'!D:D)</f>
        <v>0</v>
      </c>
      <c r="J146" s="15">
        <f>SUMIF('Raw Data - Packing'!A:A,A146,'Raw Data - Packing'!F:F)</f>
        <v>0</v>
      </c>
      <c r="K146" s="20"/>
      <c r="L146" s="68">
        <f>+E146-I146+L145-(G146/Weights!$B$2)</f>
        <v>24799.197530864192</v>
      </c>
      <c r="M146" s="68">
        <f>+F146-J146+M145-(H146/Weights!$B$4)</f>
        <v>34922.5</v>
      </c>
      <c r="N146" s="68">
        <f>+E146*Weights!$B$2</f>
        <v>0</v>
      </c>
      <c r="O146" s="68">
        <f>+F146*Weights!$B$4</f>
        <v>0</v>
      </c>
      <c r="Q146" s="83">
        <f t="shared" si="11"/>
        <v>0</v>
      </c>
    </row>
    <row r="147" spans="1:17" x14ac:dyDescent="0.35">
      <c r="A147" s="4">
        <f>+'Raw Data - Production'!A152</f>
        <v>46325</v>
      </c>
      <c r="B147" s="6">
        <f t="shared" si="9"/>
        <v>44</v>
      </c>
      <c r="C147" s="6" t="str">
        <f t="shared" si="10"/>
        <v>October</v>
      </c>
      <c r="E147" s="14">
        <f>+'Raw Data - Production'!D152+'Raw Data - Production'!E152+'Raw Data - Production'!F152</f>
        <v>0</v>
      </c>
      <c r="F147" s="15">
        <f>+'Raw Data - Production'!G152+'Raw Data - Production'!H152+'Raw Data - Production'!I152</f>
        <v>0</v>
      </c>
      <c r="G147" s="16">
        <f>+'Raw Data - Production'!K152+'Raw Data - Production'!L152+'Raw Data - Packing'!I152</f>
        <v>0</v>
      </c>
      <c r="H147" s="15">
        <f>+'Raw Data - Production'!N152+'Raw Data - Production'!O152+'Raw Data - Production'!P152+'Raw Data - Packing'!L152</f>
        <v>0</v>
      </c>
      <c r="I147" s="66">
        <f>SUMIF('Raw Data - Packing'!A:A,A147,'Raw Data - Packing'!D:D)</f>
        <v>0</v>
      </c>
      <c r="J147" s="15">
        <f>SUMIF('Raw Data - Packing'!A:A,A147,'Raw Data - Packing'!F:F)</f>
        <v>0</v>
      </c>
      <c r="K147" s="20"/>
      <c r="L147" s="68">
        <f>+E147-I147+L146-(G147/Weights!$B$2)</f>
        <v>24799.197530864192</v>
      </c>
      <c r="M147" s="68">
        <f>+F147-J147+M146-(H147/Weights!$B$4)</f>
        <v>34922.5</v>
      </c>
      <c r="N147" s="68">
        <f>+E147*Weights!$B$2</f>
        <v>0</v>
      </c>
      <c r="O147" s="68">
        <f>+F147*Weights!$B$4</f>
        <v>0</v>
      </c>
      <c r="Q147" s="83">
        <f t="shared" si="11"/>
        <v>0</v>
      </c>
    </row>
    <row r="148" spans="1:17" x14ac:dyDescent="0.35">
      <c r="A148" s="4">
        <f>+'Raw Data - Production'!A153</f>
        <v>46328</v>
      </c>
      <c r="B148" s="6">
        <f t="shared" si="9"/>
        <v>45</v>
      </c>
      <c r="C148" s="6" t="str">
        <f t="shared" si="10"/>
        <v>November</v>
      </c>
      <c r="E148" s="14">
        <f>+'Raw Data - Production'!D153+'Raw Data - Production'!E153+'Raw Data - Production'!F153</f>
        <v>0</v>
      </c>
      <c r="F148" s="15">
        <f>+'Raw Data - Production'!G153+'Raw Data - Production'!H153+'Raw Data - Production'!I153</f>
        <v>0</v>
      </c>
      <c r="G148" s="16">
        <f>+'Raw Data - Production'!K153+'Raw Data - Production'!L153+'Raw Data - Packing'!I153</f>
        <v>0</v>
      </c>
      <c r="H148" s="15">
        <f>+'Raw Data - Production'!N153+'Raw Data - Production'!O153+'Raw Data - Production'!P153+'Raw Data - Packing'!L153</f>
        <v>0</v>
      </c>
      <c r="I148" s="66">
        <f>SUMIF('Raw Data - Packing'!A:A,A148,'Raw Data - Packing'!D:D)</f>
        <v>0</v>
      </c>
      <c r="J148" s="15">
        <f>SUMIF('Raw Data - Packing'!A:A,A148,'Raw Data - Packing'!F:F)</f>
        <v>0</v>
      </c>
      <c r="K148" s="20"/>
      <c r="L148" s="68">
        <f>+E148-I148+L147-(G148/Weights!$B$2)</f>
        <v>24799.197530864192</v>
      </c>
      <c r="M148" s="68">
        <f>+F148-J148+M147-(H148/Weights!$B$4)</f>
        <v>34922.5</v>
      </c>
      <c r="N148" s="68">
        <f>+E148*Weights!$B$2</f>
        <v>0</v>
      </c>
      <c r="O148" s="68">
        <f>+F148*Weights!$B$4</f>
        <v>0</v>
      </c>
      <c r="Q148" s="83">
        <f t="shared" si="11"/>
        <v>0</v>
      </c>
    </row>
    <row r="149" spans="1:17" x14ac:dyDescent="0.35">
      <c r="A149" s="4">
        <f>+'Raw Data - Production'!A154</f>
        <v>46329</v>
      </c>
      <c r="B149" s="6">
        <f t="shared" si="9"/>
        <v>45</v>
      </c>
      <c r="C149" s="6" t="str">
        <f t="shared" si="10"/>
        <v>November</v>
      </c>
      <c r="E149" s="14">
        <f>+'Raw Data - Production'!D154+'Raw Data - Production'!E154+'Raw Data - Production'!F154</f>
        <v>0</v>
      </c>
      <c r="F149" s="15">
        <f>+'Raw Data - Production'!G154+'Raw Data - Production'!H154+'Raw Data - Production'!I154</f>
        <v>0</v>
      </c>
      <c r="G149" s="16">
        <f>+'Raw Data - Production'!K154+'Raw Data - Production'!L154+'Raw Data - Packing'!I154</f>
        <v>0</v>
      </c>
      <c r="H149" s="15">
        <f>+'Raw Data - Production'!N154+'Raw Data - Production'!O154+'Raw Data - Production'!P154+'Raw Data - Packing'!L154</f>
        <v>0</v>
      </c>
      <c r="I149" s="66">
        <f>SUMIF('Raw Data - Packing'!A:A,A149,'Raw Data - Packing'!D:D)</f>
        <v>0</v>
      </c>
      <c r="J149" s="15">
        <f>SUMIF('Raw Data - Packing'!A:A,A149,'Raw Data - Packing'!F:F)</f>
        <v>0</v>
      </c>
      <c r="K149" s="20"/>
      <c r="L149" s="68">
        <f>+E149-I149+L148-(G149/Weights!$B$2)</f>
        <v>24799.197530864192</v>
      </c>
      <c r="M149" s="68">
        <f>+F149-J149+M148-(H149/Weights!$B$4)</f>
        <v>34922.5</v>
      </c>
      <c r="N149" s="68">
        <f>+E149*Weights!$B$2</f>
        <v>0</v>
      </c>
      <c r="O149" s="68">
        <f>+F149*Weights!$B$4</f>
        <v>0</v>
      </c>
      <c r="Q149" s="83">
        <f t="shared" si="11"/>
        <v>0</v>
      </c>
    </row>
    <row r="150" spans="1:17" x14ac:dyDescent="0.35">
      <c r="A150" s="4">
        <f>+'Raw Data - Production'!A155</f>
        <v>46330</v>
      </c>
      <c r="B150" s="6">
        <f t="shared" si="9"/>
        <v>45</v>
      </c>
      <c r="C150" s="6" t="str">
        <f t="shared" si="10"/>
        <v>November</v>
      </c>
      <c r="E150" s="14">
        <f>+'Raw Data - Production'!D155+'Raw Data - Production'!E155+'Raw Data - Production'!F155</f>
        <v>0</v>
      </c>
      <c r="F150" s="15">
        <f>+'Raw Data - Production'!G155+'Raw Data - Production'!H155+'Raw Data - Production'!I155</f>
        <v>0</v>
      </c>
      <c r="G150" s="16">
        <f>+'Raw Data - Production'!K155+'Raw Data - Production'!L155+'Raw Data - Packing'!I155</f>
        <v>0</v>
      </c>
      <c r="H150" s="15">
        <f>+'Raw Data - Production'!N155+'Raw Data - Production'!O155+'Raw Data - Production'!P155+'Raw Data - Packing'!L155</f>
        <v>0</v>
      </c>
      <c r="I150" s="66">
        <f>SUMIF('Raw Data - Packing'!A:A,A150,'Raw Data - Packing'!D:D)</f>
        <v>0</v>
      </c>
      <c r="J150" s="15">
        <f>SUMIF('Raw Data - Packing'!A:A,A150,'Raw Data - Packing'!F:F)</f>
        <v>0</v>
      </c>
      <c r="K150" s="20"/>
      <c r="L150" s="68">
        <f>+E150-I150+L149-(G150/Weights!$B$2)</f>
        <v>24799.197530864192</v>
      </c>
      <c r="M150" s="68">
        <f>+F150-J150+M149-(H150/Weights!$B$4)</f>
        <v>34922.5</v>
      </c>
      <c r="N150" s="68">
        <f>+E150*Weights!$B$2</f>
        <v>0</v>
      </c>
      <c r="O150" s="68">
        <f>+F150*Weights!$B$4</f>
        <v>0</v>
      </c>
      <c r="Q150" s="83">
        <f t="shared" si="11"/>
        <v>0</v>
      </c>
    </row>
    <row r="151" spans="1:17" x14ac:dyDescent="0.35">
      <c r="A151" s="4">
        <f>+'Raw Data - Production'!A156</f>
        <v>46331</v>
      </c>
      <c r="B151" s="6">
        <f t="shared" si="9"/>
        <v>45</v>
      </c>
      <c r="C151" s="6" t="str">
        <f t="shared" si="10"/>
        <v>November</v>
      </c>
      <c r="E151" s="14">
        <f>+'Raw Data - Production'!D156+'Raw Data - Production'!E156+'Raw Data - Production'!F156</f>
        <v>0</v>
      </c>
      <c r="F151" s="15">
        <f>+'Raw Data - Production'!G156+'Raw Data - Production'!H156+'Raw Data - Production'!I156</f>
        <v>0</v>
      </c>
      <c r="G151" s="16">
        <f>+'Raw Data - Production'!K156+'Raw Data - Production'!L156+'Raw Data - Packing'!I156</f>
        <v>0</v>
      </c>
      <c r="H151" s="15">
        <f>+'Raw Data - Production'!N156+'Raw Data - Production'!O156+'Raw Data - Production'!P156+'Raw Data - Packing'!L156</f>
        <v>0</v>
      </c>
      <c r="I151" s="66">
        <f>SUMIF('Raw Data - Packing'!A:A,A151,'Raw Data - Packing'!D:D)</f>
        <v>0</v>
      </c>
      <c r="J151" s="15">
        <f>SUMIF('Raw Data - Packing'!A:A,A151,'Raw Data - Packing'!F:F)</f>
        <v>0</v>
      </c>
      <c r="K151" s="20"/>
      <c r="L151" s="68">
        <f>+E151-I151+L150-(G151/Weights!$B$2)</f>
        <v>24799.197530864192</v>
      </c>
      <c r="M151" s="68">
        <f>+F151-J151+M150-(H151/Weights!$B$4)</f>
        <v>34922.5</v>
      </c>
      <c r="N151" s="68">
        <f>+E151*Weights!$B$2</f>
        <v>0</v>
      </c>
      <c r="O151" s="68">
        <f>+F151*Weights!$B$4</f>
        <v>0</v>
      </c>
      <c r="Q151" s="83">
        <f t="shared" si="11"/>
        <v>0</v>
      </c>
    </row>
    <row r="152" spans="1:17" x14ac:dyDescent="0.35">
      <c r="A152" s="4">
        <f>+'Raw Data - Production'!A157</f>
        <v>46332</v>
      </c>
      <c r="B152" s="6">
        <f t="shared" si="9"/>
        <v>45</v>
      </c>
      <c r="C152" s="6" t="str">
        <f t="shared" si="10"/>
        <v>November</v>
      </c>
      <c r="E152" s="14">
        <f>+'Raw Data - Production'!D157+'Raw Data - Production'!E157+'Raw Data - Production'!F157</f>
        <v>0</v>
      </c>
      <c r="F152" s="15">
        <f>+'Raw Data - Production'!G157+'Raw Data - Production'!H157+'Raw Data - Production'!I157</f>
        <v>0</v>
      </c>
      <c r="G152" s="16">
        <f>+'Raw Data - Production'!K157+'Raw Data - Production'!L157+'Raw Data - Packing'!I157</f>
        <v>0</v>
      </c>
      <c r="H152" s="15">
        <f>+'Raw Data - Production'!N157+'Raw Data - Production'!O157+'Raw Data - Production'!P157+'Raw Data - Packing'!L157</f>
        <v>0</v>
      </c>
      <c r="I152" s="66">
        <f>SUMIF('Raw Data - Packing'!A:A,A152,'Raw Data - Packing'!D:D)</f>
        <v>0</v>
      </c>
      <c r="J152" s="15">
        <f>SUMIF('Raw Data - Packing'!A:A,A152,'Raw Data - Packing'!F:F)</f>
        <v>0</v>
      </c>
      <c r="K152" s="20"/>
      <c r="L152" s="68">
        <f>+E152-I152+L151-(G152/Weights!$B$2)</f>
        <v>24799.197530864192</v>
      </c>
      <c r="M152" s="68">
        <f>+F152-J152+M151-(H152/Weights!$B$4)</f>
        <v>34922.5</v>
      </c>
      <c r="N152" s="68">
        <f>+E152*Weights!$B$2</f>
        <v>0</v>
      </c>
      <c r="O152" s="68">
        <f>+F152*Weights!$B$4</f>
        <v>0</v>
      </c>
      <c r="Q152" s="83">
        <f t="shared" si="11"/>
        <v>0</v>
      </c>
    </row>
    <row r="153" spans="1:17" x14ac:dyDescent="0.35">
      <c r="A153" s="4">
        <f>+'Raw Data - Production'!A158</f>
        <v>46335</v>
      </c>
      <c r="B153" s="6">
        <f t="shared" si="9"/>
        <v>46</v>
      </c>
      <c r="C153" s="6" t="str">
        <f t="shared" si="10"/>
        <v>November</v>
      </c>
      <c r="E153" s="14">
        <f>+'Raw Data - Production'!D158+'Raw Data - Production'!E158+'Raw Data - Production'!F158</f>
        <v>0</v>
      </c>
      <c r="F153" s="15">
        <f>+'Raw Data - Production'!G158+'Raw Data - Production'!H158+'Raw Data - Production'!I158</f>
        <v>0</v>
      </c>
      <c r="G153" s="16">
        <f>+'Raw Data - Production'!K158+'Raw Data - Production'!L158+'Raw Data - Packing'!I158</f>
        <v>0</v>
      </c>
      <c r="H153" s="15">
        <f>+'Raw Data - Production'!N158+'Raw Data - Production'!O158+'Raw Data - Production'!P158+'Raw Data - Packing'!L158</f>
        <v>0</v>
      </c>
      <c r="I153" s="66">
        <f>SUMIF('Raw Data - Packing'!A:A,A153,'Raw Data - Packing'!D:D)</f>
        <v>0</v>
      </c>
      <c r="J153" s="15">
        <f>SUMIF('Raw Data - Packing'!A:A,A153,'Raw Data - Packing'!F:F)</f>
        <v>0</v>
      </c>
      <c r="K153" s="20"/>
      <c r="L153" s="68">
        <f>+E153-I153+L152-(G153/Weights!$B$2)</f>
        <v>24799.197530864192</v>
      </c>
      <c r="M153" s="68">
        <f>+F153-J153+M152-(H153/Weights!$B$4)</f>
        <v>34922.5</v>
      </c>
      <c r="N153" s="68">
        <f>+E153*Weights!$B$2</f>
        <v>0</v>
      </c>
      <c r="O153" s="68">
        <f>+F153*Weights!$B$4</f>
        <v>0</v>
      </c>
      <c r="Q153" s="83">
        <f t="shared" si="11"/>
        <v>0</v>
      </c>
    </row>
    <row r="154" spans="1:17" x14ac:dyDescent="0.35">
      <c r="A154" s="4">
        <f>+'Raw Data - Production'!A159</f>
        <v>46336</v>
      </c>
      <c r="B154" s="6">
        <f t="shared" si="9"/>
        <v>46</v>
      </c>
      <c r="C154" s="6" t="str">
        <f t="shared" si="10"/>
        <v>November</v>
      </c>
      <c r="E154" s="14">
        <f>+'Raw Data - Production'!D159+'Raw Data - Production'!E159+'Raw Data - Production'!F159</f>
        <v>0</v>
      </c>
      <c r="F154" s="15">
        <f>+'Raw Data - Production'!G159+'Raw Data - Production'!H159+'Raw Data - Production'!I159</f>
        <v>0</v>
      </c>
      <c r="G154" s="16">
        <f>+'Raw Data - Production'!K159+'Raw Data - Production'!L159+'Raw Data - Packing'!I159</f>
        <v>0</v>
      </c>
      <c r="H154" s="15">
        <f>+'Raw Data - Production'!N159+'Raw Data - Production'!O159+'Raw Data - Production'!P159+'Raw Data - Packing'!L159</f>
        <v>0</v>
      </c>
      <c r="I154" s="66">
        <f>SUMIF('Raw Data - Packing'!A:A,A154,'Raw Data - Packing'!D:D)</f>
        <v>0</v>
      </c>
      <c r="J154" s="15">
        <f>SUMIF('Raw Data - Packing'!A:A,A154,'Raw Data - Packing'!F:F)</f>
        <v>0</v>
      </c>
      <c r="K154" s="20"/>
      <c r="L154" s="68">
        <f>+E154-I154+L153-(G154/Weights!$B$2)</f>
        <v>24799.197530864192</v>
      </c>
      <c r="M154" s="68">
        <f>+F154-J154+M153-(H154/Weights!$B$4)</f>
        <v>34922.5</v>
      </c>
      <c r="N154" s="68">
        <f>+E154*Weights!$B$2</f>
        <v>0</v>
      </c>
      <c r="O154" s="68">
        <f>+F154*Weights!$B$4</f>
        <v>0</v>
      </c>
      <c r="Q154" s="83">
        <f t="shared" si="11"/>
        <v>0</v>
      </c>
    </row>
    <row r="155" spans="1:17" x14ac:dyDescent="0.35">
      <c r="A155" s="4">
        <f>+'Raw Data - Production'!A160</f>
        <v>46337</v>
      </c>
      <c r="B155" s="6">
        <f t="shared" si="9"/>
        <v>46</v>
      </c>
      <c r="C155" s="6" t="str">
        <f t="shared" si="10"/>
        <v>November</v>
      </c>
      <c r="E155" s="14">
        <f>+'Raw Data - Production'!D160+'Raw Data - Production'!E160+'Raw Data - Production'!F160</f>
        <v>0</v>
      </c>
      <c r="F155" s="15">
        <f>+'Raw Data - Production'!G160+'Raw Data - Production'!H160+'Raw Data - Production'!I160</f>
        <v>0</v>
      </c>
      <c r="G155" s="16">
        <f>+'Raw Data - Production'!K160+'Raw Data - Production'!L160+'Raw Data - Packing'!I160</f>
        <v>0</v>
      </c>
      <c r="H155" s="15">
        <f>+'Raw Data - Production'!N160+'Raw Data - Production'!O160+'Raw Data - Production'!P160+'Raw Data - Packing'!L160</f>
        <v>0</v>
      </c>
      <c r="I155" s="66">
        <f>SUMIF('Raw Data - Packing'!A:A,A155,'Raw Data - Packing'!D:D)</f>
        <v>0</v>
      </c>
      <c r="J155" s="15">
        <f>SUMIF('Raw Data - Packing'!A:A,A155,'Raw Data - Packing'!F:F)</f>
        <v>0</v>
      </c>
      <c r="K155" s="20"/>
      <c r="L155" s="68">
        <f>+E155-I155+L154-(G155/Weights!$B$2)</f>
        <v>24799.197530864192</v>
      </c>
      <c r="M155" s="68">
        <f>+F155-J155+M154-(H155/Weights!$B$4)</f>
        <v>34922.5</v>
      </c>
      <c r="N155" s="68">
        <f>+E155*Weights!$B$2</f>
        <v>0</v>
      </c>
      <c r="O155" s="68">
        <f>+F155*Weights!$B$4</f>
        <v>0</v>
      </c>
      <c r="Q155" s="83">
        <f t="shared" si="11"/>
        <v>0</v>
      </c>
    </row>
    <row r="156" spans="1:17" x14ac:dyDescent="0.35">
      <c r="A156" s="4">
        <f>+'Raw Data - Production'!A161</f>
        <v>46338</v>
      </c>
      <c r="B156" s="6">
        <f t="shared" si="9"/>
        <v>46</v>
      </c>
      <c r="C156" s="6" t="str">
        <f t="shared" si="10"/>
        <v>November</v>
      </c>
      <c r="E156" s="14">
        <f>+'Raw Data - Production'!D161+'Raw Data - Production'!E161+'Raw Data - Production'!F161</f>
        <v>0</v>
      </c>
      <c r="F156" s="15">
        <f>+'Raw Data - Production'!G161+'Raw Data - Production'!H161+'Raw Data - Production'!I161</f>
        <v>0</v>
      </c>
      <c r="G156" s="16">
        <f>+'Raw Data - Production'!K161+'Raw Data - Production'!L161+'Raw Data - Packing'!I161</f>
        <v>0</v>
      </c>
      <c r="H156" s="15">
        <f>+'Raw Data - Production'!N161+'Raw Data - Production'!O161+'Raw Data - Production'!P161+'Raw Data - Packing'!L161</f>
        <v>0</v>
      </c>
      <c r="I156" s="66">
        <f>SUMIF('Raw Data - Packing'!A:A,A156,'Raw Data - Packing'!D:D)</f>
        <v>0</v>
      </c>
      <c r="J156" s="15">
        <f>SUMIF('Raw Data - Packing'!A:A,A156,'Raw Data - Packing'!F:F)</f>
        <v>0</v>
      </c>
      <c r="K156" s="20"/>
      <c r="L156" s="68">
        <f>+E156-I156+L155-(G156/Weights!$B$2)</f>
        <v>24799.197530864192</v>
      </c>
      <c r="M156" s="68">
        <f>+F156-J156+M155-(H156/Weights!$B$4)</f>
        <v>34922.5</v>
      </c>
      <c r="N156" s="68">
        <f>+E156*Weights!$B$2</f>
        <v>0</v>
      </c>
      <c r="O156" s="68">
        <f>+F156*Weights!$B$4</f>
        <v>0</v>
      </c>
      <c r="Q156" s="83">
        <f t="shared" si="11"/>
        <v>0</v>
      </c>
    </row>
    <row r="157" spans="1:17" x14ac:dyDescent="0.35">
      <c r="A157" s="4">
        <f>+'Raw Data - Production'!A162</f>
        <v>46339</v>
      </c>
      <c r="B157" s="6">
        <f t="shared" si="9"/>
        <v>46</v>
      </c>
      <c r="C157" s="6" t="str">
        <f t="shared" si="10"/>
        <v>November</v>
      </c>
      <c r="E157" s="14">
        <f>+'Raw Data - Production'!D162+'Raw Data - Production'!E162+'Raw Data - Production'!F162</f>
        <v>0</v>
      </c>
      <c r="F157" s="15">
        <f>+'Raw Data - Production'!G162+'Raw Data - Production'!H162+'Raw Data - Production'!I162</f>
        <v>0</v>
      </c>
      <c r="G157" s="16">
        <f>+'Raw Data - Production'!K162+'Raw Data - Production'!L162+'Raw Data - Packing'!I162</f>
        <v>0</v>
      </c>
      <c r="H157" s="15">
        <f>+'Raw Data - Production'!N162+'Raw Data - Production'!O162+'Raw Data - Production'!P162+'Raw Data - Packing'!L162</f>
        <v>0</v>
      </c>
      <c r="I157" s="66">
        <f>SUMIF('Raw Data - Packing'!A:A,A157,'Raw Data - Packing'!D:D)</f>
        <v>0</v>
      </c>
      <c r="J157" s="15">
        <f>SUMIF('Raw Data - Packing'!A:A,A157,'Raw Data - Packing'!F:F)</f>
        <v>0</v>
      </c>
      <c r="K157" s="20"/>
      <c r="L157" s="68">
        <f>+E157-I157+L156-(G157/Weights!$B$2)</f>
        <v>24799.197530864192</v>
      </c>
      <c r="M157" s="68">
        <f>+F157-J157+M156-(H157/Weights!$B$4)</f>
        <v>34922.5</v>
      </c>
      <c r="N157" s="68">
        <f>+E157*Weights!$B$2</f>
        <v>0</v>
      </c>
      <c r="O157" s="68">
        <f>+F157*Weights!$B$4</f>
        <v>0</v>
      </c>
      <c r="Q157" s="83">
        <f t="shared" si="11"/>
        <v>0</v>
      </c>
    </row>
    <row r="158" spans="1:17" x14ac:dyDescent="0.35">
      <c r="A158" s="4">
        <f>+'Raw Data - Production'!A163</f>
        <v>46342</v>
      </c>
      <c r="B158" s="6">
        <f t="shared" si="9"/>
        <v>47</v>
      </c>
      <c r="C158" s="6" t="str">
        <f t="shared" si="10"/>
        <v>November</v>
      </c>
      <c r="E158" s="14">
        <f>+'Raw Data - Production'!D163+'Raw Data - Production'!E163+'Raw Data - Production'!F163</f>
        <v>0</v>
      </c>
      <c r="F158" s="15">
        <f>+'Raw Data - Production'!G163+'Raw Data - Production'!H163+'Raw Data - Production'!I163</f>
        <v>0</v>
      </c>
      <c r="G158" s="16">
        <f>+'Raw Data - Production'!K163+'Raw Data - Production'!L163+'Raw Data - Packing'!I163</f>
        <v>0</v>
      </c>
      <c r="H158" s="15">
        <f>+'Raw Data - Production'!N163+'Raw Data - Production'!O163+'Raw Data - Production'!P163+'Raw Data - Packing'!L163</f>
        <v>0</v>
      </c>
      <c r="I158" s="66">
        <f>SUMIF('Raw Data - Packing'!A:A,A158,'Raw Data - Packing'!D:D)</f>
        <v>0</v>
      </c>
      <c r="J158" s="15">
        <f>SUMIF('Raw Data - Packing'!A:A,A158,'Raw Data - Packing'!F:F)</f>
        <v>0</v>
      </c>
      <c r="K158" s="20"/>
      <c r="L158" s="68">
        <f>+E158-I158+L157-(G158/Weights!$B$2)</f>
        <v>24799.197530864192</v>
      </c>
      <c r="M158" s="68">
        <f>+F158-J158+M157-(H158/Weights!$B$4)</f>
        <v>34922.5</v>
      </c>
      <c r="N158" s="68">
        <f>+E158*Weights!$B$2</f>
        <v>0</v>
      </c>
      <c r="O158" s="68">
        <f>+F158*Weights!$B$4</f>
        <v>0</v>
      </c>
      <c r="Q158" s="83">
        <f t="shared" si="11"/>
        <v>0</v>
      </c>
    </row>
    <row r="159" spans="1:17" x14ac:dyDescent="0.35">
      <c r="A159" s="4">
        <f>+'Raw Data - Production'!A164</f>
        <v>46343</v>
      </c>
      <c r="B159" s="6">
        <f t="shared" si="9"/>
        <v>47</v>
      </c>
      <c r="C159" s="6" t="str">
        <f t="shared" si="10"/>
        <v>November</v>
      </c>
      <c r="E159" s="14">
        <f>+'Raw Data - Production'!D164+'Raw Data - Production'!E164+'Raw Data - Production'!F164</f>
        <v>0</v>
      </c>
      <c r="F159" s="15">
        <f>+'Raw Data - Production'!G164+'Raw Data - Production'!H164+'Raw Data - Production'!I164</f>
        <v>0</v>
      </c>
      <c r="G159" s="16">
        <f>+'Raw Data - Production'!K164+'Raw Data - Production'!L164+'Raw Data - Packing'!I164</f>
        <v>0</v>
      </c>
      <c r="H159" s="15">
        <f>+'Raw Data - Production'!N164+'Raw Data - Production'!O164+'Raw Data - Production'!P164+'Raw Data - Packing'!L164</f>
        <v>0</v>
      </c>
      <c r="I159" s="66">
        <f>SUMIF('Raw Data - Packing'!A:A,A159,'Raw Data - Packing'!D:D)</f>
        <v>0</v>
      </c>
      <c r="J159" s="15">
        <f>SUMIF('Raw Data - Packing'!A:A,A159,'Raw Data - Packing'!F:F)</f>
        <v>0</v>
      </c>
      <c r="K159" s="20"/>
      <c r="L159" s="68">
        <f>+E159-I159+L158-(G159/Weights!$B$2)</f>
        <v>24799.197530864192</v>
      </c>
      <c r="M159" s="68">
        <f>+F159-J159+M158-(H159/Weights!$B$4)</f>
        <v>34922.5</v>
      </c>
      <c r="N159" s="68">
        <f>+E159*Weights!$B$2</f>
        <v>0</v>
      </c>
      <c r="O159" s="68">
        <f>+F159*Weights!$B$4</f>
        <v>0</v>
      </c>
      <c r="Q159" s="83">
        <f t="shared" si="11"/>
        <v>0</v>
      </c>
    </row>
    <row r="160" spans="1:17" x14ac:dyDescent="0.35">
      <c r="A160" s="4">
        <f>+'Raw Data - Production'!A165</f>
        <v>46344</v>
      </c>
      <c r="B160" s="6">
        <f t="shared" si="9"/>
        <v>47</v>
      </c>
      <c r="C160" s="6" t="str">
        <f t="shared" si="10"/>
        <v>November</v>
      </c>
      <c r="E160" s="14">
        <f>+'Raw Data - Production'!D165+'Raw Data - Production'!E165+'Raw Data - Production'!F165</f>
        <v>0</v>
      </c>
      <c r="F160" s="15">
        <f>+'Raw Data - Production'!G165+'Raw Data - Production'!H165+'Raw Data - Production'!I165</f>
        <v>0</v>
      </c>
      <c r="G160" s="16">
        <f>+'Raw Data - Production'!K165+'Raw Data - Production'!L165+'Raw Data - Packing'!I165</f>
        <v>0</v>
      </c>
      <c r="H160" s="15">
        <f>+'Raw Data - Production'!N165+'Raw Data - Production'!O165+'Raw Data - Production'!P165+'Raw Data - Packing'!L165</f>
        <v>0</v>
      </c>
      <c r="I160" s="66">
        <f>SUMIF('Raw Data - Packing'!A:A,A160,'Raw Data - Packing'!D:D)</f>
        <v>0</v>
      </c>
      <c r="J160" s="15">
        <f>SUMIF('Raw Data - Packing'!A:A,A160,'Raw Data - Packing'!F:F)</f>
        <v>0</v>
      </c>
      <c r="K160" s="20"/>
      <c r="L160" s="68">
        <f>+E160-I160+L159-(G160/Weights!$B$2)</f>
        <v>24799.197530864192</v>
      </c>
      <c r="M160" s="68">
        <f>+F160-J160+M159-(H160/Weights!$B$4)</f>
        <v>34922.5</v>
      </c>
      <c r="N160" s="68">
        <f>+E160*Weights!$B$2</f>
        <v>0</v>
      </c>
      <c r="O160" s="68">
        <f>+F160*Weights!$B$4</f>
        <v>0</v>
      </c>
      <c r="Q160" s="83">
        <f t="shared" si="11"/>
        <v>0</v>
      </c>
    </row>
    <row r="161" spans="1:17" x14ac:dyDescent="0.35">
      <c r="A161" s="4">
        <f>+'Raw Data - Production'!A166</f>
        <v>46345</v>
      </c>
      <c r="B161" s="6">
        <f t="shared" si="9"/>
        <v>47</v>
      </c>
      <c r="C161" s="6" t="str">
        <f t="shared" si="10"/>
        <v>November</v>
      </c>
      <c r="E161" s="14">
        <f>+'Raw Data - Production'!D166+'Raw Data - Production'!E166+'Raw Data - Production'!F166</f>
        <v>0</v>
      </c>
      <c r="F161" s="15">
        <f>+'Raw Data - Production'!G166+'Raw Data - Production'!H166+'Raw Data - Production'!I166</f>
        <v>0</v>
      </c>
      <c r="G161" s="16">
        <f>+'Raw Data - Production'!K166+'Raw Data - Production'!L166+'Raw Data - Packing'!I166</f>
        <v>0</v>
      </c>
      <c r="H161" s="15">
        <f>+'Raw Data - Production'!N166+'Raw Data - Production'!O166+'Raw Data - Production'!P166+'Raw Data - Packing'!L166</f>
        <v>0</v>
      </c>
      <c r="I161" s="66">
        <f>SUMIF('Raw Data - Packing'!A:A,A161,'Raw Data - Packing'!D:D)</f>
        <v>0</v>
      </c>
      <c r="J161" s="15">
        <f>SUMIF('Raw Data - Packing'!A:A,A161,'Raw Data - Packing'!F:F)</f>
        <v>0</v>
      </c>
      <c r="K161" s="20"/>
      <c r="L161" s="68">
        <f>+E161-I161+L160-(G161/Weights!$B$2)</f>
        <v>24799.197530864192</v>
      </c>
      <c r="M161" s="68">
        <f>+F161-J161+M160-(H161/Weights!$B$4)</f>
        <v>34922.5</v>
      </c>
      <c r="N161" s="68">
        <f>+E161*Weights!$B$2</f>
        <v>0</v>
      </c>
      <c r="O161" s="68">
        <f>+F161*Weights!$B$4</f>
        <v>0</v>
      </c>
      <c r="Q161" s="83">
        <f t="shared" si="11"/>
        <v>0</v>
      </c>
    </row>
    <row r="162" spans="1:17" x14ac:dyDescent="0.35">
      <c r="A162" s="4">
        <f>+'Raw Data - Production'!A167</f>
        <v>46346</v>
      </c>
      <c r="B162" s="6">
        <f t="shared" si="9"/>
        <v>47</v>
      </c>
      <c r="C162" s="6" t="str">
        <f t="shared" si="10"/>
        <v>November</v>
      </c>
      <c r="E162" s="14">
        <f>+'Raw Data - Production'!D167+'Raw Data - Production'!E167+'Raw Data - Production'!F167</f>
        <v>0</v>
      </c>
      <c r="F162" s="15">
        <f>+'Raw Data - Production'!G167+'Raw Data - Production'!H167+'Raw Data - Production'!I167</f>
        <v>0</v>
      </c>
      <c r="G162" s="16">
        <f>+'Raw Data - Production'!K167+'Raw Data - Production'!L167+'Raw Data - Packing'!I167</f>
        <v>0</v>
      </c>
      <c r="H162" s="15">
        <f>+'Raw Data - Production'!N167+'Raw Data - Production'!O167+'Raw Data - Production'!P167+'Raw Data - Packing'!L167</f>
        <v>0</v>
      </c>
      <c r="I162" s="66">
        <f>SUMIF('Raw Data - Packing'!A:A,A162,'Raw Data - Packing'!D:D)</f>
        <v>0</v>
      </c>
      <c r="J162" s="15">
        <f>SUMIF('Raw Data - Packing'!A:A,A162,'Raw Data - Packing'!F:F)</f>
        <v>0</v>
      </c>
      <c r="K162" s="20"/>
      <c r="L162" s="68">
        <f>+E162-I162+L161-(G162/Weights!$B$2)</f>
        <v>24799.197530864192</v>
      </c>
      <c r="M162" s="68">
        <f>+F162-J162+M161-(H162/Weights!$B$4)</f>
        <v>34922.5</v>
      </c>
      <c r="N162" s="68">
        <f>+E162*Weights!$B$2</f>
        <v>0</v>
      </c>
      <c r="O162" s="68">
        <f>+F162*Weights!$B$4</f>
        <v>0</v>
      </c>
      <c r="Q162" s="83">
        <f t="shared" si="11"/>
        <v>0</v>
      </c>
    </row>
    <row r="163" spans="1:17" x14ac:dyDescent="0.35">
      <c r="A163" s="4">
        <f>+'Raw Data - Production'!A168</f>
        <v>46349</v>
      </c>
      <c r="B163" s="6">
        <f t="shared" si="9"/>
        <v>48</v>
      </c>
      <c r="C163" s="6" t="str">
        <f t="shared" si="10"/>
        <v>November</v>
      </c>
      <c r="E163" s="14">
        <f>+'Raw Data - Production'!D168+'Raw Data - Production'!E168+'Raw Data - Production'!F168</f>
        <v>0</v>
      </c>
      <c r="F163" s="15">
        <f>+'Raw Data - Production'!G168+'Raw Data - Production'!H168+'Raw Data - Production'!I168</f>
        <v>0</v>
      </c>
      <c r="G163" s="16">
        <f>+'Raw Data - Production'!K168+'Raw Data - Production'!L168+'Raw Data - Packing'!I168</f>
        <v>0</v>
      </c>
      <c r="H163" s="15">
        <f>+'Raw Data - Production'!N168+'Raw Data - Production'!O168+'Raw Data - Production'!P168+'Raw Data - Packing'!L168</f>
        <v>0</v>
      </c>
      <c r="I163" s="66">
        <f>SUMIF('Raw Data - Packing'!A:A,A163,'Raw Data - Packing'!D:D)</f>
        <v>0</v>
      </c>
      <c r="J163" s="15">
        <f>SUMIF('Raw Data - Packing'!A:A,A163,'Raw Data - Packing'!F:F)</f>
        <v>0</v>
      </c>
      <c r="K163" s="20"/>
      <c r="L163" s="68">
        <f>+E163-I163+L162-(G163/Weights!$B$2)</f>
        <v>24799.197530864192</v>
      </c>
      <c r="M163" s="68">
        <f>+F163-J163+M162-(H163/Weights!$B$4)</f>
        <v>34922.5</v>
      </c>
      <c r="N163" s="68">
        <f>+E163*Weights!$B$2</f>
        <v>0</v>
      </c>
      <c r="O163" s="68">
        <f>+F163*Weights!$B$4</f>
        <v>0</v>
      </c>
      <c r="Q163" s="83">
        <f t="shared" si="11"/>
        <v>0</v>
      </c>
    </row>
    <row r="164" spans="1:17" x14ac:dyDescent="0.35">
      <c r="A164" s="4">
        <f>+'Raw Data - Production'!A169</f>
        <v>46350</v>
      </c>
      <c r="B164" s="6">
        <f t="shared" si="9"/>
        <v>48</v>
      </c>
      <c r="C164" s="6" t="str">
        <f t="shared" si="10"/>
        <v>November</v>
      </c>
      <c r="E164" s="14">
        <f>+'Raw Data - Production'!D169+'Raw Data - Production'!E169+'Raw Data - Production'!F169</f>
        <v>0</v>
      </c>
      <c r="F164" s="15">
        <f>+'Raw Data - Production'!G169+'Raw Data - Production'!H169+'Raw Data - Production'!I169</f>
        <v>0</v>
      </c>
      <c r="G164" s="16">
        <f>+'Raw Data - Production'!K169+'Raw Data - Production'!L169+'Raw Data - Packing'!I169</f>
        <v>0</v>
      </c>
      <c r="H164" s="15">
        <f>+'Raw Data - Production'!N169+'Raw Data - Production'!O169+'Raw Data - Production'!P169+'Raw Data - Packing'!L169</f>
        <v>0</v>
      </c>
      <c r="I164" s="66">
        <f>SUMIF('Raw Data - Packing'!A:A,A164,'Raw Data - Packing'!D:D)</f>
        <v>0</v>
      </c>
      <c r="J164" s="15">
        <f>SUMIF('Raw Data - Packing'!A:A,A164,'Raw Data - Packing'!F:F)</f>
        <v>0</v>
      </c>
      <c r="K164" s="20"/>
      <c r="L164" s="68">
        <f>+E164-I164+L163-(G164/Weights!$B$2)</f>
        <v>24799.197530864192</v>
      </c>
      <c r="M164" s="68">
        <f>+F164-J164+M163-(H164/Weights!$B$4)</f>
        <v>34922.5</v>
      </c>
      <c r="N164" s="68">
        <f>+E164*Weights!$B$2</f>
        <v>0</v>
      </c>
      <c r="O164" s="68">
        <f>+F164*Weights!$B$4</f>
        <v>0</v>
      </c>
      <c r="Q164" s="83">
        <f t="shared" si="11"/>
        <v>0</v>
      </c>
    </row>
    <row r="165" spans="1:17" x14ac:dyDescent="0.35">
      <c r="A165" s="4">
        <f>+'Raw Data - Production'!A170</f>
        <v>46351</v>
      </c>
      <c r="B165" s="6">
        <f t="shared" si="9"/>
        <v>48</v>
      </c>
      <c r="C165" s="6" t="str">
        <f t="shared" si="10"/>
        <v>November</v>
      </c>
      <c r="E165" s="14">
        <f>+'Raw Data - Production'!D170+'Raw Data - Production'!E170+'Raw Data - Production'!F170</f>
        <v>0</v>
      </c>
      <c r="F165" s="15">
        <f>+'Raw Data - Production'!G170+'Raw Data - Production'!H170+'Raw Data - Production'!I170</f>
        <v>0</v>
      </c>
      <c r="G165" s="16">
        <f>+'Raw Data - Production'!K170+'Raw Data - Production'!L170+'Raw Data - Packing'!I170</f>
        <v>0</v>
      </c>
      <c r="H165" s="15">
        <f>+'Raw Data - Production'!N170+'Raw Data - Production'!O170+'Raw Data - Production'!P170+'Raw Data - Packing'!L170</f>
        <v>0</v>
      </c>
      <c r="I165" s="66">
        <f>SUMIF('Raw Data - Packing'!A:A,A165,'Raw Data - Packing'!D:D)</f>
        <v>0</v>
      </c>
      <c r="J165" s="15">
        <f>SUMIF('Raw Data - Packing'!A:A,A165,'Raw Data - Packing'!F:F)</f>
        <v>0</v>
      </c>
      <c r="K165" s="20"/>
      <c r="L165" s="68">
        <f>+E165-I165+L164-(G165/Weights!$B$2)</f>
        <v>24799.197530864192</v>
      </c>
      <c r="M165" s="68">
        <f>+F165-J165+M164-(H165/Weights!$B$4)</f>
        <v>34922.5</v>
      </c>
      <c r="N165" s="68">
        <f>+E165*Weights!$B$2</f>
        <v>0</v>
      </c>
      <c r="O165" s="68">
        <f>+F165*Weights!$B$4</f>
        <v>0</v>
      </c>
      <c r="Q165" s="83">
        <f t="shared" si="11"/>
        <v>0</v>
      </c>
    </row>
    <row r="166" spans="1:17" x14ac:dyDescent="0.35">
      <c r="A166" s="4">
        <f>+'Raw Data - Production'!A171</f>
        <v>46356</v>
      </c>
      <c r="B166" s="6">
        <f t="shared" si="9"/>
        <v>49</v>
      </c>
      <c r="C166" s="6" t="str">
        <f t="shared" si="10"/>
        <v>November</v>
      </c>
      <c r="E166" s="14">
        <f>+'Raw Data - Production'!D171+'Raw Data - Production'!E171+'Raw Data - Production'!F171</f>
        <v>0</v>
      </c>
      <c r="F166" s="15">
        <f>+'Raw Data - Production'!G171+'Raw Data - Production'!H171+'Raw Data - Production'!I171</f>
        <v>0</v>
      </c>
      <c r="G166" s="16">
        <f>+'Raw Data - Production'!K171+'Raw Data - Production'!L171+'Raw Data - Packing'!I171</f>
        <v>0</v>
      </c>
      <c r="H166" s="15">
        <f>+'Raw Data - Production'!N171+'Raw Data - Production'!O171+'Raw Data - Production'!P171+'Raw Data - Packing'!L171</f>
        <v>0</v>
      </c>
      <c r="I166" s="66">
        <f>SUMIF('Raw Data - Packing'!A:A,A166,'Raw Data - Packing'!D:D)</f>
        <v>0</v>
      </c>
      <c r="J166" s="15">
        <f>SUMIF('Raw Data - Packing'!A:A,A166,'Raw Data - Packing'!F:F)</f>
        <v>0</v>
      </c>
      <c r="K166" s="20"/>
      <c r="L166" s="68">
        <f>+E166-I166+L165-(G166/Weights!$B$2)</f>
        <v>24799.197530864192</v>
      </c>
      <c r="M166" s="68">
        <f>+F166-J166+M165-(H166/Weights!$B$4)</f>
        <v>34922.5</v>
      </c>
      <c r="N166" s="68">
        <f>+E166*Weights!$B$2</f>
        <v>0</v>
      </c>
      <c r="O166" s="68">
        <f>+F166*Weights!$B$4</f>
        <v>0</v>
      </c>
      <c r="Q166" s="83">
        <f t="shared" si="11"/>
        <v>0</v>
      </c>
    </row>
    <row r="167" spans="1:17" x14ac:dyDescent="0.35">
      <c r="A167" s="4">
        <f>+'Raw Data - Production'!A172</f>
        <v>46357</v>
      </c>
      <c r="B167" s="6">
        <f t="shared" si="9"/>
        <v>49</v>
      </c>
      <c r="C167" s="6" t="str">
        <f t="shared" si="10"/>
        <v>December</v>
      </c>
      <c r="E167" s="14">
        <f>+'Raw Data - Production'!D172+'Raw Data - Production'!E172+'Raw Data - Production'!F172</f>
        <v>0</v>
      </c>
      <c r="F167" s="15">
        <f>+'Raw Data - Production'!G172+'Raw Data - Production'!H172+'Raw Data - Production'!I172</f>
        <v>0</v>
      </c>
      <c r="G167" s="16">
        <f>+'Raw Data - Production'!K172+'Raw Data - Production'!L172+'Raw Data - Packing'!I172</f>
        <v>0</v>
      </c>
      <c r="H167" s="15">
        <f>+'Raw Data - Production'!N172+'Raw Data - Production'!O172+'Raw Data - Production'!P172+'Raw Data - Packing'!L172</f>
        <v>0</v>
      </c>
      <c r="I167" s="66">
        <f>SUMIF('Raw Data - Packing'!A:A,A167,'Raw Data - Packing'!D:D)</f>
        <v>0</v>
      </c>
      <c r="J167" s="15">
        <f>SUMIF('Raw Data - Packing'!A:A,A167,'Raw Data - Packing'!F:F)</f>
        <v>0</v>
      </c>
      <c r="K167" s="20"/>
      <c r="L167" s="68">
        <f>+E167-I167+L166-(G167/Weights!$B$2)</f>
        <v>24799.197530864192</v>
      </c>
      <c r="M167" s="68">
        <f>+F167-J167+M166-(H167/Weights!$B$4)</f>
        <v>34922.5</v>
      </c>
      <c r="N167" s="68">
        <f>+E167*Weights!$B$2</f>
        <v>0</v>
      </c>
      <c r="O167" s="68">
        <f>+F167*Weights!$B$4</f>
        <v>0</v>
      </c>
      <c r="Q167" s="83">
        <f t="shared" si="11"/>
        <v>0</v>
      </c>
    </row>
    <row r="168" spans="1:17" x14ac:dyDescent="0.35">
      <c r="A168" s="4">
        <f>+'Raw Data - Production'!A173</f>
        <v>46358</v>
      </c>
      <c r="B168" s="6">
        <f t="shared" si="9"/>
        <v>49</v>
      </c>
      <c r="C168" s="6" t="str">
        <f t="shared" si="10"/>
        <v>December</v>
      </c>
      <c r="E168" s="14">
        <f>+'Raw Data - Production'!D173+'Raw Data - Production'!E173+'Raw Data - Production'!F173</f>
        <v>0</v>
      </c>
      <c r="F168" s="15">
        <f>+'Raw Data - Production'!G173+'Raw Data - Production'!H173+'Raw Data - Production'!I173</f>
        <v>0</v>
      </c>
      <c r="G168" s="16">
        <f>+'Raw Data - Production'!K173+'Raw Data - Production'!L173+'Raw Data - Packing'!I173</f>
        <v>0</v>
      </c>
      <c r="H168" s="15">
        <f>+'Raw Data - Production'!N173+'Raw Data - Production'!O173+'Raw Data - Production'!P173+'Raw Data - Packing'!L173</f>
        <v>0</v>
      </c>
      <c r="I168" s="66">
        <f>SUMIF('Raw Data - Packing'!A:A,A168,'Raw Data - Packing'!D:D)</f>
        <v>0</v>
      </c>
      <c r="J168" s="15">
        <f>SUMIF('Raw Data - Packing'!A:A,A168,'Raw Data - Packing'!F:F)</f>
        <v>0</v>
      </c>
      <c r="K168" s="20"/>
      <c r="L168" s="68">
        <f>+E168-I168+L167-(G168/Weights!$B$2)</f>
        <v>24799.197530864192</v>
      </c>
      <c r="M168" s="68">
        <f>+F168-J168+M167-(H168/Weights!$B$4)</f>
        <v>34922.5</v>
      </c>
      <c r="N168" s="68">
        <f>+E168*Weights!$B$2</f>
        <v>0</v>
      </c>
      <c r="O168" s="68">
        <f>+F168*Weights!$B$4</f>
        <v>0</v>
      </c>
      <c r="Q168" s="83">
        <f t="shared" si="11"/>
        <v>0</v>
      </c>
    </row>
    <row r="169" spans="1:17" x14ac:dyDescent="0.35">
      <c r="A169" s="4">
        <f>+'Raw Data - Production'!A174</f>
        <v>46359</v>
      </c>
      <c r="B169" s="6">
        <f t="shared" si="9"/>
        <v>49</v>
      </c>
      <c r="C169" s="6" t="str">
        <f t="shared" si="10"/>
        <v>December</v>
      </c>
      <c r="E169" s="14">
        <f>+'Raw Data - Production'!D174+'Raw Data - Production'!E174+'Raw Data - Production'!F174</f>
        <v>0</v>
      </c>
      <c r="F169" s="15">
        <f>+'Raw Data - Production'!G174+'Raw Data - Production'!H174+'Raw Data - Production'!I174</f>
        <v>0</v>
      </c>
      <c r="G169" s="16">
        <f>+'Raw Data - Production'!K174+'Raw Data - Production'!L174+'Raw Data - Packing'!I174</f>
        <v>0</v>
      </c>
      <c r="H169" s="15">
        <f>+'Raw Data - Production'!N174+'Raw Data - Production'!O174+'Raw Data - Production'!P174+'Raw Data - Packing'!L174</f>
        <v>0</v>
      </c>
      <c r="I169" s="66">
        <f>SUMIF('Raw Data - Packing'!A:A,A169,'Raw Data - Packing'!D:D)</f>
        <v>0</v>
      </c>
      <c r="J169" s="15">
        <f>SUMIF('Raw Data - Packing'!A:A,A169,'Raw Data - Packing'!F:F)</f>
        <v>0</v>
      </c>
      <c r="K169" s="20"/>
      <c r="L169" s="68">
        <f>+E169-I169+L168-(G169/Weights!$B$2)</f>
        <v>24799.197530864192</v>
      </c>
      <c r="M169" s="68">
        <f>+F169-J169+M168-(H169/Weights!$B$4)</f>
        <v>34922.5</v>
      </c>
      <c r="N169" s="68">
        <f>+E169*Weights!$B$2</f>
        <v>0</v>
      </c>
      <c r="O169" s="68">
        <f>+F169*Weights!$B$4</f>
        <v>0</v>
      </c>
      <c r="Q169" s="83">
        <f t="shared" si="11"/>
        <v>0</v>
      </c>
    </row>
    <row r="170" spans="1:17" x14ac:dyDescent="0.35">
      <c r="A170" s="4">
        <f>+'Raw Data - Production'!A175</f>
        <v>46360</v>
      </c>
      <c r="B170" s="6">
        <f t="shared" si="9"/>
        <v>49</v>
      </c>
      <c r="C170" s="6" t="str">
        <f t="shared" si="10"/>
        <v>December</v>
      </c>
      <c r="E170" s="14">
        <f>+'Raw Data - Production'!D175+'Raw Data - Production'!E175+'Raw Data - Production'!F175</f>
        <v>0</v>
      </c>
      <c r="F170" s="15">
        <f>+'Raw Data - Production'!G175+'Raw Data - Production'!H175+'Raw Data - Production'!I175</f>
        <v>0</v>
      </c>
      <c r="G170" s="16">
        <f>+'Raw Data - Production'!K175+'Raw Data - Production'!L175+'Raw Data - Packing'!I175</f>
        <v>0</v>
      </c>
      <c r="H170" s="15">
        <f>+'Raw Data - Production'!N175+'Raw Data - Production'!O175+'Raw Data - Production'!P175+'Raw Data - Packing'!L175</f>
        <v>0</v>
      </c>
      <c r="I170" s="66">
        <f>SUMIF('Raw Data - Packing'!A:A,A170,'Raw Data - Packing'!D:D)</f>
        <v>0</v>
      </c>
      <c r="J170" s="15">
        <f>SUMIF('Raw Data - Packing'!A:A,A170,'Raw Data - Packing'!F:F)</f>
        <v>0</v>
      </c>
      <c r="K170" s="20"/>
      <c r="L170" s="68">
        <f>+E170-I170+L169-(G170/Weights!$B$2)</f>
        <v>24799.197530864192</v>
      </c>
      <c r="M170" s="68">
        <f>+F170-J170+M169-(H170/Weights!$B$4)</f>
        <v>34922.5</v>
      </c>
      <c r="N170" s="68">
        <f>+E170*Weights!$B$2</f>
        <v>0</v>
      </c>
      <c r="O170" s="68">
        <f>+F170*Weights!$B$4</f>
        <v>0</v>
      </c>
      <c r="Q170" s="83">
        <f t="shared" si="11"/>
        <v>0</v>
      </c>
    </row>
    <row r="171" spans="1:17" x14ac:dyDescent="0.35">
      <c r="A171" s="4">
        <f>+'Raw Data - Production'!A176</f>
        <v>46363</v>
      </c>
      <c r="B171" s="6">
        <f t="shared" si="9"/>
        <v>50</v>
      </c>
      <c r="C171" s="6" t="str">
        <f t="shared" si="10"/>
        <v>December</v>
      </c>
      <c r="E171" s="14">
        <f>+'Raw Data - Production'!D176+'Raw Data - Production'!E176+'Raw Data - Production'!F176</f>
        <v>0</v>
      </c>
      <c r="F171" s="15">
        <f>+'Raw Data - Production'!G176+'Raw Data - Production'!H176+'Raw Data - Production'!I176</f>
        <v>0</v>
      </c>
      <c r="G171" s="16">
        <f>+'Raw Data - Production'!K176+'Raw Data - Production'!L176+'Raw Data - Packing'!I176</f>
        <v>0</v>
      </c>
      <c r="H171" s="15">
        <f>+'Raw Data - Production'!N176+'Raw Data - Production'!O176+'Raw Data - Production'!P176+'Raw Data - Packing'!L176</f>
        <v>0</v>
      </c>
      <c r="I171" s="66">
        <f>SUMIF('Raw Data - Packing'!A:A,A171,'Raw Data - Packing'!D:D)</f>
        <v>0</v>
      </c>
      <c r="J171" s="15">
        <f>SUMIF('Raw Data - Packing'!A:A,A171,'Raw Data - Packing'!F:F)</f>
        <v>0</v>
      </c>
      <c r="K171" s="20"/>
      <c r="L171" s="68">
        <f>+E171-I171+L170-(G171/Weights!$B$2)</f>
        <v>24799.197530864192</v>
      </c>
      <c r="M171" s="68">
        <f>+F171-J171+M170-(H171/Weights!$B$4)</f>
        <v>34922.5</v>
      </c>
      <c r="N171" s="68">
        <f>+E171*Weights!$B$2</f>
        <v>0</v>
      </c>
      <c r="O171" s="68">
        <f>+F171*Weights!$B$4</f>
        <v>0</v>
      </c>
      <c r="Q171" s="83">
        <f t="shared" si="11"/>
        <v>0</v>
      </c>
    </row>
    <row r="172" spans="1:17" x14ac:dyDescent="0.35">
      <c r="A172" s="4">
        <f>+'Raw Data - Production'!A177</f>
        <v>46364</v>
      </c>
      <c r="B172" s="6">
        <f t="shared" si="9"/>
        <v>50</v>
      </c>
      <c r="C172" s="6" t="str">
        <f t="shared" si="10"/>
        <v>December</v>
      </c>
      <c r="E172" s="14">
        <f>+'Raw Data - Production'!D177+'Raw Data - Production'!E177+'Raw Data - Production'!F177</f>
        <v>0</v>
      </c>
      <c r="F172" s="15">
        <f>+'Raw Data - Production'!G177+'Raw Data - Production'!H177+'Raw Data - Production'!I177</f>
        <v>0</v>
      </c>
      <c r="G172" s="16">
        <f>+'Raw Data - Production'!K177+'Raw Data - Production'!L177+'Raw Data - Packing'!I177</f>
        <v>0</v>
      </c>
      <c r="H172" s="15">
        <f>+'Raw Data - Production'!N177+'Raw Data - Production'!O177+'Raw Data - Production'!P177+'Raw Data - Packing'!L177</f>
        <v>0</v>
      </c>
      <c r="I172" s="66">
        <f>SUMIF('Raw Data - Packing'!A:A,A172,'Raw Data - Packing'!D:D)</f>
        <v>0</v>
      </c>
      <c r="J172" s="15">
        <f>SUMIF('Raw Data - Packing'!A:A,A172,'Raw Data - Packing'!F:F)</f>
        <v>0</v>
      </c>
      <c r="K172" s="20"/>
      <c r="L172" s="68">
        <f>+E172-I172+L171-(G172/Weights!$B$2)</f>
        <v>24799.197530864192</v>
      </c>
      <c r="M172" s="68">
        <f>+F172-J172+M171-(H172/Weights!$B$4)</f>
        <v>34922.5</v>
      </c>
      <c r="N172" s="68">
        <f>+E172*Weights!$B$2</f>
        <v>0</v>
      </c>
      <c r="O172" s="68">
        <f>+F172*Weights!$B$4</f>
        <v>0</v>
      </c>
      <c r="Q172" s="83">
        <f t="shared" si="11"/>
        <v>0</v>
      </c>
    </row>
    <row r="173" spans="1:17" x14ac:dyDescent="0.35">
      <c r="A173" s="4">
        <f>+'Raw Data - Production'!A178</f>
        <v>46365</v>
      </c>
      <c r="B173" s="6">
        <f t="shared" si="9"/>
        <v>50</v>
      </c>
      <c r="C173" s="6" t="str">
        <f t="shared" si="10"/>
        <v>December</v>
      </c>
      <c r="E173" s="14">
        <f>+'Raw Data - Production'!D178+'Raw Data - Production'!E178+'Raw Data - Production'!F178</f>
        <v>0</v>
      </c>
      <c r="F173" s="15">
        <f>+'Raw Data - Production'!G178+'Raw Data - Production'!H178+'Raw Data - Production'!I178</f>
        <v>0</v>
      </c>
      <c r="G173" s="16">
        <f>+'Raw Data - Production'!K178+'Raw Data - Production'!L178+'Raw Data - Packing'!I178</f>
        <v>0</v>
      </c>
      <c r="H173" s="15">
        <f>+'Raw Data - Production'!N178+'Raw Data - Production'!O178+'Raw Data - Production'!P178+'Raw Data - Packing'!L178</f>
        <v>0</v>
      </c>
      <c r="I173" s="66">
        <f>SUMIF('Raw Data - Packing'!A:A,A173,'Raw Data - Packing'!D:D)</f>
        <v>0</v>
      </c>
      <c r="J173" s="15">
        <f>SUMIF('Raw Data - Packing'!A:A,A173,'Raw Data - Packing'!F:F)</f>
        <v>0</v>
      </c>
      <c r="K173" s="20"/>
      <c r="L173" s="68">
        <f>+E173-I173+L172-(G173/Weights!$B$2)</f>
        <v>24799.197530864192</v>
      </c>
      <c r="M173" s="68">
        <f>+F173-J173+M172-(H173/Weights!$B$4)</f>
        <v>34922.5</v>
      </c>
      <c r="N173" s="68">
        <f>+E173*Weights!$B$2</f>
        <v>0</v>
      </c>
      <c r="O173" s="68">
        <f>+F173*Weights!$B$4</f>
        <v>0</v>
      </c>
      <c r="Q173" s="83">
        <f t="shared" si="11"/>
        <v>0</v>
      </c>
    </row>
    <row r="174" spans="1:17" x14ac:dyDescent="0.35">
      <c r="A174" s="4">
        <f>+'Raw Data - Production'!A179</f>
        <v>46366</v>
      </c>
      <c r="B174" s="6">
        <f t="shared" si="9"/>
        <v>50</v>
      </c>
      <c r="C174" s="6" t="str">
        <f t="shared" si="10"/>
        <v>December</v>
      </c>
      <c r="E174" s="14">
        <f>+'Raw Data - Production'!D179+'Raw Data - Production'!E179+'Raw Data - Production'!F179</f>
        <v>0</v>
      </c>
      <c r="F174" s="15">
        <f>+'Raw Data - Production'!G179+'Raw Data - Production'!H179+'Raw Data - Production'!I179</f>
        <v>0</v>
      </c>
      <c r="G174" s="16">
        <f>+'Raw Data - Production'!K179+'Raw Data - Production'!L179+'Raw Data - Packing'!I179</f>
        <v>0</v>
      </c>
      <c r="H174" s="15">
        <f>+'Raw Data - Production'!N179+'Raw Data - Production'!O179+'Raw Data - Production'!P179+'Raw Data - Packing'!L179</f>
        <v>0</v>
      </c>
      <c r="I174" s="66">
        <f>SUMIF('Raw Data - Packing'!A:A,A174,'Raw Data - Packing'!D:D)</f>
        <v>0</v>
      </c>
      <c r="J174" s="15">
        <f>SUMIF('Raw Data - Packing'!A:A,A174,'Raw Data - Packing'!F:F)</f>
        <v>0</v>
      </c>
      <c r="K174" s="20"/>
      <c r="L174" s="68">
        <f>+E174-I174+L173-(G174/Weights!$B$2)</f>
        <v>24799.197530864192</v>
      </c>
      <c r="M174" s="68">
        <f>+F174-J174+M173-(H174/Weights!$B$4)</f>
        <v>34922.5</v>
      </c>
      <c r="N174" s="68">
        <f>+E174*Weights!$B$2</f>
        <v>0</v>
      </c>
      <c r="O174" s="68">
        <f>+F174*Weights!$B$4</f>
        <v>0</v>
      </c>
      <c r="Q174" s="83">
        <f t="shared" si="11"/>
        <v>0</v>
      </c>
    </row>
    <row r="175" spans="1:17" x14ac:dyDescent="0.35">
      <c r="A175" s="4">
        <f>+'Raw Data - Production'!A180</f>
        <v>46367</v>
      </c>
      <c r="B175" s="6">
        <f t="shared" si="9"/>
        <v>50</v>
      </c>
      <c r="C175" s="6" t="str">
        <f t="shared" si="10"/>
        <v>December</v>
      </c>
      <c r="E175" s="14">
        <f>+'Raw Data - Production'!D180+'Raw Data - Production'!E180+'Raw Data - Production'!F180</f>
        <v>0</v>
      </c>
      <c r="F175" s="15">
        <f>+'Raw Data - Production'!G180+'Raw Data - Production'!H180+'Raw Data - Production'!I180</f>
        <v>0</v>
      </c>
      <c r="G175" s="16">
        <f>+'Raw Data - Production'!K180+'Raw Data - Production'!L180+'Raw Data - Packing'!I180</f>
        <v>0</v>
      </c>
      <c r="H175" s="15">
        <f>+'Raw Data - Production'!N180+'Raw Data - Production'!O180+'Raw Data - Production'!P180+'Raw Data - Packing'!L180</f>
        <v>0</v>
      </c>
      <c r="I175" s="66">
        <f>SUMIF('Raw Data - Packing'!A:A,A175,'Raw Data - Packing'!D:D)</f>
        <v>0</v>
      </c>
      <c r="J175" s="15">
        <f>SUMIF('Raw Data - Packing'!A:A,A175,'Raw Data - Packing'!F:F)</f>
        <v>0</v>
      </c>
      <c r="K175" s="20"/>
      <c r="L175" s="68">
        <f>+E175-I175+L174-(G175/Weights!$B$2)</f>
        <v>24799.197530864192</v>
      </c>
      <c r="M175" s="68">
        <f>+F175-J175+M174-(H175/Weights!$B$4)</f>
        <v>34922.5</v>
      </c>
      <c r="N175" s="68">
        <f>+E175*Weights!$B$2</f>
        <v>0</v>
      </c>
      <c r="O175" s="68">
        <f>+F175*Weights!$B$4</f>
        <v>0</v>
      </c>
      <c r="Q175" s="83">
        <f t="shared" si="11"/>
        <v>0</v>
      </c>
    </row>
    <row r="176" spans="1:17" x14ac:dyDescent="0.35">
      <c r="A176" s="4">
        <f>+'Raw Data - Production'!A181</f>
        <v>46370</v>
      </c>
      <c r="B176" s="6">
        <f t="shared" si="9"/>
        <v>51</v>
      </c>
      <c r="C176" s="6" t="str">
        <f t="shared" si="10"/>
        <v>December</v>
      </c>
      <c r="E176" s="14">
        <f>+'Raw Data - Production'!D181+'Raw Data - Production'!E181+'Raw Data - Production'!F181</f>
        <v>0</v>
      </c>
      <c r="F176" s="15">
        <f>+'Raw Data - Production'!G181+'Raw Data - Production'!H181+'Raw Data - Production'!I181</f>
        <v>0</v>
      </c>
      <c r="G176" s="16">
        <f>+'Raw Data - Production'!K181+'Raw Data - Production'!L181+'Raw Data - Packing'!I181</f>
        <v>0</v>
      </c>
      <c r="H176" s="15">
        <f>+'Raw Data - Production'!N181+'Raw Data - Production'!O181+'Raw Data - Production'!P181+'Raw Data - Packing'!L181</f>
        <v>0</v>
      </c>
      <c r="I176" s="66">
        <f>SUMIF('Raw Data - Packing'!A:A,A176,'Raw Data - Packing'!D:D)</f>
        <v>0</v>
      </c>
      <c r="J176" s="15">
        <f>SUMIF('Raw Data - Packing'!A:A,A176,'Raw Data - Packing'!F:F)</f>
        <v>0</v>
      </c>
      <c r="K176" s="20"/>
      <c r="L176" s="68">
        <f>+E176-I176+L175-(G176/Weights!$B$2)</f>
        <v>24799.197530864192</v>
      </c>
      <c r="M176" s="68">
        <f>+F176-J176+M175-(H176/Weights!$B$4)</f>
        <v>34922.5</v>
      </c>
      <c r="N176" s="68">
        <f>+E176*Weights!$B$2</f>
        <v>0</v>
      </c>
      <c r="O176" s="68">
        <f>+F176*Weights!$B$4</f>
        <v>0</v>
      </c>
      <c r="Q176" s="83">
        <f t="shared" si="11"/>
        <v>0</v>
      </c>
    </row>
    <row r="177" spans="1:17" x14ac:dyDescent="0.35">
      <c r="A177" s="4">
        <f>+'Raw Data - Production'!A182</f>
        <v>46371</v>
      </c>
      <c r="B177" s="6">
        <f t="shared" si="9"/>
        <v>51</v>
      </c>
      <c r="C177" s="6" t="str">
        <f t="shared" si="10"/>
        <v>December</v>
      </c>
      <c r="E177" s="14">
        <f>+'Raw Data - Production'!D182+'Raw Data - Production'!E182+'Raw Data - Production'!F182</f>
        <v>0</v>
      </c>
      <c r="F177" s="15">
        <f>+'Raw Data - Production'!G182+'Raw Data - Production'!H182+'Raw Data - Production'!I182</f>
        <v>0</v>
      </c>
      <c r="G177" s="16">
        <f>+'Raw Data - Production'!K182+'Raw Data - Production'!L182+'Raw Data - Packing'!I182</f>
        <v>0</v>
      </c>
      <c r="H177" s="15">
        <f>+'Raw Data - Production'!N182+'Raw Data - Production'!O182+'Raw Data - Production'!P182+'Raw Data - Packing'!L182</f>
        <v>0</v>
      </c>
      <c r="I177" s="66">
        <f>SUMIF('Raw Data - Packing'!A:A,A177,'Raw Data - Packing'!D:D)</f>
        <v>0</v>
      </c>
      <c r="J177" s="15">
        <f>SUMIF('Raw Data - Packing'!A:A,A177,'Raw Data - Packing'!F:F)</f>
        <v>0</v>
      </c>
      <c r="K177" s="20"/>
      <c r="L177" s="68">
        <f>+E177-I177+L176-(G177/Weights!$B$2)</f>
        <v>24799.197530864192</v>
      </c>
      <c r="M177" s="68">
        <f>+F177-J177+M176-(H177/Weights!$B$4)</f>
        <v>34922.5</v>
      </c>
      <c r="N177" s="68">
        <f>+E177*Weights!$B$2</f>
        <v>0</v>
      </c>
      <c r="O177" s="68">
        <f>+F177*Weights!$B$4</f>
        <v>0</v>
      </c>
      <c r="Q177" s="83">
        <f t="shared" si="11"/>
        <v>0</v>
      </c>
    </row>
    <row r="178" spans="1:17" x14ac:dyDescent="0.35">
      <c r="A178" s="4">
        <f>+'Raw Data - Production'!A183</f>
        <v>46372</v>
      </c>
      <c r="B178" s="6">
        <f t="shared" ref="B178:B188" si="12">+WEEKNUM(A178)</f>
        <v>51</v>
      </c>
      <c r="C178" s="6" t="str">
        <f t="shared" si="10"/>
        <v>December</v>
      </c>
      <c r="E178" s="14">
        <f>+'Raw Data - Production'!D183+'Raw Data - Production'!E183+'Raw Data - Production'!F183</f>
        <v>0</v>
      </c>
      <c r="F178" s="15">
        <f>+'Raw Data - Production'!G183+'Raw Data - Production'!H183+'Raw Data - Production'!I183</f>
        <v>0</v>
      </c>
      <c r="G178" s="16">
        <f>+'Raw Data - Production'!K183+'Raw Data - Production'!L183+'Raw Data - Packing'!I183</f>
        <v>0</v>
      </c>
      <c r="H178" s="15">
        <f>+'Raw Data - Production'!N183+'Raw Data - Production'!O183+'Raw Data - Production'!P183+'Raw Data - Packing'!L183</f>
        <v>0</v>
      </c>
      <c r="I178" s="66">
        <f>SUMIF('Raw Data - Packing'!A:A,A178,'Raw Data - Packing'!D:D)</f>
        <v>0</v>
      </c>
      <c r="J178" s="15">
        <f>SUMIF('Raw Data - Packing'!A:A,A178,'Raw Data - Packing'!F:F)</f>
        <v>0</v>
      </c>
      <c r="K178" s="20"/>
      <c r="L178" s="68">
        <f>+E178-I178+L177-(G178/Weights!$B$2)</f>
        <v>24799.197530864192</v>
      </c>
      <c r="M178" s="68">
        <f>+F178-J178+M177-(H178/Weights!$B$4)</f>
        <v>34922.5</v>
      </c>
      <c r="N178" s="68">
        <f>+E178*Weights!$B$2</f>
        <v>0</v>
      </c>
      <c r="O178" s="68">
        <f>+F178*Weights!$B$4</f>
        <v>0</v>
      </c>
      <c r="Q178" s="83">
        <f t="shared" si="11"/>
        <v>0</v>
      </c>
    </row>
    <row r="179" spans="1:17" x14ac:dyDescent="0.35">
      <c r="A179" s="4">
        <f>+'Raw Data - Production'!A184</f>
        <v>46373</v>
      </c>
      <c r="B179" s="6">
        <f t="shared" si="12"/>
        <v>51</v>
      </c>
      <c r="C179" s="6" t="str">
        <f t="shared" si="10"/>
        <v>December</v>
      </c>
      <c r="E179" s="14">
        <f>+'Raw Data - Production'!D184+'Raw Data - Production'!E184+'Raw Data - Production'!F184</f>
        <v>0</v>
      </c>
      <c r="F179" s="15">
        <f>+'Raw Data - Production'!G184+'Raw Data - Production'!H184+'Raw Data - Production'!I184</f>
        <v>0</v>
      </c>
      <c r="G179" s="16">
        <f>+'Raw Data - Production'!K184+'Raw Data - Production'!L184+'Raw Data - Packing'!I184</f>
        <v>0</v>
      </c>
      <c r="H179" s="15">
        <f>+'Raw Data - Production'!N184+'Raw Data - Production'!O184+'Raw Data - Production'!P184+'Raw Data - Packing'!L184</f>
        <v>0</v>
      </c>
      <c r="I179" s="66">
        <f>SUMIF('Raw Data - Packing'!A:A,A179,'Raw Data - Packing'!D:D)</f>
        <v>0</v>
      </c>
      <c r="J179" s="15">
        <f>SUMIF('Raw Data - Packing'!A:A,A179,'Raw Data - Packing'!F:F)</f>
        <v>0</v>
      </c>
      <c r="K179" s="20"/>
      <c r="L179" s="68">
        <f>+E179-I179+L178-(G179/Weights!$B$2)</f>
        <v>24799.197530864192</v>
      </c>
      <c r="M179" s="68">
        <f>+F179-J179+M178-(H179/Weights!$B$4)</f>
        <v>34922.5</v>
      </c>
      <c r="N179" s="68">
        <f>+E179*Weights!$B$2</f>
        <v>0</v>
      </c>
      <c r="O179" s="68">
        <f>+F179*Weights!$B$4</f>
        <v>0</v>
      </c>
      <c r="Q179" s="83">
        <f t="shared" si="11"/>
        <v>0</v>
      </c>
    </row>
    <row r="180" spans="1:17" x14ac:dyDescent="0.35">
      <c r="A180" s="4">
        <f>+'Raw Data - Production'!A185</f>
        <v>46374</v>
      </c>
      <c r="B180" s="6">
        <f t="shared" si="12"/>
        <v>51</v>
      </c>
      <c r="C180" s="6" t="str">
        <f t="shared" si="10"/>
        <v>December</v>
      </c>
      <c r="E180" s="14">
        <f>+'Raw Data - Production'!D185+'Raw Data - Production'!E185+'Raw Data - Production'!F185</f>
        <v>0</v>
      </c>
      <c r="F180" s="15">
        <f>+'Raw Data - Production'!G185+'Raw Data - Production'!H185+'Raw Data - Production'!I185</f>
        <v>0</v>
      </c>
      <c r="G180" s="16">
        <f>+'Raw Data - Production'!K185+'Raw Data - Production'!L185+'Raw Data - Packing'!I185</f>
        <v>0</v>
      </c>
      <c r="H180" s="15">
        <f>+'Raw Data - Production'!N185+'Raw Data - Production'!O185+'Raw Data - Production'!P185+'Raw Data - Packing'!L185</f>
        <v>0</v>
      </c>
      <c r="I180" s="66">
        <f>SUMIF('Raw Data - Packing'!A:A,A180,'Raw Data - Packing'!D:D)</f>
        <v>0</v>
      </c>
      <c r="J180" s="15">
        <f>SUMIF('Raw Data - Packing'!A:A,A180,'Raw Data - Packing'!F:F)</f>
        <v>0</v>
      </c>
      <c r="K180" s="20"/>
      <c r="L180" s="68">
        <f>+E180-I180+L179-(G180/Weights!$B$2)</f>
        <v>24799.197530864192</v>
      </c>
      <c r="M180" s="68">
        <f>+F180-J180+M179-(H180/Weights!$B$4)</f>
        <v>34922.5</v>
      </c>
      <c r="N180" s="68">
        <f>+E180*Weights!$B$2</f>
        <v>0</v>
      </c>
      <c r="O180" s="68">
        <f>+F180*Weights!$B$4</f>
        <v>0</v>
      </c>
      <c r="Q180" s="83">
        <f t="shared" si="11"/>
        <v>0</v>
      </c>
    </row>
    <row r="181" spans="1:17" x14ac:dyDescent="0.35">
      <c r="A181" s="4">
        <f>+'Raw Data - Production'!A186</f>
        <v>46377</v>
      </c>
      <c r="B181" s="6">
        <f t="shared" si="12"/>
        <v>52</v>
      </c>
      <c r="C181" s="6" t="str">
        <f t="shared" si="10"/>
        <v>December</v>
      </c>
      <c r="E181" s="14">
        <f>+'Raw Data - Production'!D186+'Raw Data - Production'!E186+'Raw Data - Production'!F186</f>
        <v>0</v>
      </c>
      <c r="F181" s="15">
        <f>+'Raw Data - Production'!G186+'Raw Data - Production'!H186+'Raw Data - Production'!I186</f>
        <v>0</v>
      </c>
      <c r="G181" s="16">
        <f>+'Raw Data - Production'!K186+'Raw Data - Production'!L186+'Raw Data - Packing'!I186</f>
        <v>0</v>
      </c>
      <c r="H181" s="15">
        <f>+'Raw Data - Production'!N186+'Raw Data - Production'!O186+'Raw Data - Production'!P186+'Raw Data - Packing'!L186</f>
        <v>0</v>
      </c>
      <c r="I181" s="66">
        <f>SUMIF('Raw Data - Packing'!A:A,A181,'Raw Data - Packing'!D:D)</f>
        <v>0</v>
      </c>
      <c r="J181" s="15">
        <f>SUMIF('Raw Data - Packing'!A:A,A181,'Raw Data - Packing'!F:F)</f>
        <v>0</v>
      </c>
      <c r="K181" s="20"/>
      <c r="L181" s="68">
        <f>+E181-I181+L180-(G181/Weights!$B$2)</f>
        <v>24799.197530864192</v>
      </c>
      <c r="M181" s="68">
        <f>+F181-J181+M180-(H181/Weights!$B$4)</f>
        <v>34922.5</v>
      </c>
      <c r="N181" s="68">
        <f>+E181*Weights!$B$2</f>
        <v>0</v>
      </c>
      <c r="O181" s="68">
        <f>+F181*Weights!$B$4</f>
        <v>0</v>
      </c>
      <c r="Q181" s="83">
        <f t="shared" si="11"/>
        <v>0</v>
      </c>
    </row>
    <row r="182" spans="1:17" x14ac:dyDescent="0.35">
      <c r="A182" s="4">
        <f>+'Raw Data - Production'!A187</f>
        <v>46378</v>
      </c>
      <c r="B182" s="6">
        <f t="shared" si="12"/>
        <v>52</v>
      </c>
      <c r="C182" s="6" t="str">
        <f t="shared" si="10"/>
        <v>December</v>
      </c>
      <c r="E182" s="14">
        <f>+'Raw Data - Production'!D187+'Raw Data - Production'!E187+'Raw Data - Production'!F187</f>
        <v>0</v>
      </c>
      <c r="F182" s="15">
        <f>+'Raw Data - Production'!G187+'Raw Data - Production'!H187+'Raw Data - Production'!I187</f>
        <v>0</v>
      </c>
      <c r="G182" s="16">
        <f>+'Raw Data - Production'!K187+'Raw Data - Production'!L187+'Raw Data - Packing'!I187</f>
        <v>0</v>
      </c>
      <c r="H182" s="15">
        <f>+'Raw Data - Production'!N187+'Raw Data - Production'!O187+'Raw Data - Production'!P187+'Raw Data - Packing'!L187</f>
        <v>0</v>
      </c>
      <c r="I182" s="66">
        <f>SUMIF('Raw Data - Packing'!A:A,A182,'Raw Data - Packing'!D:D)</f>
        <v>0</v>
      </c>
      <c r="J182" s="15">
        <f>SUMIF('Raw Data - Packing'!A:A,A182,'Raw Data - Packing'!F:F)</f>
        <v>0</v>
      </c>
      <c r="K182" s="20"/>
      <c r="L182" s="68">
        <f>+E182-I182+L181-(G182/Weights!$B$2)</f>
        <v>24799.197530864192</v>
      </c>
      <c r="M182" s="68">
        <f>+F182-J182+M181-(H182/Weights!$B$4)</f>
        <v>34922.5</v>
      </c>
      <c r="N182" s="68">
        <f>+E182*Weights!$B$2</f>
        <v>0</v>
      </c>
      <c r="O182" s="68">
        <f>+F182*Weights!$B$4</f>
        <v>0</v>
      </c>
      <c r="Q182" s="83">
        <f t="shared" si="11"/>
        <v>0</v>
      </c>
    </row>
    <row r="183" spans="1:17" x14ac:dyDescent="0.35">
      <c r="A183" s="4">
        <f>+'Raw Data - Production'!A188</f>
        <v>46379</v>
      </c>
      <c r="B183" s="6">
        <f t="shared" si="12"/>
        <v>52</v>
      </c>
      <c r="C183" s="6" t="str">
        <f t="shared" si="10"/>
        <v>December</v>
      </c>
      <c r="E183" s="14">
        <f>+'Raw Data - Production'!D188+'Raw Data - Production'!E188+'Raw Data - Production'!F188</f>
        <v>0</v>
      </c>
      <c r="F183" s="15">
        <f>+'Raw Data - Production'!G188+'Raw Data - Production'!H188+'Raw Data - Production'!I188</f>
        <v>0</v>
      </c>
      <c r="G183" s="16">
        <f>+'Raw Data - Production'!K188+'Raw Data - Production'!L188+'Raw Data - Packing'!I188</f>
        <v>0</v>
      </c>
      <c r="H183" s="15">
        <f>+'Raw Data - Production'!N188+'Raw Data - Production'!O188+'Raw Data - Production'!P188+'Raw Data - Packing'!L188</f>
        <v>0</v>
      </c>
      <c r="I183" s="66">
        <f>SUMIF('Raw Data - Packing'!A:A,A183,'Raw Data - Packing'!D:D)</f>
        <v>0</v>
      </c>
      <c r="J183" s="15">
        <f>SUMIF('Raw Data - Packing'!A:A,A183,'Raw Data - Packing'!F:F)</f>
        <v>0</v>
      </c>
      <c r="K183" s="20"/>
      <c r="L183" s="68">
        <f>+E183-I183+L182-(G183/Weights!$B$2)</f>
        <v>24799.197530864192</v>
      </c>
      <c r="M183" s="68">
        <f>+F183-J183+M182-(H183/Weights!$B$4)</f>
        <v>34922.5</v>
      </c>
      <c r="N183" s="68">
        <f>+E183*Weights!$B$2</f>
        <v>0</v>
      </c>
      <c r="O183" s="68">
        <f>+F183*Weights!$B$4</f>
        <v>0</v>
      </c>
      <c r="Q183" s="83">
        <f t="shared" si="11"/>
        <v>0</v>
      </c>
    </row>
    <row r="184" spans="1:17" x14ac:dyDescent="0.35">
      <c r="A184" s="4">
        <f>+'Raw Data - Production'!A189</f>
        <v>46381</v>
      </c>
      <c r="B184" s="6">
        <f t="shared" si="12"/>
        <v>52</v>
      </c>
      <c r="C184" s="6" t="str">
        <f t="shared" si="10"/>
        <v>December</v>
      </c>
      <c r="E184" s="14">
        <f>+'Raw Data - Production'!D189+'Raw Data - Production'!E189+'Raw Data - Production'!F189</f>
        <v>0</v>
      </c>
      <c r="F184" s="15">
        <f>+'Raw Data - Production'!G189+'Raw Data - Production'!H189+'Raw Data - Production'!I189</f>
        <v>0</v>
      </c>
      <c r="G184" s="16">
        <f>+'Raw Data - Production'!K189+'Raw Data - Production'!L189+'Raw Data - Packing'!I189</f>
        <v>0</v>
      </c>
      <c r="H184" s="15">
        <f>+'Raw Data - Production'!N189+'Raw Data - Production'!O189+'Raw Data - Production'!P189+'Raw Data - Packing'!L189</f>
        <v>0</v>
      </c>
      <c r="I184" s="66">
        <f>SUMIF('Raw Data - Packing'!A:A,A184,'Raw Data - Packing'!D:D)</f>
        <v>0</v>
      </c>
      <c r="J184" s="15">
        <f>SUMIF('Raw Data - Packing'!A:A,A184,'Raw Data - Packing'!F:F)</f>
        <v>0</v>
      </c>
      <c r="K184" s="20"/>
      <c r="L184" s="68">
        <f>+E184-I184+L183-(G184/Weights!$B$2)</f>
        <v>24799.197530864192</v>
      </c>
      <c r="M184" s="68">
        <f>+F184-J184+M183-(H184/Weights!$B$4)</f>
        <v>34922.5</v>
      </c>
      <c r="N184" s="68">
        <f>+E184*Weights!$B$2</f>
        <v>0</v>
      </c>
      <c r="O184" s="68">
        <f>+F184*Weights!$B$4</f>
        <v>0</v>
      </c>
      <c r="Q184" s="83">
        <f t="shared" si="11"/>
        <v>0</v>
      </c>
    </row>
    <row r="185" spans="1:17" x14ac:dyDescent="0.35">
      <c r="A185" s="4">
        <f>+'Raw Data - Production'!A190</f>
        <v>46384</v>
      </c>
      <c r="B185" s="6">
        <f t="shared" si="12"/>
        <v>53</v>
      </c>
      <c r="C185" s="6" t="str">
        <f t="shared" si="10"/>
        <v>December</v>
      </c>
      <c r="E185" s="14">
        <f>+'Raw Data - Production'!D190+'Raw Data - Production'!E190+'Raw Data - Production'!F190</f>
        <v>0</v>
      </c>
      <c r="F185" s="15">
        <f>+'Raw Data - Production'!G190+'Raw Data - Production'!H190+'Raw Data - Production'!I190</f>
        <v>0</v>
      </c>
      <c r="G185" s="16">
        <f>+'Raw Data - Production'!K190+'Raw Data - Production'!L190+'Raw Data - Packing'!I190</f>
        <v>0</v>
      </c>
      <c r="H185" s="15">
        <f>+'Raw Data - Production'!N190+'Raw Data - Production'!O190+'Raw Data - Production'!P190+'Raw Data - Packing'!L190</f>
        <v>0</v>
      </c>
      <c r="I185" s="66">
        <f>SUMIF('Raw Data - Packing'!A:A,A185,'Raw Data - Packing'!D:D)</f>
        <v>0</v>
      </c>
      <c r="J185" s="15">
        <f>SUMIF('Raw Data - Packing'!A:A,A185,'Raw Data - Packing'!F:F)</f>
        <v>0</v>
      </c>
      <c r="K185" s="20"/>
      <c r="L185" s="68">
        <f>+E185-I185+L184-(G185/Weights!$B$2)</f>
        <v>24799.197530864192</v>
      </c>
      <c r="M185" s="68">
        <f>+F185-J185+M184-(H185/Weights!$B$4)</f>
        <v>34922.5</v>
      </c>
      <c r="N185" s="68">
        <f>+E185*Weights!$B$2</f>
        <v>0</v>
      </c>
      <c r="O185" s="68">
        <f>+F185*Weights!$B$4</f>
        <v>0</v>
      </c>
      <c r="Q185" s="83">
        <f t="shared" si="11"/>
        <v>0</v>
      </c>
    </row>
    <row r="186" spans="1:17" x14ac:dyDescent="0.35">
      <c r="A186" s="4">
        <f>+'Raw Data - Production'!A191</f>
        <v>46385</v>
      </c>
      <c r="B186" s="6">
        <f t="shared" si="12"/>
        <v>53</v>
      </c>
      <c r="C186" s="6" t="str">
        <f t="shared" si="10"/>
        <v>December</v>
      </c>
      <c r="E186" s="14">
        <f>+'Raw Data - Production'!D191+'Raw Data - Production'!E191+'Raw Data - Production'!F191</f>
        <v>0</v>
      </c>
      <c r="F186" s="15">
        <f>+'Raw Data - Production'!G191+'Raw Data - Production'!H191+'Raw Data - Production'!I191</f>
        <v>0</v>
      </c>
      <c r="G186" s="16">
        <f>+'Raw Data - Production'!K191+'Raw Data - Production'!L191+'Raw Data - Packing'!I191</f>
        <v>0</v>
      </c>
      <c r="H186" s="15">
        <f>+'Raw Data - Production'!N191+'Raw Data - Production'!O191+'Raw Data - Production'!P191+'Raw Data - Packing'!L191</f>
        <v>0</v>
      </c>
      <c r="I186" s="66">
        <f>SUMIF('Raw Data - Packing'!A:A,A186,'Raw Data - Packing'!D:D)</f>
        <v>0</v>
      </c>
      <c r="J186" s="15">
        <f>SUMIF('Raw Data - Packing'!A:A,A186,'Raw Data - Packing'!F:F)</f>
        <v>0</v>
      </c>
      <c r="K186" s="20"/>
      <c r="L186" s="68">
        <f>+E186-I186+L185-(G186/Weights!$B$2)</f>
        <v>24799.197530864192</v>
      </c>
      <c r="M186" s="68">
        <f>+F186-J186+M185-(H186/Weights!$B$4)</f>
        <v>34922.5</v>
      </c>
      <c r="N186" s="68">
        <f>+E186*Weights!$B$2</f>
        <v>0</v>
      </c>
      <c r="O186" s="68">
        <f>+F186*Weights!$B$4</f>
        <v>0</v>
      </c>
      <c r="Q186" s="83">
        <f t="shared" si="11"/>
        <v>0</v>
      </c>
    </row>
    <row r="187" spans="1:17" x14ac:dyDescent="0.35">
      <c r="A187" s="4">
        <f>+'Raw Data - Production'!A192</f>
        <v>46386</v>
      </c>
      <c r="B187" s="6">
        <f t="shared" si="12"/>
        <v>53</v>
      </c>
      <c r="C187" s="6" t="str">
        <f t="shared" si="10"/>
        <v>December</v>
      </c>
      <c r="E187" s="14">
        <f>+'Raw Data - Production'!D192+'Raw Data - Production'!E192+'Raw Data - Production'!F192</f>
        <v>0</v>
      </c>
      <c r="F187" s="15">
        <f>+'Raw Data - Production'!G192+'Raw Data - Production'!H192+'Raw Data - Production'!I192</f>
        <v>0</v>
      </c>
      <c r="G187" s="16">
        <f>+'Raw Data - Production'!K192+'Raw Data - Production'!L192+'Raw Data - Packing'!I192</f>
        <v>0</v>
      </c>
      <c r="H187" s="15">
        <f>+'Raw Data - Production'!N192+'Raw Data - Production'!O192+'Raw Data - Production'!P192+'Raw Data - Packing'!L192</f>
        <v>0</v>
      </c>
      <c r="I187" s="66">
        <f>SUMIF('Raw Data - Packing'!A:A,A187,'Raw Data - Packing'!D:D)</f>
        <v>0</v>
      </c>
      <c r="J187" s="15">
        <f>SUMIF('Raw Data - Packing'!A:A,A187,'Raw Data - Packing'!F:F)</f>
        <v>0</v>
      </c>
      <c r="K187" s="20"/>
      <c r="L187" s="68">
        <f>+E187-I187+L186-(G187/Weights!$B$2)</f>
        <v>24799.197530864192</v>
      </c>
      <c r="M187" s="68">
        <f>+F187-J187+M186-(H187/Weights!$B$4)</f>
        <v>34922.5</v>
      </c>
      <c r="N187" s="68">
        <f>+E187*Weights!$B$2</f>
        <v>0</v>
      </c>
      <c r="O187" s="68">
        <f>+F187*Weights!$B$4</f>
        <v>0</v>
      </c>
      <c r="Q187" s="83">
        <f t="shared" si="11"/>
        <v>0</v>
      </c>
    </row>
    <row r="188" spans="1:17" x14ac:dyDescent="0.35">
      <c r="A188" s="4">
        <f>+'Raw Data - Production'!A193</f>
        <v>0</v>
      </c>
      <c r="B188" s="6">
        <f t="shared" si="12"/>
        <v>0</v>
      </c>
      <c r="C188" s="6" t="str">
        <f t="shared" si="10"/>
        <v>January</v>
      </c>
      <c r="E188" s="14">
        <f>+'Raw Data - Production'!D193+'Raw Data - Production'!E193+'Raw Data - Production'!F193</f>
        <v>0</v>
      </c>
      <c r="F188" s="15">
        <f>+'Raw Data - Production'!G193+'Raw Data - Production'!H193+'Raw Data - Production'!I193</f>
        <v>0</v>
      </c>
      <c r="G188" s="16">
        <f>+'Raw Data - Production'!K193+'Raw Data - Production'!L193+'Raw Data - Packing'!I193</f>
        <v>0</v>
      </c>
      <c r="H188" s="15">
        <f>+'Raw Data - Production'!N193+'Raw Data - Production'!O193+'Raw Data - Production'!P193+'Raw Data - Packing'!L193</f>
        <v>0</v>
      </c>
      <c r="I188" s="66">
        <f>SUMIF('Raw Data - Packing'!A:A,A188,'Raw Data - Packing'!D:D)</f>
        <v>0</v>
      </c>
      <c r="J188" s="15">
        <f>SUMIF('Raw Data - Packing'!A:A,A188,'Raw Data - Packing'!F:F)</f>
        <v>0</v>
      </c>
      <c r="K188" s="20"/>
      <c r="Q188" s="83">
        <f t="shared" si="11"/>
        <v>0</v>
      </c>
    </row>
    <row r="189" spans="1:17" x14ac:dyDescent="0.35">
      <c r="A189" s="4"/>
      <c r="C189" s="6" t="str">
        <f t="shared" si="10"/>
        <v>January</v>
      </c>
      <c r="E189" s="14">
        <f>+'Raw Data - Production'!D194+'Raw Data - Production'!E194+'Raw Data - Production'!F194</f>
        <v>0</v>
      </c>
      <c r="F189" s="15">
        <f>+'Raw Data - Production'!G194+'Raw Data - Production'!H194+'Raw Data - Production'!I194</f>
        <v>0</v>
      </c>
      <c r="G189" s="16">
        <f>+'Raw Data - Production'!K194+'Raw Data - Production'!L194+'Raw Data - Packing'!I194</f>
        <v>0</v>
      </c>
      <c r="H189" s="15">
        <f>+'Raw Data - Production'!N194+'Raw Data - Production'!O194+'Raw Data - Production'!P194+'Raw Data - Packing'!L194</f>
        <v>0</v>
      </c>
      <c r="I189" s="66">
        <f>SUMIF('Raw Data - Packing'!A:A,A189,'Raw Data - Packing'!D:D)</f>
        <v>0</v>
      </c>
      <c r="J189" s="15">
        <f>SUMIF('Raw Data - Packing'!A:A,A189,'Raw Data - Packing'!F:F)</f>
        <v>0</v>
      </c>
      <c r="K189" s="20"/>
      <c r="Q189" s="83">
        <f t="shared" si="11"/>
        <v>0</v>
      </c>
    </row>
    <row r="190" spans="1:17" x14ac:dyDescent="0.35">
      <c r="A190" s="4"/>
      <c r="C190" s="6" t="str">
        <f t="shared" si="10"/>
        <v>January</v>
      </c>
      <c r="E190" s="14">
        <f>+'Raw Data - Production'!D195+'Raw Data - Production'!E195+'Raw Data - Production'!F195</f>
        <v>0</v>
      </c>
      <c r="F190" s="15">
        <f>+'Raw Data - Production'!G195+'Raw Data - Production'!H195+'Raw Data - Production'!I195</f>
        <v>0</v>
      </c>
      <c r="G190" s="16">
        <f>+'Raw Data - Production'!K195+'Raw Data - Production'!L195+'Raw Data - Packing'!I195</f>
        <v>0</v>
      </c>
      <c r="H190" s="15">
        <f>+'Raw Data - Production'!N195+'Raw Data - Production'!O195+'Raw Data - Production'!P195+'Raw Data - Packing'!L195</f>
        <v>0</v>
      </c>
      <c r="I190" s="66">
        <f>SUMIF('Raw Data - Packing'!A:A,A190,'Raw Data - Packing'!D:D)</f>
        <v>0</v>
      </c>
      <c r="J190" s="15">
        <f>SUMIF('Raw Data - Packing'!A:A,A190,'Raw Data - Packing'!F:F)</f>
        <v>0</v>
      </c>
      <c r="K190" s="20"/>
      <c r="Q190" s="83">
        <f t="shared" si="11"/>
        <v>0</v>
      </c>
    </row>
    <row r="191" spans="1:17" x14ac:dyDescent="0.35">
      <c r="A191" s="4"/>
      <c r="C191" s="6" t="str">
        <f t="shared" si="10"/>
        <v>January</v>
      </c>
      <c r="E191" s="14">
        <f>+'Raw Data - Production'!D196+'Raw Data - Production'!E196+'Raw Data - Production'!F196</f>
        <v>0</v>
      </c>
      <c r="F191" s="15">
        <f>+'Raw Data - Production'!G196+'Raw Data - Production'!H196+'Raw Data - Production'!I196</f>
        <v>0</v>
      </c>
      <c r="G191" s="16">
        <f>+'Raw Data - Production'!K196+'Raw Data - Production'!L196+'Raw Data - Packing'!I196</f>
        <v>0</v>
      </c>
      <c r="H191" s="15">
        <f>+'Raw Data - Production'!N196+'Raw Data - Production'!O196+'Raw Data - Production'!P196+'Raw Data - Packing'!L196</f>
        <v>0</v>
      </c>
      <c r="I191" s="66">
        <f>SUMIF('Raw Data - Packing'!A:A,A191,'Raw Data - Packing'!D:D)</f>
        <v>0</v>
      </c>
      <c r="J191" s="15">
        <f>SUMIF('Raw Data - Packing'!A:A,A191,'Raw Data - Packing'!F:F)</f>
        <v>0</v>
      </c>
      <c r="K191" s="20"/>
      <c r="Q191" s="83">
        <f t="shared" si="11"/>
        <v>0</v>
      </c>
    </row>
    <row r="192" spans="1:17" x14ac:dyDescent="0.35">
      <c r="A192" s="4"/>
      <c r="C192" s="6" t="str">
        <f t="shared" si="10"/>
        <v>January</v>
      </c>
      <c r="E192" s="14">
        <f>+'Raw Data - Production'!D197+'Raw Data - Production'!E197+'Raw Data - Production'!F197</f>
        <v>0</v>
      </c>
      <c r="F192" s="15">
        <f>+'Raw Data - Production'!G197+'Raw Data - Production'!H197+'Raw Data - Production'!I197</f>
        <v>0</v>
      </c>
      <c r="G192" s="16">
        <f>+'Raw Data - Production'!K197+'Raw Data - Production'!L197+'Raw Data - Packing'!I197</f>
        <v>0</v>
      </c>
      <c r="H192" s="15">
        <f>+'Raw Data - Production'!N197+'Raw Data - Production'!O197+'Raw Data - Production'!P197+'Raw Data - Packing'!L197</f>
        <v>0</v>
      </c>
      <c r="I192" s="66">
        <f>SUMIF('Raw Data - Packing'!A:A,A192,'Raw Data - Packing'!D:D)</f>
        <v>0</v>
      </c>
      <c r="J192" s="15">
        <f>SUMIF('Raw Data - Packing'!A:A,A192,'Raw Data - Packing'!F:F)</f>
        <v>0</v>
      </c>
      <c r="K192" s="20"/>
      <c r="Q192" s="83">
        <f t="shared" si="11"/>
        <v>0</v>
      </c>
    </row>
    <row r="193" spans="1:17" x14ac:dyDescent="0.35">
      <c r="A193" s="4"/>
      <c r="C193" s="6" t="str">
        <f t="shared" si="10"/>
        <v>January</v>
      </c>
      <c r="E193" s="14">
        <f>+'Raw Data - Production'!D198+'Raw Data - Production'!E198+'Raw Data - Production'!F198</f>
        <v>0</v>
      </c>
      <c r="F193" s="15">
        <f>+'Raw Data - Production'!G198+'Raw Data - Production'!H198+'Raw Data - Production'!I198</f>
        <v>0</v>
      </c>
      <c r="G193" s="16">
        <f>+'Raw Data - Production'!K198+'Raw Data - Production'!L198+'Raw Data - Packing'!I198</f>
        <v>0</v>
      </c>
      <c r="H193" s="15">
        <f>+'Raw Data - Production'!N198+'Raw Data - Production'!O198+'Raw Data - Production'!P198+'Raw Data - Packing'!L198</f>
        <v>0</v>
      </c>
      <c r="I193" s="66">
        <f>SUMIF('Raw Data - Packing'!A:A,A193,'Raw Data - Packing'!D:D)</f>
        <v>0</v>
      </c>
      <c r="J193" s="15">
        <f>SUMIF('Raw Data - Packing'!A:A,A193,'Raw Data - Packing'!F:F)</f>
        <v>0</v>
      </c>
      <c r="K193" s="20"/>
      <c r="Q193" s="83">
        <f t="shared" si="11"/>
        <v>0</v>
      </c>
    </row>
    <row r="194" spans="1:17" x14ac:dyDescent="0.35">
      <c r="A194" s="4"/>
      <c r="C194" s="6" t="str">
        <f t="shared" si="10"/>
        <v>January</v>
      </c>
      <c r="E194" s="14">
        <f>+'Raw Data - Production'!D199+'Raw Data - Production'!E199+'Raw Data - Production'!F199</f>
        <v>0</v>
      </c>
      <c r="F194" s="15">
        <f>+'Raw Data - Production'!G199+'Raw Data - Production'!H199+'Raw Data - Production'!I199</f>
        <v>0</v>
      </c>
      <c r="G194" s="16">
        <f>+'Raw Data - Production'!K199+'Raw Data - Production'!L199+'Raw Data - Packing'!I199</f>
        <v>0</v>
      </c>
      <c r="H194" s="15">
        <f>+'Raw Data - Production'!N199+'Raw Data - Production'!O199+'Raw Data - Production'!P199+'Raw Data - Packing'!L199</f>
        <v>0</v>
      </c>
      <c r="I194" s="66">
        <f>SUMIF('Raw Data - Packing'!A:A,A194,'Raw Data - Packing'!D:D)</f>
        <v>0</v>
      </c>
      <c r="J194" s="15">
        <f>SUMIF('Raw Data - Packing'!A:A,A194,'Raw Data - Packing'!F:F)</f>
        <v>0</v>
      </c>
      <c r="K194" s="20"/>
      <c r="Q194" s="83">
        <f t="shared" si="11"/>
        <v>0</v>
      </c>
    </row>
    <row r="195" spans="1:17" x14ac:dyDescent="0.35">
      <c r="A195" s="4"/>
      <c r="C195" s="6" t="str">
        <f t="shared" ref="C195:C258" si="13">+TEXT(A195,"mmmm")</f>
        <v>January</v>
      </c>
      <c r="E195" s="14">
        <f>+'Raw Data - Production'!D200+'Raw Data - Production'!E200+'Raw Data - Production'!F200</f>
        <v>0</v>
      </c>
      <c r="F195" s="15">
        <f>+'Raw Data - Production'!G200+'Raw Data - Production'!H200+'Raw Data - Production'!I200</f>
        <v>0</v>
      </c>
      <c r="G195" s="16">
        <f>+'Raw Data - Production'!K200+'Raw Data - Production'!L200+'Raw Data - Packing'!I200</f>
        <v>0</v>
      </c>
      <c r="H195" s="15">
        <f>+'Raw Data - Production'!N200+'Raw Data - Production'!O200+'Raw Data - Production'!P200+'Raw Data - Packing'!L200</f>
        <v>0</v>
      </c>
      <c r="I195" s="66">
        <f>SUMIF('Raw Data - Packing'!A:A,A195,'Raw Data - Packing'!D:D)</f>
        <v>0</v>
      </c>
      <c r="J195" s="15">
        <f>SUMIF('Raw Data - Packing'!A:A,A195,'Raw Data - Packing'!F:F)</f>
        <v>0</v>
      </c>
      <c r="K195" s="20"/>
      <c r="Q195" s="83">
        <f t="shared" ref="Q195:Q258" si="14">I195+J195</f>
        <v>0</v>
      </c>
    </row>
    <row r="196" spans="1:17" x14ac:dyDescent="0.35">
      <c r="A196" s="4"/>
      <c r="C196" s="6" t="str">
        <f t="shared" si="13"/>
        <v>January</v>
      </c>
      <c r="E196" s="14">
        <f>+'Raw Data - Production'!D201+'Raw Data - Production'!E201+'Raw Data - Production'!F201</f>
        <v>0</v>
      </c>
      <c r="F196" s="15">
        <f>+'Raw Data - Production'!G201+'Raw Data - Production'!H201+'Raw Data - Production'!I201</f>
        <v>0</v>
      </c>
      <c r="G196" s="16">
        <f>+'Raw Data - Production'!K201+'Raw Data - Production'!L201+'Raw Data - Packing'!I201</f>
        <v>0</v>
      </c>
      <c r="H196" s="15">
        <f>+'Raw Data - Production'!N201+'Raw Data - Production'!O201+'Raw Data - Production'!P201+'Raw Data - Packing'!L201</f>
        <v>0</v>
      </c>
      <c r="I196" s="66">
        <f>SUMIF('Raw Data - Packing'!A:A,A196,'Raw Data - Packing'!D:D)</f>
        <v>0</v>
      </c>
      <c r="J196" s="15">
        <f>SUMIF('Raw Data - Packing'!A:A,A196,'Raw Data - Packing'!F:F)</f>
        <v>0</v>
      </c>
      <c r="K196" s="20"/>
      <c r="Q196" s="83">
        <f t="shared" si="14"/>
        <v>0</v>
      </c>
    </row>
    <row r="197" spans="1:17" x14ac:dyDescent="0.35">
      <c r="A197" s="4"/>
      <c r="C197" s="6" t="str">
        <f t="shared" si="13"/>
        <v>January</v>
      </c>
      <c r="E197" s="14">
        <f>+'Raw Data - Production'!D202+'Raw Data - Production'!E202+'Raw Data - Production'!F202</f>
        <v>0</v>
      </c>
      <c r="F197" s="15">
        <f>+'Raw Data - Production'!G202+'Raw Data - Production'!H202+'Raw Data - Production'!I202</f>
        <v>0</v>
      </c>
      <c r="G197" s="16">
        <f>+'Raw Data - Production'!K202+'Raw Data - Production'!L202+'Raw Data - Packing'!I202</f>
        <v>0</v>
      </c>
      <c r="H197" s="15">
        <f>+'Raw Data - Production'!N202+'Raw Data - Production'!O202+'Raw Data - Production'!P202+'Raw Data - Packing'!L202</f>
        <v>0</v>
      </c>
      <c r="I197" s="66">
        <f>SUMIF('Raw Data - Packing'!A:A,A197,'Raw Data - Packing'!D:D)</f>
        <v>0</v>
      </c>
      <c r="J197" s="15">
        <f>SUMIF('Raw Data - Packing'!A:A,A197,'Raw Data - Packing'!F:F)</f>
        <v>0</v>
      </c>
      <c r="K197" s="20"/>
      <c r="Q197" s="83">
        <f t="shared" si="14"/>
        <v>0</v>
      </c>
    </row>
    <row r="198" spans="1:17" x14ac:dyDescent="0.35">
      <c r="A198" s="4"/>
      <c r="C198" s="6" t="str">
        <f t="shared" si="13"/>
        <v>January</v>
      </c>
      <c r="E198" s="14">
        <f>+'Raw Data - Production'!D203+'Raw Data - Production'!E203+'Raw Data - Production'!F203</f>
        <v>0</v>
      </c>
      <c r="F198" s="15">
        <f>+'Raw Data - Production'!G203+'Raw Data - Production'!H203+'Raw Data - Production'!I203</f>
        <v>0</v>
      </c>
      <c r="G198" s="16">
        <f>+'Raw Data - Production'!K203+'Raw Data - Production'!L203+'Raw Data - Packing'!I203</f>
        <v>0</v>
      </c>
      <c r="H198" s="15">
        <f>+'Raw Data - Production'!N203+'Raw Data - Production'!O203+'Raw Data - Production'!P203+'Raw Data - Packing'!L203</f>
        <v>0</v>
      </c>
      <c r="I198" s="66">
        <f>SUMIF('Raw Data - Packing'!A:A,A198,'Raw Data - Packing'!D:D)</f>
        <v>0</v>
      </c>
      <c r="J198" s="15">
        <f>SUMIF('Raw Data - Packing'!A:A,A198,'Raw Data - Packing'!F:F)</f>
        <v>0</v>
      </c>
      <c r="K198" s="20"/>
      <c r="Q198" s="83">
        <f t="shared" si="14"/>
        <v>0</v>
      </c>
    </row>
    <row r="199" spans="1:17" x14ac:dyDescent="0.35">
      <c r="A199" s="4"/>
      <c r="C199" s="6" t="str">
        <f t="shared" si="13"/>
        <v>January</v>
      </c>
      <c r="E199" s="14">
        <f>+'Raw Data - Production'!D204+'Raw Data - Production'!E204+'Raw Data - Production'!F204</f>
        <v>0</v>
      </c>
      <c r="F199" s="15">
        <f>+'Raw Data - Production'!G204+'Raw Data - Production'!H204+'Raw Data - Production'!I204</f>
        <v>0</v>
      </c>
      <c r="G199" s="16">
        <f>+'Raw Data - Production'!K204+'Raw Data - Production'!L204+'Raw Data - Packing'!I204</f>
        <v>0</v>
      </c>
      <c r="H199" s="15">
        <f>+'Raw Data - Production'!N204+'Raw Data - Production'!O204+'Raw Data - Production'!P204+'Raw Data - Packing'!L204</f>
        <v>0</v>
      </c>
      <c r="I199" s="66">
        <f>SUMIF('Raw Data - Packing'!A:A,A199,'Raw Data - Packing'!D:D)</f>
        <v>0</v>
      </c>
      <c r="J199" s="15">
        <f>SUMIF('Raw Data - Packing'!A:A,A199,'Raw Data - Packing'!F:F)</f>
        <v>0</v>
      </c>
      <c r="K199" s="20"/>
      <c r="Q199" s="83">
        <f t="shared" si="14"/>
        <v>0</v>
      </c>
    </row>
    <row r="200" spans="1:17" x14ac:dyDescent="0.35">
      <c r="A200" s="4"/>
      <c r="C200" s="6" t="str">
        <f t="shared" si="13"/>
        <v>January</v>
      </c>
      <c r="E200" s="14">
        <f>+'Raw Data - Production'!D205+'Raw Data - Production'!E205+'Raw Data - Production'!F205</f>
        <v>0</v>
      </c>
      <c r="F200" s="15">
        <f>+'Raw Data - Production'!G205+'Raw Data - Production'!H205+'Raw Data - Production'!I205</f>
        <v>0</v>
      </c>
      <c r="G200" s="16">
        <f>+'Raw Data - Production'!K205+'Raw Data - Production'!L205+'Raw Data - Packing'!I205</f>
        <v>0</v>
      </c>
      <c r="H200" s="15">
        <f>+'Raw Data - Production'!N205+'Raw Data - Production'!O205+'Raw Data - Production'!P205+'Raw Data - Packing'!L205</f>
        <v>0</v>
      </c>
      <c r="I200" s="66">
        <f>SUMIF('Raw Data - Packing'!A:A,A200,'Raw Data - Packing'!D:D)</f>
        <v>0</v>
      </c>
      <c r="J200" s="15">
        <f>SUMIF('Raw Data - Packing'!A:A,A200,'Raw Data - Packing'!F:F)</f>
        <v>0</v>
      </c>
      <c r="K200" s="20"/>
      <c r="Q200" s="83">
        <f t="shared" si="14"/>
        <v>0</v>
      </c>
    </row>
    <row r="201" spans="1:17" x14ac:dyDescent="0.35">
      <c r="A201" s="4"/>
      <c r="C201" s="6" t="str">
        <f t="shared" si="13"/>
        <v>January</v>
      </c>
      <c r="E201" s="14">
        <f>+'Raw Data - Production'!D206+'Raw Data - Production'!E206+'Raw Data - Production'!F206</f>
        <v>0</v>
      </c>
      <c r="F201" s="15">
        <f>+'Raw Data - Production'!G206+'Raw Data - Production'!H206+'Raw Data - Production'!I206</f>
        <v>0</v>
      </c>
      <c r="G201" s="16">
        <f>+'Raw Data - Production'!K206+'Raw Data - Production'!L206+'Raw Data - Packing'!I206</f>
        <v>0</v>
      </c>
      <c r="H201" s="15">
        <f>+'Raw Data - Production'!N206+'Raw Data - Production'!O206+'Raw Data - Production'!P206+'Raw Data - Packing'!L206</f>
        <v>0</v>
      </c>
      <c r="I201" s="66">
        <f>SUMIF('Raw Data - Packing'!A:A,A201,'Raw Data - Packing'!D:D)</f>
        <v>0</v>
      </c>
      <c r="J201" s="15">
        <f>SUMIF('Raw Data - Packing'!A:A,A201,'Raw Data - Packing'!F:F)</f>
        <v>0</v>
      </c>
      <c r="K201" s="20"/>
      <c r="Q201" s="83">
        <f t="shared" si="14"/>
        <v>0</v>
      </c>
    </row>
    <row r="202" spans="1:17" x14ac:dyDescent="0.35">
      <c r="A202" s="4"/>
      <c r="C202" s="6" t="str">
        <f t="shared" si="13"/>
        <v>January</v>
      </c>
      <c r="E202" s="14">
        <f>+'Raw Data - Production'!D207+'Raw Data - Production'!E207+'Raw Data - Production'!F207</f>
        <v>0</v>
      </c>
      <c r="F202" s="15">
        <f>+'Raw Data - Production'!G207+'Raw Data - Production'!H207+'Raw Data - Production'!I207</f>
        <v>0</v>
      </c>
      <c r="G202" s="16">
        <f>+'Raw Data - Production'!K207+'Raw Data - Production'!L207+'Raw Data - Packing'!I207</f>
        <v>0</v>
      </c>
      <c r="H202" s="15">
        <f>+'Raw Data - Production'!N207+'Raw Data - Production'!O207+'Raw Data - Production'!P207+'Raw Data - Packing'!L207</f>
        <v>0</v>
      </c>
      <c r="I202" s="66">
        <f>SUMIF('Raw Data - Packing'!A:A,A202,'Raw Data - Packing'!D:D)</f>
        <v>0</v>
      </c>
      <c r="J202" s="15">
        <f>SUMIF('Raw Data - Packing'!A:A,A202,'Raw Data - Packing'!F:F)</f>
        <v>0</v>
      </c>
      <c r="K202" s="20"/>
      <c r="Q202" s="83">
        <f t="shared" si="14"/>
        <v>0</v>
      </c>
    </row>
    <row r="203" spans="1:17" x14ac:dyDescent="0.35">
      <c r="A203" s="4"/>
      <c r="C203" s="6" t="str">
        <f t="shared" si="13"/>
        <v>January</v>
      </c>
      <c r="E203" s="14">
        <f>+'Raw Data - Production'!D208+'Raw Data - Production'!E208+'Raw Data - Production'!F208</f>
        <v>0</v>
      </c>
      <c r="F203" s="15">
        <f>+'Raw Data - Production'!G208+'Raw Data - Production'!H208+'Raw Data - Production'!I208</f>
        <v>0</v>
      </c>
      <c r="G203" s="16">
        <f>+'Raw Data - Production'!K208+'Raw Data - Production'!L208+'Raw Data - Packing'!I208</f>
        <v>0</v>
      </c>
      <c r="H203" s="15">
        <f>+'Raw Data - Production'!N208+'Raw Data - Production'!O208+'Raw Data - Production'!P208+'Raw Data - Packing'!L208</f>
        <v>0</v>
      </c>
      <c r="I203" s="66">
        <f>SUMIF('Raw Data - Packing'!A:A,A203,'Raw Data - Packing'!D:D)</f>
        <v>0</v>
      </c>
      <c r="J203" s="15">
        <f>SUMIF('Raw Data - Packing'!A:A,A203,'Raw Data - Packing'!F:F)</f>
        <v>0</v>
      </c>
      <c r="K203" s="20"/>
      <c r="Q203" s="83">
        <f t="shared" si="14"/>
        <v>0</v>
      </c>
    </row>
    <row r="204" spans="1:17" x14ac:dyDescent="0.35">
      <c r="C204" s="6" t="str">
        <f t="shared" si="13"/>
        <v>January</v>
      </c>
      <c r="E204" s="14">
        <f>+'Raw Data - Production'!D209+'Raw Data - Production'!E209+'Raw Data - Production'!F209</f>
        <v>0</v>
      </c>
      <c r="F204" s="15">
        <f>+'Raw Data - Production'!G209+'Raw Data - Production'!H209+'Raw Data - Production'!I209</f>
        <v>0</v>
      </c>
      <c r="G204" s="16">
        <f>+'Raw Data - Production'!K209+'Raw Data - Production'!L209+'Raw Data - Packing'!I209</f>
        <v>0</v>
      </c>
      <c r="H204" s="15">
        <f>+'Raw Data - Production'!N209+'Raw Data - Production'!O209+'Raw Data - Production'!P209+'Raw Data - Packing'!L209</f>
        <v>0</v>
      </c>
      <c r="I204" s="66">
        <f>SUMIF('Raw Data - Packing'!A:A,A204,'Raw Data - Packing'!D:D)</f>
        <v>0</v>
      </c>
      <c r="J204" s="15">
        <f>SUMIF('Raw Data - Packing'!A:A,A204,'Raw Data - Packing'!F:F)</f>
        <v>0</v>
      </c>
      <c r="K204" s="20"/>
      <c r="Q204" s="83">
        <f t="shared" si="14"/>
        <v>0</v>
      </c>
    </row>
    <row r="205" spans="1:17" x14ac:dyDescent="0.35">
      <c r="C205" s="6" t="str">
        <f t="shared" si="13"/>
        <v>January</v>
      </c>
      <c r="E205" s="14">
        <f>+'Raw Data - Production'!D210+'Raw Data - Production'!E210+'Raw Data - Production'!F210</f>
        <v>0</v>
      </c>
      <c r="F205" s="15">
        <f>+'Raw Data - Production'!G210+'Raw Data - Production'!H210+'Raw Data - Production'!I210</f>
        <v>0</v>
      </c>
      <c r="G205" s="16">
        <f>+'Raw Data - Production'!K210+'Raw Data - Production'!L210+'Raw Data - Packing'!I210</f>
        <v>0</v>
      </c>
      <c r="H205" s="15">
        <f>+'Raw Data - Production'!N210+'Raw Data - Production'!O210+'Raw Data - Production'!P210+'Raw Data - Packing'!L210</f>
        <v>0</v>
      </c>
      <c r="I205" s="66">
        <f>SUMIF('Raw Data - Packing'!A:A,A205,'Raw Data - Packing'!D:D)</f>
        <v>0</v>
      </c>
      <c r="J205" s="15">
        <f>SUMIF('Raw Data - Packing'!A:A,A205,'Raw Data - Packing'!F:F)</f>
        <v>0</v>
      </c>
      <c r="K205" s="20"/>
      <c r="Q205" s="83">
        <f t="shared" si="14"/>
        <v>0</v>
      </c>
    </row>
    <row r="206" spans="1:17" x14ac:dyDescent="0.35">
      <c r="C206" s="6" t="str">
        <f t="shared" si="13"/>
        <v>January</v>
      </c>
      <c r="E206" s="14">
        <f>+'Raw Data - Production'!D211+'Raw Data - Production'!E211+'Raw Data - Production'!F211</f>
        <v>0</v>
      </c>
      <c r="F206" s="15">
        <f>+'Raw Data - Production'!G211+'Raw Data - Production'!H211+'Raw Data - Production'!I211</f>
        <v>0</v>
      </c>
      <c r="G206" s="16">
        <f>+'Raw Data - Production'!K211+'Raw Data - Production'!L211+'Raw Data - Packing'!I211</f>
        <v>0</v>
      </c>
      <c r="H206" s="15">
        <f>+'Raw Data - Production'!N211+'Raw Data - Production'!O211+'Raw Data - Production'!P211+'Raw Data - Packing'!L211</f>
        <v>0</v>
      </c>
      <c r="I206" s="66">
        <f>SUMIF('Raw Data - Packing'!A:A,A206,'Raw Data - Packing'!D:D)</f>
        <v>0</v>
      </c>
      <c r="J206" s="15">
        <f>SUMIF('Raw Data - Packing'!A:A,A206,'Raw Data - Packing'!F:F)</f>
        <v>0</v>
      </c>
      <c r="K206" s="20"/>
      <c r="Q206" s="83">
        <f t="shared" si="14"/>
        <v>0</v>
      </c>
    </row>
    <row r="207" spans="1:17" x14ac:dyDescent="0.35">
      <c r="C207" s="6" t="str">
        <f t="shared" si="13"/>
        <v>January</v>
      </c>
      <c r="E207" s="14">
        <f>+'Raw Data - Production'!D212+'Raw Data - Production'!E212+'Raw Data - Production'!F212</f>
        <v>0</v>
      </c>
      <c r="F207" s="15">
        <f>+'Raw Data - Production'!G212+'Raw Data - Production'!H212+'Raw Data - Production'!I212</f>
        <v>0</v>
      </c>
      <c r="G207" s="16">
        <f>+'Raw Data - Production'!K212+'Raw Data - Production'!L212+'Raw Data - Packing'!I212</f>
        <v>0</v>
      </c>
      <c r="H207" s="15">
        <f>+'Raw Data - Production'!N212+'Raw Data - Production'!O212+'Raw Data - Production'!P212+'Raw Data - Packing'!L212</f>
        <v>0</v>
      </c>
      <c r="I207" s="66">
        <f>SUMIF('Raw Data - Packing'!A:A,A207,'Raw Data - Packing'!D:D)</f>
        <v>0</v>
      </c>
      <c r="J207" s="15">
        <f>SUMIF('Raw Data - Packing'!A:A,A207,'Raw Data - Packing'!F:F)</f>
        <v>0</v>
      </c>
      <c r="K207" s="20"/>
      <c r="Q207" s="83">
        <f t="shared" si="14"/>
        <v>0</v>
      </c>
    </row>
    <row r="208" spans="1:17" x14ac:dyDescent="0.35">
      <c r="C208" s="6" t="str">
        <f t="shared" si="13"/>
        <v>January</v>
      </c>
      <c r="E208" s="14">
        <f>+'Raw Data - Production'!D213+'Raw Data - Production'!E213+'Raw Data - Production'!F213</f>
        <v>0</v>
      </c>
      <c r="F208" s="15">
        <f>+'Raw Data - Production'!G213+'Raw Data - Production'!H213+'Raw Data - Production'!I213</f>
        <v>0</v>
      </c>
      <c r="G208" s="16">
        <f>+'Raw Data - Production'!K213+'Raw Data - Production'!L213+'Raw Data - Packing'!I213</f>
        <v>0</v>
      </c>
      <c r="H208" s="15">
        <f>+'Raw Data - Production'!N213+'Raw Data - Production'!O213+'Raw Data - Production'!P213+'Raw Data - Packing'!L213</f>
        <v>0</v>
      </c>
      <c r="I208" s="66">
        <f>SUMIF('Raw Data - Packing'!A:A,A208,'Raw Data - Packing'!D:D)</f>
        <v>0</v>
      </c>
      <c r="J208" s="15">
        <f>SUMIF('Raw Data - Packing'!A:A,A208,'Raw Data - Packing'!F:F)</f>
        <v>0</v>
      </c>
      <c r="K208" s="20"/>
      <c r="Q208" s="83">
        <f t="shared" si="14"/>
        <v>0</v>
      </c>
    </row>
    <row r="209" spans="3:17" x14ac:dyDescent="0.35">
      <c r="C209" s="6" t="str">
        <f t="shared" si="13"/>
        <v>January</v>
      </c>
      <c r="E209" s="14">
        <f>+'Raw Data - Production'!D214+'Raw Data - Production'!E214+'Raw Data - Production'!F214</f>
        <v>0</v>
      </c>
      <c r="F209" s="15">
        <f>+'Raw Data - Production'!G214+'Raw Data - Production'!H214+'Raw Data - Production'!I214</f>
        <v>0</v>
      </c>
      <c r="G209" s="16">
        <f>+'Raw Data - Production'!K214+'Raw Data - Production'!L214+'Raw Data - Packing'!I214</f>
        <v>0</v>
      </c>
      <c r="H209" s="15">
        <f>+'Raw Data - Production'!N214+'Raw Data - Production'!O214+'Raw Data - Production'!P214+'Raw Data - Packing'!L214</f>
        <v>0</v>
      </c>
      <c r="I209" s="66">
        <f>SUMIF('Raw Data - Packing'!A:A,A209,'Raw Data - Packing'!D:D)</f>
        <v>0</v>
      </c>
      <c r="J209" s="15">
        <f>SUMIF('Raw Data - Packing'!A:A,A209,'Raw Data - Packing'!F:F)</f>
        <v>0</v>
      </c>
      <c r="K209" s="20"/>
      <c r="Q209" s="83">
        <f t="shared" si="14"/>
        <v>0</v>
      </c>
    </row>
    <row r="210" spans="3:17" x14ac:dyDescent="0.35">
      <c r="C210" s="6" t="str">
        <f t="shared" si="13"/>
        <v>January</v>
      </c>
      <c r="E210" s="14">
        <f>+'Raw Data - Production'!D215+'Raw Data - Production'!E215+'Raw Data - Production'!F215</f>
        <v>0</v>
      </c>
      <c r="F210" s="15">
        <f>+'Raw Data - Production'!G215+'Raw Data - Production'!H215+'Raw Data - Production'!I215</f>
        <v>0</v>
      </c>
      <c r="G210" s="16">
        <f>+'Raw Data - Production'!K215+'Raw Data - Production'!L215+'Raw Data - Packing'!I215</f>
        <v>0</v>
      </c>
      <c r="H210" s="15">
        <f>+'Raw Data - Production'!N215+'Raw Data - Production'!O215+'Raw Data - Production'!P215+'Raw Data - Packing'!L215</f>
        <v>0</v>
      </c>
      <c r="I210" s="66">
        <f>SUMIF('Raw Data - Packing'!A:A,A210,'Raw Data - Packing'!D:D)</f>
        <v>0</v>
      </c>
      <c r="J210" s="15">
        <f>SUMIF('Raw Data - Packing'!A:A,A210,'Raw Data - Packing'!F:F)</f>
        <v>0</v>
      </c>
      <c r="K210" s="20"/>
      <c r="Q210" s="83">
        <f t="shared" si="14"/>
        <v>0</v>
      </c>
    </row>
    <row r="211" spans="3:17" x14ac:dyDescent="0.35">
      <c r="C211" s="6" t="str">
        <f t="shared" si="13"/>
        <v>January</v>
      </c>
      <c r="E211" s="14">
        <f>+'Raw Data - Production'!D216+'Raw Data - Production'!E216+'Raw Data - Production'!F216</f>
        <v>0</v>
      </c>
      <c r="F211" s="15">
        <f>+'Raw Data - Production'!G216+'Raw Data - Production'!H216+'Raw Data - Production'!I216</f>
        <v>0</v>
      </c>
      <c r="G211" s="16">
        <f>+'Raw Data - Production'!K216+'Raw Data - Production'!L216+'Raw Data - Packing'!I216</f>
        <v>0</v>
      </c>
      <c r="H211" s="15">
        <f>+'Raw Data - Production'!N216+'Raw Data - Production'!O216+'Raw Data - Production'!P216+'Raw Data - Packing'!L216</f>
        <v>0</v>
      </c>
      <c r="I211" s="66">
        <f>SUMIF('Raw Data - Packing'!A:A,A211,'Raw Data - Packing'!D:D)</f>
        <v>0</v>
      </c>
      <c r="J211" s="15">
        <f>SUMIF('Raw Data - Packing'!A:A,A211,'Raw Data - Packing'!F:F)</f>
        <v>0</v>
      </c>
      <c r="K211" s="20"/>
      <c r="Q211" s="83">
        <f t="shared" si="14"/>
        <v>0</v>
      </c>
    </row>
    <row r="212" spans="3:17" x14ac:dyDescent="0.35">
      <c r="C212" s="6" t="str">
        <f t="shared" si="13"/>
        <v>January</v>
      </c>
      <c r="E212" s="14">
        <f>+'Raw Data - Production'!D217+'Raw Data - Production'!E217+'Raw Data - Production'!F217</f>
        <v>0</v>
      </c>
      <c r="F212" s="15">
        <f>+'Raw Data - Production'!G217+'Raw Data - Production'!H217+'Raw Data - Production'!I217</f>
        <v>0</v>
      </c>
      <c r="G212" s="16">
        <f>+'Raw Data - Production'!K217+'Raw Data - Production'!L217+'Raw Data - Packing'!I217</f>
        <v>0</v>
      </c>
      <c r="H212" s="15">
        <f>+'Raw Data - Production'!N217+'Raw Data - Production'!O217+'Raw Data - Production'!P217+'Raw Data - Packing'!L217</f>
        <v>0</v>
      </c>
      <c r="I212" s="66">
        <f>SUMIF('Raw Data - Packing'!A:A,A212,'Raw Data - Packing'!D:D)</f>
        <v>0</v>
      </c>
      <c r="J212" s="15">
        <f>SUMIF('Raw Data - Packing'!A:A,A212,'Raw Data - Packing'!F:F)</f>
        <v>0</v>
      </c>
      <c r="K212" s="20"/>
      <c r="Q212" s="83">
        <f t="shared" si="14"/>
        <v>0</v>
      </c>
    </row>
    <row r="213" spans="3:17" x14ac:dyDescent="0.35">
      <c r="C213" s="6" t="str">
        <f t="shared" si="13"/>
        <v>January</v>
      </c>
      <c r="E213" s="14">
        <f>+'Raw Data - Production'!D218+'Raw Data - Production'!E218+'Raw Data - Production'!F218</f>
        <v>0</v>
      </c>
      <c r="F213" s="15">
        <f>+'Raw Data - Production'!G218+'Raw Data - Production'!H218+'Raw Data - Production'!I218</f>
        <v>0</v>
      </c>
      <c r="G213" s="16">
        <f>+'Raw Data - Production'!K218+'Raw Data - Production'!L218+'Raw Data - Packing'!I218</f>
        <v>0</v>
      </c>
      <c r="H213" s="15">
        <f>+'Raw Data - Production'!N218+'Raw Data - Production'!O218+'Raw Data - Production'!P218+'Raw Data - Packing'!L218</f>
        <v>0</v>
      </c>
      <c r="I213" s="66">
        <f>SUMIF('Raw Data - Packing'!A:A,A213,'Raw Data - Packing'!D:D)</f>
        <v>0</v>
      </c>
      <c r="J213" s="15">
        <f>SUMIF('Raw Data - Packing'!A:A,A213,'Raw Data - Packing'!F:F)</f>
        <v>0</v>
      </c>
      <c r="K213" s="20"/>
      <c r="Q213" s="83">
        <f t="shared" si="14"/>
        <v>0</v>
      </c>
    </row>
    <row r="214" spans="3:17" x14ac:dyDescent="0.35">
      <c r="C214" s="6" t="str">
        <f t="shared" si="13"/>
        <v>January</v>
      </c>
      <c r="E214" s="14">
        <f>+'Raw Data - Production'!D219+'Raw Data - Production'!E219+'Raw Data - Production'!F219</f>
        <v>0</v>
      </c>
      <c r="F214" s="15">
        <f>+'Raw Data - Production'!G219+'Raw Data - Production'!H219+'Raw Data - Production'!I219</f>
        <v>0</v>
      </c>
      <c r="G214" s="16">
        <f>+'Raw Data - Production'!K219+'Raw Data - Production'!L219+'Raw Data - Packing'!I219</f>
        <v>0</v>
      </c>
      <c r="H214" s="15">
        <f>+'Raw Data - Production'!N219+'Raw Data - Production'!O219+'Raw Data - Production'!P219+'Raw Data - Packing'!L219</f>
        <v>0</v>
      </c>
      <c r="I214" s="66">
        <f>SUMIF('Raw Data - Packing'!A:A,A214,'Raw Data - Packing'!D:D)</f>
        <v>0</v>
      </c>
      <c r="J214" s="15">
        <f>SUMIF('Raw Data - Packing'!A:A,A214,'Raw Data - Packing'!F:F)</f>
        <v>0</v>
      </c>
      <c r="K214" s="20"/>
      <c r="Q214" s="83">
        <f t="shared" si="14"/>
        <v>0</v>
      </c>
    </row>
    <row r="215" spans="3:17" x14ac:dyDescent="0.35">
      <c r="C215" s="6" t="str">
        <f t="shared" si="13"/>
        <v>January</v>
      </c>
      <c r="E215" s="14">
        <f>+'Raw Data - Production'!D220+'Raw Data - Production'!E220+'Raw Data - Production'!F220</f>
        <v>0</v>
      </c>
      <c r="F215" s="15">
        <f>+'Raw Data - Production'!G220+'Raw Data - Production'!H220+'Raw Data - Production'!I220</f>
        <v>0</v>
      </c>
      <c r="G215" s="16">
        <f>+'Raw Data - Production'!K220+'Raw Data - Production'!L220+'Raw Data - Packing'!I220</f>
        <v>0</v>
      </c>
      <c r="H215" s="15">
        <f>+'Raw Data - Production'!N220+'Raw Data - Production'!O220+'Raw Data - Production'!P220+'Raw Data - Packing'!L220</f>
        <v>0</v>
      </c>
      <c r="I215" s="66">
        <f>SUMIF('Raw Data - Packing'!A:A,A215,'Raw Data - Packing'!D:D)</f>
        <v>0</v>
      </c>
      <c r="J215" s="15">
        <f>SUMIF('Raw Data - Packing'!A:A,A215,'Raw Data - Packing'!F:F)</f>
        <v>0</v>
      </c>
      <c r="K215" s="20"/>
      <c r="Q215" s="83">
        <f t="shared" si="14"/>
        <v>0</v>
      </c>
    </row>
    <row r="216" spans="3:17" x14ac:dyDescent="0.35">
      <c r="C216" s="6" t="str">
        <f t="shared" si="13"/>
        <v>January</v>
      </c>
      <c r="E216" s="14">
        <f>+'Raw Data - Production'!D221+'Raw Data - Production'!E221+'Raw Data - Production'!F221</f>
        <v>0</v>
      </c>
      <c r="F216" s="15">
        <f>+'Raw Data - Production'!G221+'Raw Data - Production'!H221+'Raw Data - Production'!I221</f>
        <v>0</v>
      </c>
      <c r="G216" s="16">
        <f>+'Raw Data - Production'!K221+'Raw Data - Production'!L221+'Raw Data - Packing'!I221</f>
        <v>0</v>
      </c>
      <c r="H216" s="15">
        <f>+'Raw Data - Production'!N221+'Raw Data - Production'!O221+'Raw Data - Production'!P221+'Raw Data - Packing'!L221</f>
        <v>0</v>
      </c>
      <c r="I216" s="66">
        <f>SUMIF('Raw Data - Packing'!A:A,A216,'Raw Data - Packing'!D:D)</f>
        <v>0</v>
      </c>
      <c r="J216" s="15">
        <f>SUMIF('Raw Data - Packing'!A:A,A216,'Raw Data - Packing'!F:F)</f>
        <v>0</v>
      </c>
      <c r="K216" s="20"/>
      <c r="Q216" s="83">
        <f t="shared" si="14"/>
        <v>0</v>
      </c>
    </row>
    <row r="217" spans="3:17" x14ac:dyDescent="0.35">
      <c r="C217" s="6" t="str">
        <f t="shared" si="13"/>
        <v>January</v>
      </c>
      <c r="E217" s="14">
        <f>+'Raw Data - Production'!D222+'Raw Data - Production'!E222+'Raw Data - Production'!F222</f>
        <v>0</v>
      </c>
      <c r="F217" s="15">
        <f>+'Raw Data - Production'!G222+'Raw Data - Production'!H222+'Raw Data - Production'!I222</f>
        <v>0</v>
      </c>
      <c r="G217" s="16">
        <f>+'Raw Data - Production'!K222+'Raw Data - Production'!L222+'Raw Data - Packing'!I222</f>
        <v>0</v>
      </c>
      <c r="H217" s="15">
        <f>+'Raw Data - Production'!N222+'Raw Data - Production'!O222+'Raw Data - Production'!P222+'Raw Data - Packing'!L222</f>
        <v>0</v>
      </c>
      <c r="I217" s="66">
        <f>SUMIF('Raw Data - Packing'!A:A,A217,'Raw Data - Packing'!D:D)</f>
        <v>0</v>
      </c>
      <c r="J217" s="15">
        <f>SUMIF('Raw Data - Packing'!A:A,A217,'Raw Data - Packing'!F:F)</f>
        <v>0</v>
      </c>
      <c r="K217" s="20"/>
      <c r="Q217" s="83">
        <f t="shared" si="14"/>
        <v>0</v>
      </c>
    </row>
    <row r="218" spans="3:17" x14ac:dyDescent="0.35">
      <c r="C218" s="6" t="str">
        <f t="shared" si="13"/>
        <v>January</v>
      </c>
      <c r="E218" s="14">
        <f>+'Raw Data - Production'!D223+'Raw Data - Production'!E223+'Raw Data - Production'!F223</f>
        <v>0</v>
      </c>
      <c r="F218" s="15">
        <f>+'Raw Data - Production'!G223+'Raw Data - Production'!H223+'Raw Data - Production'!I223</f>
        <v>0</v>
      </c>
      <c r="G218" s="16">
        <f>+'Raw Data - Production'!K223+'Raw Data - Production'!L223+'Raw Data - Packing'!I223</f>
        <v>0</v>
      </c>
      <c r="H218" s="15">
        <f>+'Raw Data - Production'!N223+'Raw Data - Production'!O223+'Raw Data - Production'!P223+'Raw Data - Packing'!L223</f>
        <v>0</v>
      </c>
      <c r="I218" s="66">
        <f>SUMIF('Raw Data - Packing'!A:A,A218,'Raw Data - Packing'!D:D)</f>
        <v>0</v>
      </c>
      <c r="J218" s="15">
        <f>SUMIF('Raw Data - Packing'!A:A,A218,'Raw Data - Packing'!F:F)</f>
        <v>0</v>
      </c>
      <c r="K218" s="20"/>
      <c r="Q218" s="83">
        <f t="shared" si="14"/>
        <v>0</v>
      </c>
    </row>
    <row r="219" spans="3:17" x14ac:dyDescent="0.35">
      <c r="C219" s="6" t="str">
        <f t="shared" si="13"/>
        <v>January</v>
      </c>
      <c r="E219" s="14">
        <f>+'Raw Data - Production'!D224+'Raw Data - Production'!E224+'Raw Data - Production'!F224</f>
        <v>0</v>
      </c>
      <c r="F219" s="15">
        <f>+'Raw Data - Production'!G224+'Raw Data - Production'!H224+'Raw Data - Production'!I224</f>
        <v>0</v>
      </c>
      <c r="G219" s="16">
        <f>+'Raw Data - Production'!K224+'Raw Data - Production'!L224+'Raw Data - Packing'!I224</f>
        <v>0</v>
      </c>
      <c r="H219" s="15">
        <f>+'Raw Data - Production'!N224+'Raw Data - Production'!O224+'Raw Data - Production'!P224+'Raw Data - Packing'!L224</f>
        <v>0</v>
      </c>
      <c r="I219" s="66">
        <f>SUMIF('Raw Data - Packing'!A:A,A219,'Raw Data - Packing'!D:D)</f>
        <v>0</v>
      </c>
      <c r="J219" s="15">
        <f>SUMIF('Raw Data - Packing'!A:A,A219,'Raw Data - Packing'!F:F)</f>
        <v>0</v>
      </c>
      <c r="K219" s="20"/>
      <c r="Q219" s="83">
        <f t="shared" si="14"/>
        <v>0</v>
      </c>
    </row>
    <row r="220" spans="3:17" x14ac:dyDescent="0.35">
      <c r="C220" s="6" t="str">
        <f t="shared" si="13"/>
        <v>January</v>
      </c>
      <c r="E220" s="14">
        <f>+'Raw Data - Production'!D225+'Raw Data - Production'!E225+'Raw Data - Production'!F225</f>
        <v>0</v>
      </c>
      <c r="F220" s="15">
        <f>+'Raw Data - Production'!G225+'Raw Data - Production'!H225+'Raw Data - Production'!I225</f>
        <v>0</v>
      </c>
      <c r="G220" s="16">
        <f>+'Raw Data - Production'!K225+'Raw Data - Production'!L225+'Raw Data - Packing'!I225</f>
        <v>0</v>
      </c>
      <c r="H220" s="15">
        <f>+'Raw Data - Production'!N225+'Raw Data - Production'!O225+'Raw Data - Production'!P225+'Raw Data - Packing'!L225</f>
        <v>0</v>
      </c>
      <c r="I220" s="66">
        <f>SUMIF('Raw Data - Packing'!A:A,A220,'Raw Data - Packing'!D:D)</f>
        <v>0</v>
      </c>
      <c r="J220" s="15">
        <f>SUMIF('Raw Data - Packing'!A:A,A220,'Raw Data - Packing'!F:F)</f>
        <v>0</v>
      </c>
      <c r="K220" s="20"/>
      <c r="Q220" s="83">
        <f t="shared" si="14"/>
        <v>0</v>
      </c>
    </row>
    <row r="221" spans="3:17" x14ac:dyDescent="0.35">
      <c r="C221" s="6" t="str">
        <f t="shared" si="13"/>
        <v>January</v>
      </c>
      <c r="E221" s="14">
        <f>+'Raw Data - Production'!D226+'Raw Data - Production'!E226+'Raw Data - Production'!F226</f>
        <v>0</v>
      </c>
      <c r="F221" s="15">
        <f>+'Raw Data - Production'!G226+'Raw Data - Production'!H226+'Raw Data - Production'!I226</f>
        <v>0</v>
      </c>
      <c r="G221" s="16">
        <f>+'Raw Data - Production'!K226+'Raw Data - Production'!L226+'Raw Data - Packing'!I226</f>
        <v>0</v>
      </c>
      <c r="H221" s="15">
        <f>+'Raw Data - Production'!N226+'Raw Data - Production'!O226+'Raw Data - Production'!P226+'Raw Data - Packing'!L226</f>
        <v>0</v>
      </c>
      <c r="I221" s="66">
        <f>SUMIF('Raw Data - Packing'!A:A,A221,'Raw Data - Packing'!D:D)</f>
        <v>0</v>
      </c>
      <c r="J221" s="15">
        <f>SUMIF('Raw Data - Packing'!A:A,A221,'Raw Data - Packing'!F:F)</f>
        <v>0</v>
      </c>
      <c r="K221" s="20"/>
      <c r="Q221" s="83">
        <f t="shared" si="14"/>
        <v>0</v>
      </c>
    </row>
    <row r="222" spans="3:17" x14ac:dyDescent="0.35">
      <c r="C222" s="6" t="str">
        <f t="shared" si="13"/>
        <v>January</v>
      </c>
      <c r="E222" s="14">
        <f>+'Raw Data - Production'!D227+'Raw Data - Production'!E227+'Raw Data - Production'!F227</f>
        <v>0</v>
      </c>
      <c r="F222" s="15">
        <f>+'Raw Data - Production'!G227+'Raw Data - Production'!H227+'Raw Data - Production'!I227</f>
        <v>0</v>
      </c>
      <c r="G222" s="16">
        <f>+'Raw Data - Production'!K227+'Raw Data - Production'!L227+'Raw Data - Packing'!I227</f>
        <v>0</v>
      </c>
      <c r="H222" s="15">
        <f>+'Raw Data - Production'!N227+'Raw Data - Production'!O227+'Raw Data - Production'!P227+'Raw Data - Packing'!L227</f>
        <v>0</v>
      </c>
      <c r="I222" s="66">
        <f>SUMIF('Raw Data - Packing'!A:A,A222,'Raw Data - Packing'!D:D)</f>
        <v>0</v>
      </c>
      <c r="J222" s="15">
        <f>SUMIF('Raw Data - Packing'!A:A,A222,'Raw Data - Packing'!F:F)</f>
        <v>0</v>
      </c>
      <c r="K222" s="20"/>
      <c r="Q222" s="83">
        <f t="shared" si="14"/>
        <v>0</v>
      </c>
    </row>
    <row r="223" spans="3:17" x14ac:dyDescent="0.35">
      <c r="C223" s="6" t="str">
        <f t="shared" si="13"/>
        <v>January</v>
      </c>
      <c r="E223" s="14">
        <f>+'Raw Data - Production'!D228+'Raw Data - Production'!E228+'Raw Data - Production'!F228</f>
        <v>0</v>
      </c>
      <c r="F223" s="15">
        <f>+'Raw Data - Production'!G228+'Raw Data - Production'!H228+'Raw Data - Production'!I228</f>
        <v>0</v>
      </c>
      <c r="G223" s="16">
        <f>+'Raw Data - Production'!K228+'Raw Data - Production'!L228+'Raw Data - Packing'!I228</f>
        <v>0</v>
      </c>
      <c r="H223" s="15">
        <f>+'Raw Data - Production'!N228+'Raw Data - Production'!O228+'Raw Data - Production'!P228+'Raw Data - Packing'!L228</f>
        <v>0</v>
      </c>
      <c r="I223" s="66">
        <f>SUMIF('Raw Data - Packing'!A:A,A223,'Raw Data - Packing'!D:D)</f>
        <v>0</v>
      </c>
      <c r="J223" s="15">
        <f>SUMIF('Raw Data - Packing'!A:A,A223,'Raw Data - Packing'!F:F)</f>
        <v>0</v>
      </c>
      <c r="K223" s="20"/>
      <c r="Q223" s="83">
        <f t="shared" si="14"/>
        <v>0</v>
      </c>
    </row>
    <row r="224" spans="3:17" x14ac:dyDescent="0.35">
      <c r="C224" s="6" t="str">
        <f t="shared" si="13"/>
        <v>January</v>
      </c>
      <c r="E224" s="14">
        <f>+'Raw Data - Production'!D229+'Raw Data - Production'!E229+'Raw Data - Production'!F229</f>
        <v>0</v>
      </c>
      <c r="F224" s="15">
        <f>+'Raw Data - Production'!G229+'Raw Data - Production'!H229+'Raw Data - Production'!I229</f>
        <v>0</v>
      </c>
      <c r="G224" s="16">
        <f>+'Raw Data - Production'!K229+'Raw Data - Production'!L229+'Raw Data - Packing'!I229</f>
        <v>0</v>
      </c>
      <c r="H224" s="15">
        <f>+'Raw Data - Production'!N229+'Raw Data - Production'!O229+'Raw Data - Production'!P229+'Raw Data - Packing'!L229</f>
        <v>0</v>
      </c>
      <c r="I224" s="66">
        <f>SUMIF('Raw Data - Packing'!A:A,A224,'Raw Data - Packing'!D:D)</f>
        <v>0</v>
      </c>
      <c r="J224" s="15">
        <f>SUMIF('Raw Data - Packing'!A:A,A224,'Raw Data - Packing'!F:F)</f>
        <v>0</v>
      </c>
      <c r="K224" s="20"/>
      <c r="Q224" s="83">
        <f t="shared" si="14"/>
        <v>0</v>
      </c>
    </row>
    <row r="225" spans="3:17" x14ac:dyDescent="0.35">
      <c r="C225" s="6" t="str">
        <f t="shared" si="13"/>
        <v>January</v>
      </c>
      <c r="E225" s="14">
        <f>+'Raw Data - Production'!D230+'Raw Data - Production'!E230+'Raw Data - Production'!F230</f>
        <v>0</v>
      </c>
      <c r="F225" s="15">
        <f>+'Raw Data - Production'!G230+'Raw Data - Production'!H230+'Raw Data - Production'!I230</f>
        <v>0</v>
      </c>
      <c r="G225" s="16">
        <f>+'Raw Data - Production'!K230+'Raw Data - Production'!L230+'Raw Data - Packing'!I230</f>
        <v>0</v>
      </c>
      <c r="H225" s="15">
        <f>+'Raw Data - Production'!N230+'Raw Data - Production'!O230+'Raw Data - Production'!P230+'Raw Data - Packing'!L230</f>
        <v>0</v>
      </c>
      <c r="I225" s="66">
        <f>SUMIF('Raw Data - Packing'!A:A,A225,'Raw Data - Packing'!D:D)</f>
        <v>0</v>
      </c>
      <c r="J225" s="15">
        <f>SUMIF('Raw Data - Packing'!A:A,A225,'Raw Data - Packing'!F:F)</f>
        <v>0</v>
      </c>
      <c r="K225" s="20"/>
      <c r="Q225" s="83">
        <f t="shared" si="14"/>
        <v>0</v>
      </c>
    </row>
    <row r="226" spans="3:17" x14ac:dyDescent="0.35">
      <c r="C226" s="6" t="str">
        <f t="shared" si="13"/>
        <v>January</v>
      </c>
      <c r="E226" s="14">
        <f>+'Raw Data - Production'!D231+'Raw Data - Production'!E231+'Raw Data - Production'!F231</f>
        <v>0</v>
      </c>
      <c r="F226" s="15">
        <f>+'Raw Data - Production'!G231+'Raw Data - Production'!H231+'Raw Data - Production'!I231</f>
        <v>0</v>
      </c>
      <c r="G226" s="16">
        <f>+'Raw Data - Production'!K231+'Raw Data - Production'!L231+'Raw Data - Packing'!I231</f>
        <v>0</v>
      </c>
      <c r="H226" s="15">
        <f>+'Raw Data - Production'!N231+'Raw Data - Production'!O231+'Raw Data - Production'!P231+'Raw Data - Packing'!L231</f>
        <v>0</v>
      </c>
      <c r="I226" s="66">
        <f>SUMIF('Raw Data - Packing'!A:A,A226,'Raw Data - Packing'!D:D)</f>
        <v>0</v>
      </c>
      <c r="J226" s="15">
        <f>SUMIF('Raw Data - Packing'!A:A,A226,'Raw Data - Packing'!F:F)</f>
        <v>0</v>
      </c>
      <c r="K226" s="20"/>
      <c r="Q226" s="83">
        <f t="shared" si="14"/>
        <v>0</v>
      </c>
    </row>
    <row r="227" spans="3:17" x14ac:dyDescent="0.35">
      <c r="C227" s="6" t="str">
        <f t="shared" si="13"/>
        <v>January</v>
      </c>
      <c r="E227" s="14">
        <f>+'Raw Data - Production'!D232+'Raw Data - Production'!E232+'Raw Data - Production'!F232</f>
        <v>0</v>
      </c>
      <c r="F227" s="15">
        <f>+'Raw Data - Production'!G232+'Raw Data - Production'!H232+'Raw Data - Production'!I232</f>
        <v>0</v>
      </c>
      <c r="G227" s="16">
        <f>+'Raw Data - Production'!K232+'Raw Data - Production'!L232+'Raw Data - Packing'!I232</f>
        <v>0</v>
      </c>
      <c r="H227" s="15">
        <f>+'Raw Data - Production'!N232+'Raw Data - Production'!O232+'Raw Data - Production'!P232+'Raw Data - Packing'!L232</f>
        <v>0</v>
      </c>
      <c r="I227" s="66">
        <f>SUMIF('Raw Data - Packing'!A:A,A227,'Raw Data - Packing'!D:D)</f>
        <v>0</v>
      </c>
      <c r="J227" s="15">
        <f>SUMIF('Raw Data - Packing'!A:A,A227,'Raw Data - Packing'!F:F)</f>
        <v>0</v>
      </c>
      <c r="K227" s="20"/>
      <c r="Q227" s="83">
        <f t="shared" si="14"/>
        <v>0</v>
      </c>
    </row>
    <row r="228" spans="3:17" x14ac:dyDescent="0.35">
      <c r="C228" s="6" t="str">
        <f t="shared" si="13"/>
        <v>January</v>
      </c>
      <c r="E228" s="14">
        <f>+'Raw Data - Production'!D233+'Raw Data - Production'!E233+'Raw Data - Production'!F233</f>
        <v>0</v>
      </c>
      <c r="F228" s="15">
        <f>+'Raw Data - Production'!G233+'Raw Data - Production'!H233+'Raw Data - Production'!I233</f>
        <v>0</v>
      </c>
      <c r="G228" s="16">
        <f>+'Raw Data - Production'!K233+'Raw Data - Production'!L233+'Raw Data - Packing'!I233</f>
        <v>0</v>
      </c>
      <c r="H228" s="15">
        <f>+'Raw Data - Production'!N233+'Raw Data - Production'!O233+'Raw Data - Production'!P233+'Raw Data - Packing'!L233</f>
        <v>0</v>
      </c>
      <c r="I228" s="66">
        <f>SUMIF('Raw Data - Packing'!A:A,A228,'Raw Data - Packing'!D:D)</f>
        <v>0</v>
      </c>
      <c r="J228" s="15">
        <f>SUMIF('Raw Data - Packing'!A:A,A228,'Raw Data - Packing'!F:F)</f>
        <v>0</v>
      </c>
      <c r="K228" s="20"/>
      <c r="Q228" s="83">
        <f t="shared" si="14"/>
        <v>0</v>
      </c>
    </row>
    <row r="229" spans="3:17" x14ac:dyDescent="0.35">
      <c r="C229" s="6" t="str">
        <f t="shared" si="13"/>
        <v>January</v>
      </c>
      <c r="E229" s="14">
        <f>+'Raw Data - Production'!D234+'Raw Data - Production'!E234+'Raw Data - Production'!F234</f>
        <v>0</v>
      </c>
      <c r="F229" s="15">
        <f>+'Raw Data - Production'!G234+'Raw Data - Production'!H234+'Raw Data - Production'!I234</f>
        <v>0</v>
      </c>
      <c r="G229" s="16">
        <f>+'Raw Data - Production'!K234+'Raw Data - Production'!L234+'Raw Data - Packing'!I234</f>
        <v>0</v>
      </c>
      <c r="H229" s="15">
        <f>+'Raw Data - Production'!N234+'Raw Data - Production'!O234+'Raw Data - Production'!P234+'Raw Data - Packing'!L234</f>
        <v>0</v>
      </c>
      <c r="I229" s="66">
        <f>SUMIF('Raw Data - Packing'!A:A,A229,'Raw Data - Packing'!D:D)</f>
        <v>0</v>
      </c>
      <c r="J229" s="15">
        <f>SUMIF('Raw Data - Packing'!A:A,A229,'Raw Data - Packing'!F:F)</f>
        <v>0</v>
      </c>
      <c r="K229" s="20"/>
      <c r="Q229" s="83">
        <f t="shared" si="14"/>
        <v>0</v>
      </c>
    </row>
    <row r="230" spans="3:17" x14ac:dyDescent="0.35">
      <c r="C230" s="6" t="str">
        <f t="shared" si="13"/>
        <v>January</v>
      </c>
      <c r="E230" s="14">
        <f>+'Raw Data - Production'!D235+'Raw Data - Production'!E235+'Raw Data - Production'!F235</f>
        <v>0</v>
      </c>
      <c r="F230" s="15">
        <f>+'Raw Data - Production'!G235+'Raw Data - Production'!H235+'Raw Data - Production'!I235</f>
        <v>0</v>
      </c>
      <c r="G230" s="16">
        <f>+'Raw Data - Production'!K235+'Raw Data - Production'!L235+'Raw Data - Packing'!I235</f>
        <v>0</v>
      </c>
      <c r="H230" s="15">
        <f>+'Raw Data - Production'!N235+'Raw Data - Production'!O235+'Raw Data - Production'!P235+'Raw Data - Packing'!L235</f>
        <v>0</v>
      </c>
      <c r="I230" s="66">
        <f>SUMIF('Raw Data - Packing'!A:A,A230,'Raw Data - Packing'!D:D)</f>
        <v>0</v>
      </c>
      <c r="J230" s="15">
        <f>SUMIF('Raw Data - Packing'!A:A,A230,'Raw Data - Packing'!F:F)</f>
        <v>0</v>
      </c>
      <c r="K230" s="20"/>
      <c r="Q230" s="83">
        <f t="shared" si="14"/>
        <v>0</v>
      </c>
    </row>
    <row r="231" spans="3:17" x14ac:dyDescent="0.35">
      <c r="C231" s="6" t="str">
        <f t="shared" si="13"/>
        <v>January</v>
      </c>
      <c r="E231" s="14">
        <f>+'Raw Data - Production'!D236+'Raw Data - Production'!E236+'Raw Data - Production'!F236</f>
        <v>0</v>
      </c>
      <c r="F231" s="15">
        <f>+'Raw Data - Production'!G236+'Raw Data - Production'!H236+'Raw Data - Production'!I236</f>
        <v>0</v>
      </c>
      <c r="G231" s="16">
        <f>+'Raw Data - Production'!K236+'Raw Data - Production'!L236+'Raw Data - Packing'!I236</f>
        <v>0</v>
      </c>
      <c r="H231" s="15">
        <f>+'Raw Data - Production'!N236+'Raw Data - Production'!O236+'Raw Data - Production'!P236+'Raw Data - Packing'!L236</f>
        <v>0</v>
      </c>
      <c r="I231" s="66">
        <f>SUMIF('Raw Data - Packing'!A:A,A231,'Raw Data - Packing'!D:D)</f>
        <v>0</v>
      </c>
      <c r="J231" s="15">
        <f>SUMIF('Raw Data - Packing'!A:A,A231,'Raw Data - Packing'!F:F)</f>
        <v>0</v>
      </c>
      <c r="K231" s="20"/>
      <c r="Q231" s="83">
        <f t="shared" si="14"/>
        <v>0</v>
      </c>
    </row>
    <row r="232" spans="3:17" x14ac:dyDescent="0.35">
      <c r="C232" s="6" t="str">
        <f t="shared" si="13"/>
        <v>January</v>
      </c>
      <c r="E232" s="14">
        <f>+'Raw Data - Production'!D237+'Raw Data - Production'!E237+'Raw Data - Production'!F237</f>
        <v>0</v>
      </c>
      <c r="F232" s="15">
        <f>+'Raw Data - Production'!G237+'Raw Data - Production'!H237+'Raw Data - Production'!I237</f>
        <v>0</v>
      </c>
      <c r="G232" s="16">
        <f>+'Raw Data - Production'!K237+'Raw Data - Production'!L237+'Raw Data - Packing'!I237</f>
        <v>0</v>
      </c>
      <c r="H232" s="15">
        <f>+'Raw Data - Production'!N237+'Raw Data - Production'!O237+'Raw Data - Production'!P237+'Raw Data - Packing'!L237</f>
        <v>0</v>
      </c>
      <c r="I232" s="66">
        <f>SUMIF('Raw Data - Packing'!A:A,A232,'Raw Data - Packing'!D:D)</f>
        <v>0</v>
      </c>
      <c r="J232" s="15">
        <f>SUMIF('Raw Data - Packing'!A:A,A232,'Raw Data - Packing'!F:F)</f>
        <v>0</v>
      </c>
      <c r="K232" s="20"/>
      <c r="Q232" s="83">
        <f t="shared" si="14"/>
        <v>0</v>
      </c>
    </row>
    <row r="233" spans="3:17" x14ac:dyDescent="0.35">
      <c r="C233" s="6" t="str">
        <f t="shared" si="13"/>
        <v>January</v>
      </c>
      <c r="E233" s="14">
        <f>+'Raw Data - Production'!D238+'Raw Data - Production'!E238+'Raw Data - Production'!F238</f>
        <v>0</v>
      </c>
      <c r="F233" s="15">
        <f>+'Raw Data - Production'!G238+'Raw Data - Production'!H238+'Raw Data - Production'!I238</f>
        <v>0</v>
      </c>
      <c r="G233" s="16">
        <f>+'Raw Data - Production'!K238+'Raw Data - Production'!L238+'Raw Data - Packing'!I238</f>
        <v>0</v>
      </c>
      <c r="H233" s="15">
        <f>+'Raw Data - Production'!N238+'Raw Data - Production'!O238+'Raw Data - Production'!P238+'Raw Data - Packing'!L238</f>
        <v>0</v>
      </c>
      <c r="I233" s="66">
        <f>SUMIF('Raw Data - Packing'!A:A,A233,'Raw Data - Packing'!D:D)</f>
        <v>0</v>
      </c>
      <c r="J233" s="15">
        <f>SUMIF('Raw Data - Packing'!A:A,A233,'Raw Data - Packing'!F:F)</f>
        <v>0</v>
      </c>
      <c r="K233" s="20"/>
      <c r="Q233" s="83">
        <f t="shared" si="14"/>
        <v>0</v>
      </c>
    </row>
    <row r="234" spans="3:17" x14ac:dyDescent="0.35">
      <c r="C234" s="6" t="str">
        <f t="shared" si="13"/>
        <v>January</v>
      </c>
      <c r="E234" s="14">
        <f>+'Raw Data - Production'!D239+'Raw Data - Production'!E239+'Raw Data - Production'!F239</f>
        <v>0</v>
      </c>
      <c r="F234" s="15">
        <f>+'Raw Data - Production'!G239+'Raw Data - Production'!H239+'Raw Data - Production'!I239</f>
        <v>0</v>
      </c>
      <c r="G234" s="16">
        <f>+'Raw Data - Production'!K239+'Raw Data - Production'!L239+'Raw Data - Packing'!I239</f>
        <v>0</v>
      </c>
      <c r="H234" s="15">
        <f>+'Raw Data - Production'!N239+'Raw Data - Production'!O239+'Raw Data - Production'!P239+'Raw Data - Packing'!L239</f>
        <v>0</v>
      </c>
      <c r="I234" s="66">
        <f>SUMIF('Raw Data - Packing'!A:A,A234,'Raw Data - Packing'!D:D)</f>
        <v>0</v>
      </c>
      <c r="J234" s="15">
        <f>SUMIF('Raw Data - Packing'!A:A,A234,'Raw Data - Packing'!F:F)</f>
        <v>0</v>
      </c>
      <c r="K234" s="20"/>
      <c r="Q234" s="83">
        <f t="shared" si="14"/>
        <v>0</v>
      </c>
    </row>
    <row r="235" spans="3:17" x14ac:dyDescent="0.35">
      <c r="C235" s="6" t="str">
        <f t="shared" si="13"/>
        <v>January</v>
      </c>
      <c r="E235" s="14">
        <f>+'Raw Data - Production'!D240+'Raw Data - Production'!E240+'Raw Data - Production'!F240</f>
        <v>0</v>
      </c>
      <c r="F235" s="15">
        <f>+'Raw Data - Production'!G240+'Raw Data - Production'!H240+'Raw Data - Production'!I240</f>
        <v>0</v>
      </c>
      <c r="G235" s="16">
        <f>+'Raw Data - Production'!K240+'Raw Data - Production'!L240+'Raw Data - Packing'!I240</f>
        <v>0</v>
      </c>
      <c r="H235" s="15">
        <f>+'Raw Data - Production'!N240+'Raw Data - Production'!O240+'Raw Data - Production'!P240+'Raw Data - Packing'!L240</f>
        <v>0</v>
      </c>
      <c r="I235" s="66">
        <f>SUMIF('Raw Data - Packing'!A:A,A235,'Raw Data - Packing'!D:D)</f>
        <v>0</v>
      </c>
      <c r="J235" s="15">
        <f>SUMIF('Raw Data - Packing'!A:A,A235,'Raw Data - Packing'!F:F)</f>
        <v>0</v>
      </c>
      <c r="K235" s="20"/>
      <c r="Q235" s="83">
        <f t="shared" si="14"/>
        <v>0</v>
      </c>
    </row>
    <row r="236" spans="3:17" x14ac:dyDescent="0.35">
      <c r="C236" s="6" t="str">
        <f t="shared" si="13"/>
        <v>January</v>
      </c>
      <c r="E236" s="14">
        <f>+'Raw Data - Production'!D241+'Raw Data - Production'!E241+'Raw Data - Production'!F241</f>
        <v>0</v>
      </c>
      <c r="F236" s="15">
        <f>+'Raw Data - Production'!G241+'Raw Data - Production'!H241+'Raw Data - Production'!I241</f>
        <v>0</v>
      </c>
      <c r="G236" s="16">
        <f>+'Raw Data - Production'!K241+'Raw Data - Production'!L241+'Raw Data - Packing'!I241</f>
        <v>0</v>
      </c>
      <c r="H236" s="15">
        <f>+'Raw Data - Production'!N241+'Raw Data - Production'!O241+'Raw Data - Production'!P241+'Raw Data - Packing'!L241</f>
        <v>0</v>
      </c>
      <c r="I236" s="66">
        <f>SUMIF('Raw Data - Packing'!A:A,A236,'Raw Data - Packing'!D:D)</f>
        <v>0</v>
      </c>
      <c r="J236" s="15">
        <f>SUMIF('Raw Data - Packing'!A:A,A236,'Raw Data - Packing'!F:F)</f>
        <v>0</v>
      </c>
      <c r="K236" s="20"/>
      <c r="Q236" s="83">
        <f t="shared" si="14"/>
        <v>0</v>
      </c>
    </row>
    <row r="237" spans="3:17" x14ac:dyDescent="0.35">
      <c r="C237" s="6" t="str">
        <f t="shared" si="13"/>
        <v>January</v>
      </c>
      <c r="E237" s="14">
        <f>+'Raw Data - Production'!D242+'Raw Data - Production'!E242+'Raw Data - Production'!F242</f>
        <v>0</v>
      </c>
      <c r="F237" s="15">
        <f>+'Raw Data - Production'!G242+'Raw Data - Production'!H242+'Raw Data - Production'!I242</f>
        <v>0</v>
      </c>
      <c r="G237" s="16">
        <f>+'Raw Data - Production'!K242+'Raw Data - Production'!L242+'Raw Data - Packing'!I242</f>
        <v>0</v>
      </c>
      <c r="H237" s="15">
        <f>+'Raw Data - Production'!N242+'Raw Data - Production'!O242+'Raw Data - Production'!P242+'Raw Data - Packing'!L242</f>
        <v>0</v>
      </c>
      <c r="I237" s="66">
        <f>SUMIF('Raw Data - Packing'!A:A,A237,'Raw Data - Packing'!D:D)</f>
        <v>0</v>
      </c>
      <c r="J237" s="15">
        <f>SUMIF('Raw Data - Packing'!A:A,A237,'Raw Data - Packing'!F:F)</f>
        <v>0</v>
      </c>
      <c r="K237" s="20"/>
      <c r="Q237" s="83">
        <f t="shared" si="14"/>
        <v>0</v>
      </c>
    </row>
    <row r="238" spans="3:17" x14ac:dyDescent="0.35">
      <c r="C238" s="6" t="str">
        <f t="shared" si="13"/>
        <v>January</v>
      </c>
      <c r="E238" s="14">
        <f>+'Raw Data - Production'!D243+'Raw Data - Production'!E243+'Raw Data - Production'!F243</f>
        <v>0</v>
      </c>
      <c r="F238" s="15">
        <f>+'Raw Data - Production'!G243+'Raw Data - Production'!H243+'Raw Data - Production'!I243</f>
        <v>0</v>
      </c>
      <c r="G238" s="16">
        <f>+'Raw Data - Production'!K243+'Raw Data - Production'!L243+'Raw Data - Packing'!I243</f>
        <v>0</v>
      </c>
      <c r="H238" s="15">
        <f>+'Raw Data - Production'!N243+'Raw Data - Production'!O243+'Raw Data - Production'!P243+'Raw Data - Packing'!L243</f>
        <v>0</v>
      </c>
      <c r="I238" s="66">
        <f>SUMIF('Raw Data - Packing'!A:A,A238,'Raw Data - Packing'!D:D)</f>
        <v>0</v>
      </c>
      <c r="J238" s="15">
        <f>SUMIF('Raw Data - Packing'!A:A,A238,'Raw Data - Packing'!F:F)</f>
        <v>0</v>
      </c>
      <c r="K238" s="20"/>
      <c r="Q238" s="83">
        <f t="shared" si="14"/>
        <v>0</v>
      </c>
    </row>
    <row r="239" spans="3:17" x14ac:dyDescent="0.35">
      <c r="C239" s="6" t="str">
        <f t="shared" si="13"/>
        <v>January</v>
      </c>
      <c r="E239" s="14">
        <f>+'Raw Data - Production'!D244+'Raw Data - Production'!E244+'Raw Data - Production'!F244</f>
        <v>0</v>
      </c>
      <c r="F239" s="15">
        <f>+'Raw Data - Production'!G244+'Raw Data - Production'!H244+'Raw Data - Production'!I244</f>
        <v>0</v>
      </c>
      <c r="G239" s="16">
        <f>+'Raw Data - Production'!K244+'Raw Data - Production'!L244+'Raw Data - Packing'!I244</f>
        <v>0</v>
      </c>
      <c r="H239" s="15">
        <f>+'Raw Data - Production'!N244+'Raw Data - Production'!O244+'Raw Data - Production'!P244+'Raw Data - Packing'!L244</f>
        <v>0</v>
      </c>
      <c r="I239" s="66">
        <f>SUMIF('Raw Data - Packing'!A:A,A239,'Raw Data - Packing'!D:D)</f>
        <v>0</v>
      </c>
      <c r="J239" s="15">
        <f>SUMIF('Raw Data - Packing'!A:A,A239,'Raw Data - Packing'!F:F)</f>
        <v>0</v>
      </c>
      <c r="K239" s="20"/>
      <c r="Q239" s="83">
        <f t="shared" si="14"/>
        <v>0</v>
      </c>
    </row>
    <row r="240" spans="3:17" x14ac:dyDescent="0.35">
      <c r="C240" s="6" t="str">
        <f t="shared" si="13"/>
        <v>January</v>
      </c>
      <c r="E240" s="14">
        <f>+'Raw Data - Production'!D245+'Raw Data - Production'!E245+'Raw Data - Production'!F245</f>
        <v>0</v>
      </c>
      <c r="F240" s="15">
        <f>+'Raw Data - Production'!G245+'Raw Data - Production'!H245+'Raw Data - Production'!I245</f>
        <v>0</v>
      </c>
      <c r="G240" s="16">
        <f>+'Raw Data - Production'!K245+'Raw Data - Production'!L245+'Raw Data - Packing'!I245</f>
        <v>0</v>
      </c>
      <c r="H240" s="15">
        <f>+'Raw Data - Production'!N245+'Raw Data - Production'!O245+'Raw Data - Production'!P245+'Raw Data - Packing'!L245</f>
        <v>0</v>
      </c>
      <c r="I240" s="66">
        <f>SUMIF('Raw Data - Packing'!A:A,A240,'Raw Data - Packing'!D:D)</f>
        <v>0</v>
      </c>
      <c r="J240" s="15">
        <f>SUMIF('Raw Data - Packing'!A:A,A240,'Raw Data - Packing'!F:F)</f>
        <v>0</v>
      </c>
      <c r="K240" s="20"/>
      <c r="Q240" s="83">
        <f t="shared" si="14"/>
        <v>0</v>
      </c>
    </row>
    <row r="241" spans="3:17" x14ac:dyDescent="0.35">
      <c r="C241" s="6" t="str">
        <f t="shared" si="13"/>
        <v>January</v>
      </c>
      <c r="E241" s="14">
        <f>+'Raw Data - Production'!D246+'Raw Data - Production'!E246+'Raw Data - Production'!F246</f>
        <v>0</v>
      </c>
      <c r="F241" s="15">
        <f>+'Raw Data - Production'!G246+'Raw Data - Production'!H246+'Raw Data - Production'!I246</f>
        <v>0</v>
      </c>
      <c r="G241" s="16">
        <f>+'Raw Data - Production'!K246+'Raw Data - Production'!L246+'Raw Data - Packing'!I246</f>
        <v>0</v>
      </c>
      <c r="H241" s="15">
        <f>+'Raw Data - Production'!N246+'Raw Data - Production'!O246+'Raw Data - Production'!P246+'Raw Data - Packing'!L246</f>
        <v>0</v>
      </c>
      <c r="I241" s="66">
        <f>SUMIF('Raw Data - Packing'!A:A,A241,'Raw Data - Packing'!D:D)</f>
        <v>0</v>
      </c>
      <c r="J241" s="15">
        <f>SUMIF('Raw Data - Packing'!A:A,A241,'Raw Data - Packing'!F:F)</f>
        <v>0</v>
      </c>
      <c r="K241" s="20"/>
      <c r="Q241" s="83">
        <f t="shared" si="14"/>
        <v>0</v>
      </c>
    </row>
    <row r="242" spans="3:17" x14ac:dyDescent="0.35">
      <c r="C242" s="6" t="str">
        <f t="shared" si="13"/>
        <v>January</v>
      </c>
      <c r="E242" s="14">
        <f>+'Raw Data - Production'!D247+'Raw Data - Production'!E247+'Raw Data - Production'!F247</f>
        <v>0</v>
      </c>
      <c r="F242" s="15">
        <f>+'Raw Data - Production'!G247+'Raw Data - Production'!H247+'Raw Data - Production'!I247</f>
        <v>0</v>
      </c>
      <c r="G242" s="16">
        <f>+'Raw Data - Production'!K247+'Raw Data - Production'!L247+'Raw Data - Packing'!I247</f>
        <v>0</v>
      </c>
      <c r="H242" s="15">
        <f>+'Raw Data - Production'!N247+'Raw Data - Production'!O247+'Raw Data - Production'!P247+'Raw Data - Packing'!L247</f>
        <v>0</v>
      </c>
      <c r="I242" s="66">
        <f>SUMIF('Raw Data - Packing'!A:A,A242,'Raw Data - Packing'!D:D)</f>
        <v>0</v>
      </c>
      <c r="J242" s="15">
        <f>SUMIF('Raw Data - Packing'!A:A,A242,'Raw Data - Packing'!F:F)</f>
        <v>0</v>
      </c>
      <c r="K242" s="20"/>
      <c r="Q242" s="83">
        <f t="shared" si="14"/>
        <v>0</v>
      </c>
    </row>
    <row r="243" spans="3:17" x14ac:dyDescent="0.35">
      <c r="C243" s="6" t="str">
        <f t="shared" si="13"/>
        <v>January</v>
      </c>
      <c r="E243" s="14">
        <f>+'Raw Data - Production'!D248+'Raw Data - Production'!E248+'Raw Data - Production'!F248</f>
        <v>0</v>
      </c>
      <c r="F243" s="15">
        <f>+'Raw Data - Production'!G248+'Raw Data - Production'!H248+'Raw Data - Production'!I248</f>
        <v>0</v>
      </c>
      <c r="G243" s="16">
        <f>+'Raw Data - Production'!K248+'Raw Data - Production'!L248+'Raw Data - Packing'!I248</f>
        <v>0</v>
      </c>
      <c r="H243" s="15">
        <f>+'Raw Data - Production'!N248+'Raw Data - Production'!O248+'Raw Data - Production'!P248+'Raw Data - Packing'!L248</f>
        <v>0</v>
      </c>
      <c r="I243" s="66">
        <f>SUMIF('Raw Data - Packing'!A:A,A243,'Raw Data - Packing'!D:D)</f>
        <v>0</v>
      </c>
      <c r="J243" s="15">
        <f>SUMIF('Raw Data - Packing'!A:A,A243,'Raw Data - Packing'!F:F)</f>
        <v>0</v>
      </c>
      <c r="K243" s="20"/>
      <c r="Q243" s="83">
        <f t="shared" si="14"/>
        <v>0</v>
      </c>
    </row>
    <row r="244" spans="3:17" x14ac:dyDescent="0.35">
      <c r="C244" s="6" t="str">
        <f t="shared" si="13"/>
        <v>January</v>
      </c>
      <c r="E244" s="14">
        <f>+'Raw Data - Production'!D249+'Raw Data - Production'!E249+'Raw Data - Production'!F249</f>
        <v>0</v>
      </c>
      <c r="F244" s="15">
        <f>+'Raw Data - Production'!G249+'Raw Data - Production'!H249+'Raw Data - Production'!I249</f>
        <v>0</v>
      </c>
      <c r="G244" s="16">
        <f>+'Raw Data - Production'!K249+'Raw Data - Production'!L249+'Raw Data - Packing'!I249</f>
        <v>0</v>
      </c>
      <c r="H244" s="15">
        <f>+'Raw Data - Production'!N249+'Raw Data - Production'!O249+'Raw Data - Production'!P249+'Raw Data - Packing'!L249</f>
        <v>0</v>
      </c>
      <c r="I244" s="66">
        <f>SUMIF('Raw Data - Packing'!A:A,A244,'Raw Data - Packing'!D:D)</f>
        <v>0</v>
      </c>
      <c r="J244" s="15">
        <f>SUMIF('Raw Data - Packing'!A:A,A244,'Raw Data - Packing'!F:F)</f>
        <v>0</v>
      </c>
      <c r="K244" s="20"/>
      <c r="Q244" s="83">
        <f t="shared" si="14"/>
        <v>0</v>
      </c>
    </row>
    <row r="245" spans="3:17" x14ac:dyDescent="0.35">
      <c r="C245" s="6" t="str">
        <f t="shared" si="13"/>
        <v>January</v>
      </c>
      <c r="E245" s="14">
        <f>+'Raw Data - Production'!D250+'Raw Data - Production'!E250+'Raw Data - Production'!F250</f>
        <v>0</v>
      </c>
      <c r="F245" s="15">
        <f>+'Raw Data - Production'!G250+'Raw Data - Production'!H250+'Raw Data - Production'!I250</f>
        <v>0</v>
      </c>
      <c r="G245" s="16">
        <f>+'Raw Data - Production'!K250+'Raw Data - Production'!L250+'Raw Data - Packing'!I250</f>
        <v>0</v>
      </c>
      <c r="H245" s="15">
        <f>+'Raw Data - Production'!N250+'Raw Data - Production'!O250+'Raw Data - Production'!P250+'Raw Data - Packing'!L250</f>
        <v>0</v>
      </c>
      <c r="I245" s="66">
        <f>SUMIF('Raw Data - Packing'!A:A,A245,'Raw Data - Packing'!D:D)</f>
        <v>0</v>
      </c>
      <c r="J245" s="15">
        <f>SUMIF('Raw Data - Packing'!A:A,A245,'Raw Data - Packing'!F:F)</f>
        <v>0</v>
      </c>
      <c r="K245" s="20"/>
      <c r="Q245" s="83">
        <f t="shared" si="14"/>
        <v>0</v>
      </c>
    </row>
    <row r="246" spans="3:17" x14ac:dyDescent="0.35">
      <c r="C246" s="6" t="str">
        <f t="shared" si="13"/>
        <v>January</v>
      </c>
      <c r="E246" s="14">
        <f>+'Raw Data - Production'!D251+'Raw Data - Production'!E251+'Raw Data - Production'!F251</f>
        <v>0</v>
      </c>
      <c r="F246" s="15">
        <f>+'Raw Data - Production'!G251+'Raw Data - Production'!H251+'Raw Data - Production'!I251</f>
        <v>0</v>
      </c>
      <c r="G246" s="16">
        <f>+'Raw Data - Production'!K251+'Raw Data - Production'!L251+'Raw Data - Packing'!I251</f>
        <v>0</v>
      </c>
      <c r="H246" s="15">
        <f>+'Raw Data - Production'!N251+'Raw Data - Production'!O251+'Raw Data - Production'!P251+'Raw Data - Packing'!L251</f>
        <v>0</v>
      </c>
      <c r="I246" s="66">
        <f>SUMIF('Raw Data - Packing'!A:A,A246,'Raw Data - Packing'!D:D)</f>
        <v>0</v>
      </c>
      <c r="J246" s="15">
        <f>SUMIF('Raw Data - Packing'!A:A,A246,'Raw Data - Packing'!F:F)</f>
        <v>0</v>
      </c>
      <c r="K246" s="20"/>
      <c r="Q246" s="83">
        <f t="shared" si="14"/>
        <v>0</v>
      </c>
    </row>
    <row r="247" spans="3:17" x14ac:dyDescent="0.35">
      <c r="C247" s="6" t="str">
        <f t="shared" si="13"/>
        <v>January</v>
      </c>
      <c r="E247" s="14">
        <f>+'Raw Data - Production'!D252+'Raw Data - Production'!E252+'Raw Data - Production'!F252</f>
        <v>0</v>
      </c>
      <c r="F247" s="15">
        <f>+'Raw Data - Production'!H251+'Raw Data - Production'!G251+'Raw Data - Production'!I251</f>
        <v>0</v>
      </c>
      <c r="G247" s="16">
        <f>+'Raw Data - Production'!K252+'Raw Data - Production'!L252+'Raw Data - Packing'!I252</f>
        <v>0</v>
      </c>
      <c r="H247" s="15">
        <f>+'Raw Data - Production'!N252+'Raw Data - Production'!O252+'Raw Data - Production'!P252+'Raw Data - Packing'!L252</f>
        <v>0</v>
      </c>
      <c r="I247" s="66">
        <f>SUMIF('Raw Data - Packing'!A:A,A247,'Raw Data - Packing'!D:D)</f>
        <v>0</v>
      </c>
      <c r="J247" s="15">
        <f>SUMIF('Raw Data - Packing'!A:A,A247,'Raw Data - Packing'!F:F)</f>
        <v>0</v>
      </c>
      <c r="K247" s="20"/>
      <c r="Q247" s="83">
        <f t="shared" si="14"/>
        <v>0</v>
      </c>
    </row>
    <row r="248" spans="3:17" x14ac:dyDescent="0.35">
      <c r="C248" s="6" t="str">
        <f t="shared" si="13"/>
        <v>January</v>
      </c>
      <c r="E248" s="14">
        <f>+'Raw Data - Production'!D253+'Raw Data - Production'!E253+'Raw Data - Production'!F253</f>
        <v>0</v>
      </c>
      <c r="F248" s="15">
        <f>+'Raw Data - Production'!H252+'Raw Data - Production'!G252+'Raw Data - Production'!I252</f>
        <v>0</v>
      </c>
      <c r="G248" s="16">
        <f>+'Raw Data - Production'!K253+'Raw Data - Production'!L253+'Raw Data - Packing'!I253</f>
        <v>0</v>
      </c>
      <c r="H248" s="15">
        <f>+'Raw Data - Production'!N253+'Raw Data - Production'!O253+'Raw Data - Production'!P253+'Raw Data - Packing'!L253</f>
        <v>0</v>
      </c>
      <c r="I248" s="66">
        <f>SUMIF('Raw Data - Packing'!A:A,A248,'Raw Data - Packing'!D:D)</f>
        <v>0</v>
      </c>
      <c r="J248" s="15">
        <f>SUMIF('Raw Data - Packing'!A:A,A248,'Raw Data - Packing'!F:F)</f>
        <v>0</v>
      </c>
      <c r="K248" s="20"/>
      <c r="Q248" s="83">
        <f t="shared" si="14"/>
        <v>0</v>
      </c>
    </row>
    <row r="249" spans="3:17" x14ac:dyDescent="0.35">
      <c r="C249" s="6" t="str">
        <f t="shared" si="13"/>
        <v>January</v>
      </c>
      <c r="E249" s="14">
        <f>+'Raw Data - Production'!D254+'Raw Data - Production'!E254+'Raw Data - Production'!F254</f>
        <v>0</v>
      </c>
      <c r="F249" s="15">
        <f>+'Raw Data - Production'!H253+'Raw Data - Production'!G253+'Raw Data - Production'!I253</f>
        <v>0</v>
      </c>
      <c r="G249" s="16">
        <f>+'Raw Data - Production'!K254+'Raw Data - Production'!L254+'Raw Data - Packing'!I254</f>
        <v>0</v>
      </c>
      <c r="H249" s="15">
        <f>+'Raw Data - Production'!N254+'Raw Data - Production'!O254+'Raw Data - Production'!P254+'Raw Data - Packing'!L254</f>
        <v>0</v>
      </c>
      <c r="I249" s="66">
        <f>SUMIF('Raw Data - Packing'!A:A,A249,'Raw Data - Packing'!D:D)</f>
        <v>0</v>
      </c>
      <c r="J249" s="15">
        <f>SUMIF('Raw Data - Packing'!A:A,A249,'Raw Data - Packing'!F:F)</f>
        <v>0</v>
      </c>
      <c r="K249" s="20"/>
      <c r="Q249" s="83">
        <f t="shared" si="14"/>
        <v>0</v>
      </c>
    </row>
    <row r="250" spans="3:17" x14ac:dyDescent="0.35">
      <c r="C250" s="6" t="str">
        <f t="shared" si="13"/>
        <v>January</v>
      </c>
      <c r="E250" s="14">
        <f>+'Raw Data - Production'!D255+'Raw Data - Production'!E255+'Raw Data - Production'!F255</f>
        <v>0</v>
      </c>
      <c r="F250" s="15">
        <f>+'Raw Data - Production'!H254+'Raw Data - Production'!G254+'Raw Data - Production'!I254</f>
        <v>0</v>
      </c>
      <c r="G250" s="16">
        <f>+'Raw Data - Production'!K255+'Raw Data - Production'!L255+'Raw Data - Packing'!I255</f>
        <v>0</v>
      </c>
      <c r="H250" s="15">
        <f>+'Raw Data - Production'!N255+'Raw Data - Production'!O255+'Raw Data - Production'!P255+'Raw Data - Packing'!L255</f>
        <v>0</v>
      </c>
      <c r="I250" s="66">
        <f>SUMIF('Raw Data - Packing'!A:A,A250,'Raw Data - Packing'!D:D)</f>
        <v>0</v>
      </c>
      <c r="J250" s="15">
        <f>SUMIF('Raw Data - Packing'!A:A,A250,'Raw Data - Packing'!F:F)</f>
        <v>0</v>
      </c>
      <c r="K250" s="20"/>
      <c r="Q250" s="83">
        <f t="shared" si="14"/>
        <v>0</v>
      </c>
    </row>
    <row r="251" spans="3:17" x14ac:dyDescent="0.35">
      <c r="C251" s="6" t="str">
        <f t="shared" si="13"/>
        <v>January</v>
      </c>
      <c r="E251" s="14">
        <f>+'Raw Data - Production'!D256+'Raw Data - Production'!E256+'Raw Data - Production'!F256</f>
        <v>0</v>
      </c>
      <c r="F251" s="15">
        <f>+'Raw Data - Production'!H255+'Raw Data - Production'!G255+'Raw Data - Production'!I255</f>
        <v>0</v>
      </c>
      <c r="G251" s="16">
        <f>+'Raw Data - Production'!K256+'Raw Data - Production'!L256+'Raw Data - Packing'!I256</f>
        <v>0</v>
      </c>
      <c r="H251" s="15">
        <f>+'Raw Data - Production'!N256+'Raw Data - Production'!O256+'Raw Data - Production'!P256+'Raw Data - Packing'!L256</f>
        <v>0</v>
      </c>
      <c r="I251" s="66">
        <f>SUMIF('Raw Data - Packing'!A:A,A251,'Raw Data - Packing'!D:D)</f>
        <v>0</v>
      </c>
      <c r="J251" s="15">
        <f>SUMIF('Raw Data - Packing'!A:A,A251,'Raw Data - Packing'!F:F)</f>
        <v>0</v>
      </c>
      <c r="K251" s="20"/>
      <c r="Q251" s="83">
        <f t="shared" si="14"/>
        <v>0</v>
      </c>
    </row>
    <row r="252" spans="3:17" x14ac:dyDescent="0.35">
      <c r="C252" s="6" t="str">
        <f t="shared" si="13"/>
        <v>January</v>
      </c>
      <c r="E252" s="14">
        <f>+'Raw Data - Production'!D257+'Raw Data - Production'!E257+'Raw Data - Production'!F257</f>
        <v>0</v>
      </c>
      <c r="F252" s="15">
        <f>+'Raw Data - Production'!H256+'Raw Data - Production'!G256+'Raw Data - Production'!I256</f>
        <v>0</v>
      </c>
      <c r="G252" s="16">
        <f>+'Raw Data - Production'!K257+'Raw Data - Production'!L257+'Raw Data - Packing'!I257</f>
        <v>0</v>
      </c>
      <c r="H252" s="15">
        <f>+'Raw Data - Production'!N257+'Raw Data - Production'!O257+'Raw Data - Production'!P257+'Raw Data - Packing'!L257</f>
        <v>0</v>
      </c>
      <c r="I252" s="66">
        <f>SUMIF('Raw Data - Packing'!A:A,A252,'Raw Data - Packing'!D:D)</f>
        <v>0</v>
      </c>
      <c r="J252" s="15">
        <f>SUMIF('Raw Data - Packing'!A:A,A252,'Raw Data - Packing'!F:F)</f>
        <v>0</v>
      </c>
      <c r="K252" s="20"/>
      <c r="Q252" s="83">
        <f t="shared" si="14"/>
        <v>0</v>
      </c>
    </row>
    <row r="253" spans="3:17" x14ac:dyDescent="0.35">
      <c r="C253" s="6" t="str">
        <f t="shared" si="13"/>
        <v>January</v>
      </c>
      <c r="E253" s="14">
        <f>+'Raw Data - Production'!D258+'Raw Data - Production'!E258+'Raw Data - Production'!F258</f>
        <v>0</v>
      </c>
      <c r="F253" s="15">
        <f>+'Raw Data - Production'!H257+'Raw Data - Production'!G257+'Raw Data - Production'!I257</f>
        <v>0</v>
      </c>
      <c r="G253" s="16">
        <f>+'Raw Data - Production'!K258+'Raw Data - Production'!L258+'Raw Data - Packing'!I258</f>
        <v>0</v>
      </c>
      <c r="H253" s="15">
        <f>+'Raw Data - Production'!N258+'Raw Data - Production'!O258+'Raw Data - Production'!P258+'Raw Data - Packing'!L258</f>
        <v>0</v>
      </c>
      <c r="I253" s="66">
        <f>SUMIF('Raw Data - Packing'!A:A,A253,'Raw Data - Packing'!D:D)</f>
        <v>0</v>
      </c>
      <c r="J253" s="15">
        <f>SUMIF('Raw Data - Packing'!A:A,A253,'Raw Data - Packing'!F:F)</f>
        <v>0</v>
      </c>
      <c r="K253" s="20"/>
      <c r="Q253" s="83">
        <f t="shared" si="14"/>
        <v>0</v>
      </c>
    </row>
    <row r="254" spans="3:17" x14ac:dyDescent="0.35">
      <c r="C254" s="6" t="str">
        <f t="shared" si="13"/>
        <v>January</v>
      </c>
      <c r="E254" s="14">
        <f>+'Raw Data - Production'!D259+'Raw Data - Production'!E259+'Raw Data - Production'!F259</f>
        <v>0</v>
      </c>
      <c r="F254" s="15">
        <f>+'Raw Data - Production'!H258+'Raw Data - Production'!G258+'Raw Data - Production'!I258</f>
        <v>0</v>
      </c>
      <c r="G254" s="16">
        <f>+'Raw Data - Production'!K259+'Raw Data - Production'!L259+'Raw Data - Packing'!I259</f>
        <v>0</v>
      </c>
      <c r="H254" s="15">
        <f>+'Raw Data - Production'!N259+'Raw Data - Production'!O259+'Raw Data - Production'!P259+'Raw Data - Packing'!L259</f>
        <v>0</v>
      </c>
      <c r="I254" s="66">
        <f>SUMIF('Raw Data - Packing'!A:A,A254,'Raw Data - Packing'!D:D)</f>
        <v>0</v>
      </c>
      <c r="J254" s="15">
        <f>SUMIF('Raw Data - Packing'!A:A,A254,'Raw Data - Packing'!F:F)</f>
        <v>0</v>
      </c>
      <c r="K254" s="20"/>
      <c r="Q254" s="83">
        <f t="shared" si="14"/>
        <v>0</v>
      </c>
    </row>
    <row r="255" spans="3:17" x14ac:dyDescent="0.35">
      <c r="C255" s="6" t="str">
        <f t="shared" si="13"/>
        <v>January</v>
      </c>
      <c r="E255" s="14">
        <f>+'Raw Data - Production'!D260+'Raw Data - Production'!E260+'Raw Data - Production'!F260</f>
        <v>0</v>
      </c>
      <c r="F255" s="15">
        <f>+'Raw Data - Production'!H259+'Raw Data - Production'!G259+'Raw Data - Production'!I259</f>
        <v>0</v>
      </c>
      <c r="G255" s="16">
        <f>+'Raw Data - Production'!K260+'Raw Data - Production'!L260+'Raw Data - Packing'!I260</f>
        <v>0</v>
      </c>
      <c r="H255" s="15">
        <f>+'Raw Data - Production'!N260+'Raw Data - Production'!O260+'Raw Data - Production'!P260+'Raw Data - Packing'!L260</f>
        <v>0</v>
      </c>
      <c r="I255" s="66">
        <f>SUMIF('Raw Data - Packing'!A:A,A255,'Raw Data - Packing'!D:D)</f>
        <v>0</v>
      </c>
      <c r="J255" s="15">
        <f>SUMIF('Raw Data - Packing'!A:A,A255,'Raw Data - Packing'!F:F)</f>
        <v>0</v>
      </c>
      <c r="K255" s="20"/>
      <c r="Q255" s="83">
        <f t="shared" si="14"/>
        <v>0</v>
      </c>
    </row>
    <row r="256" spans="3:17" x14ac:dyDescent="0.35">
      <c r="C256" s="6" t="str">
        <f t="shared" si="13"/>
        <v>January</v>
      </c>
      <c r="E256" s="14">
        <f>+'Raw Data - Production'!D261+'Raw Data - Production'!E261+'Raw Data - Production'!F261</f>
        <v>0</v>
      </c>
      <c r="F256" s="15">
        <f>+'Raw Data - Production'!H260+'Raw Data - Production'!G260+'Raw Data - Production'!I260</f>
        <v>0</v>
      </c>
      <c r="G256" s="16">
        <f>+'Raw Data - Production'!K261+'Raw Data - Production'!L261+'Raw Data - Packing'!I261</f>
        <v>0</v>
      </c>
      <c r="H256" s="15">
        <f>+'Raw Data - Production'!N261+'Raw Data - Production'!O261+'Raw Data - Production'!P261+'Raw Data - Packing'!L261</f>
        <v>0</v>
      </c>
      <c r="I256" s="66">
        <f>SUMIF('Raw Data - Packing'!A:A,A256,'Raw Data - Packing'!D:D)</f>
        <v>0</v>
      </c>
      <c r="J256" s="15">
        <f>SUMIF('Raw Data - Packing'!A:A,A256,'Raw Data - Packing'!F:F)</f>
        <v>0</v>
      </c>
      <c r="K256" s="20"/>
      <c r="Q256" s="83">
        <f t="shared" si="14"/>
        <v>0</v>
      </c>
    </row>
    <row r="257" spans="3:17" x14ac:dyDescent="0.35">
      <c r="C257" s="6" t="str">
        <f t="shared" si="13"/>
        <v>January</v>
      </c>
      <c r="E257" s="14">
        <f>+'Raw Data - Production'!D262+'Raw Data - Production'!E262+'Raw Data - Production'!F262</f>
        <v>0</v>
      </c>
      <c r="F257" s="15">
        <f>+'Raw Data - Production'!H261+'Raw Data - Production'!G261+'Raw Data - Production'!I261</f>
        <v>0</v>
      </c>
      <c r="G257" s="16">
        <f>+'Raw Data - Production'!K262+'Raw Data - Production'!L262+'Raw Data - Packing'!I262</f>
        <v>0</v>
      </c>
      <c r="H257" s="15">
        <f>+'Raw Data - Production'!N262+'Raw Data - Production'!O262+'Raw Data - Production'!P262+'Raw Data - Packing'!L262</f>
        <v>0</v>
      </c>
      <c r="I257" s="66">
        <f>SUMIF('Raw Data - Packing'!A:A,A257,'Raw Data - Packing'!D:D)</f>
        <v>0</v>
      </c>
      <c r="J257" s="15">
        <f>SUMIF('Raw Data - Packing'!A:A,A257,'Raw Data - Packing'!F:F)</f>
        <v>0</v>
      </c>
      <c r="K257" s="20"/>
      <c r="Q257" s="83">
        <f t="shared" si="14"/>
        <v>0</v>
      </c>
    </row>
    <row r="258" spans="3:17" x14ac:dyDescent="0.35">
      <c r="C258" s="6" t="str">
        <f t="shared" si="13"/>
        <v>January</v>
      </c>
      <c r="E258" s="14">
        <f>+'Raw Data - Production'!D263+'Raw Data - Production'!E263+'Raw Data - Production'!F263</f>
        <v>0</v>
      </c>
      <c r="F258" s="15">
        <f>+'Raw Data - Production'!H262+'Raw Data - Production'!G262+'Raw Data - Production'!I262</f>
        <v>0</v>
      </c>
      <c r="G258" s="16">
        <f>+'Raw Data - Production'!K263+'Raw Data - Production'!L263+'Raw Data - Packing'!I263</f>
        <v>0</v>
      </c>
      <c r="H258" s="15">
        <f>+'Raw Data - Production'!N263+'Raw Data - Production'!O263+'Raw Data - Production'!P263+'Raw Data - Packing'!L263</f>
        <v>0</v>
      </c>
      <c r="I258" s="66">
        <f>SUMIF('Raw Data - Packing'!A:A,A258,'Raw Data - Packing'!D:D)</f>
        <v>0</v>
      </c>
      <c r="J258" s="15">
        <f>SUMIF('Raw Data - Packing'!A:A,A258,'Raw Data - Packing'!F:F)</f>
        <v>0</v>
      </c>
      <c r="K258" s="20"/>
      <c r="Q258" s="83">
        <f t="shared" si="14"/>
        <v>0</v>
      </c>
    </row>
  </sheetData>
  <autoFilter ref="A1:S258" xr:uid="{652CA3F2-20EC-44AB-8E20-8DE941664A60}"/>
  <pageMargins left="0.7" right="0.7" top="0.75" bottom="0.75" header="0.3" footer="0.3"/>
  <pageSetup paperSize="256" orientation="portrait" horizontalDpi="203" verticalDpi="203"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EF6EA-AB6D-4D5D-A9EA-2C67D7DFA116}">
  <dimension ref="A1:BA336"/>
  <sheetViews>
    <sheetView topLeftCell="B1" zoomScale="85" zoomScaleNormal="85" workbookViewId="0">
      <selection activeCell="S84" sqref="R84:S84"/>
    </sheetView>
  </sheetViews>
  <sheetFormatPr defaultRowHeight="14.5" outlineLevelRow="1" outlineLevelCol="1" x14ac:dyDescent="0.35"/>
  <cols>
    <col min="1" max="1" width="14.6328125" bestFit="1" customWidth="1"/>
    <col min="2" max="2" width="24.81640625" bestFit="1" customWidth="1"/>
    <col min="3" max="3" width="52" bestFit="1" customWidth="1"/>
    <col min="4" max="11" width="9.1796875" hidden="1" customWidth="1" outlineLevel="1"/>
    <col min="12" max="12" width="10.54296875" hidden="1" customWidth="1" outlineLevel="1"/>
    <col min="13" max="13" width="10.453125" hidden="1" customWidth="1" outlineLevel="1"/>
    <col min="14" max="14" width="10.81640625" hidden="1" customWidth="1" outlineLevel="1" collapsed="1"/>
    <col min="15" max="15" width="12.1796875" hidden="1" customWidth="1" outlineLevel="1"/>
    <col min="16" max="16" width="11.7265625" bestFit="1" customWidth="1" collapsed="1"/>
    <col min="17" max="17" width="12.1796875" bestFit="1" customWidth="1"/>
    <col min="18" max="18" width="11.7265625" bestFit="1" customWidth="1"/>
    <col min="19" max="19" width="15.453125" bestFit="1" customWidth="1"/>
    <col min="20" max="20" width="15" bestFit="1" customWidth="1"/>
    <col min="21" max="21" width="14.26953125" bestFit="1" customWidth="1"/>
    <col min="22" max="22" width="14.453125" bestFit="1" customWidth="1"/>
    <col min="23" max="23" width="14.81640625" bestFit="1" customWidth="1"/>
    <col min="24" max="24" width="14.453125" bestFit="1" customWidth="1"/>
    <col min="25" max="28" width="14.81640625" bestFit="1" customWidth="1"/>
    <col min="29" max="30" width="12" bestFit="1" customWidth="1"/>
    <col min="31" max="31" width="11" bestFit="1" customWidth="1"/>
    <col min="32" max="33" width="12" bestFit="1" customWidth="1"/>
    <col min="34" max="34" width="11" bestFit="1" customWidth="1"/>
    <col min="35" max="36" width="12" bestFit="1" customWidth="1"/>
    <col min="37" max="37" width="11" bestFit="1" customWidth="1"/>
    <col min="38" max="39" width="12" bestFit="1" customWidth="1"/>
    <col min="40" max="40" width="11" bestFit="1" customWidth="1"/>
    <col min="41" max="42" width="12" bestFit="1" customWidth="1"/>
    <col min="43" max="43" width="11" bestFit="1" customWidth="1"/>
    <col min="44" max="45" width="12" bestFit="1" customWidth="1"/>
    <col min="46" max="46" width="11" bestFit="1" customWidth="1"/>
    <col min="47" max="48" width="12" bestFit="1" customWidth="1"/>
    <col min="49" max="49" width="11" bestFit="1" customWidth="1"/>
    <col min="50" max="53" width="12" bestFit="1" customWidth="1"/>
  </cols>
  <sheetData>
    <row r="1" spans="2:53" s="76" customFormat="1" x14ac:dyDescent="0.35">
      <c r="D1" s="77">
        <v>5</v>
      </c>
      <c r="E1" s="77">
        <v>4</v>
      </c>
      <c r="F1" s="77">
        <v>4</v>
      </c>
      <c r="G1" s="77">
        <v>5</v>
      </c>
      <c r="H1" s="77">
        <v>4</v>
      </c>
      <c r="I1" s="77">
        <v>4</v>
      </c>
      <c r="J1" s="77">
        <v>5</v>
      </c>
      <c r="K1" s="77">
        <v>4</v>
      </c>
      <c r="L1" s="77">
        <v>4</v>
      </c>
      <c r="M1" s="77">
        <v>5</v>
      </c>
      <c r="N1" s="77">
        <v>4</v>
      </c>
      <c r="O1" s="77">
        <v>4</v>
      </c>
      <c r="P1" s="77">
        <v>5</v>
      </c>
      <c r="Q1" s="77">
        <v>4</v>
      </c>
      <c r="R1" s="77">
        <v>4</v>
      </c>
      <c r="S1" s="77">
        <v>5</v>
      </c>
      <c r="T1" s="77">
        <v>4</v>
      </c>
      <c r="U1" s="77">
        <v>4</v>
      </c>
      <c r="V1" s="77">
        <v>5</v>
      </c>
      <c r="W1" s="77">
        <v>4</v>
      </c>
      <c r="X1" s="77">
        <v>4</v>
      </c>
      <c r="Y1" s="77">
        <v>5</v>
      </c>
      <c r="Z1" s="77">
        <v>4</v>
      </c>
      <c r="AA1" s="77">
        <v>4</v>
      </c>
      <c r="AB1" s="77">
        <f>P1</f>
        <v>5</v>
      </c>
      <c r="AC1" s="77">
        <f t="shared" ref="AC1:BA1" si="0">Q1</f>
        <v>4</v>
      </c>
      <c r="AD1" s="77">
        <f t="shared" si="0"/>
        <v>4</v>
      </c>
      <c r="AE1" s="77">
        <f t="shared" si="0"/>
        <v>5</v>
      </c>
      <c r="AF1" s="77">
        <f t="shared" si="0"/>
        <v>4</v>
      </c>
      <c r="AG1" s="77">
        <f t="shared" si="0"/>
        <v>4</v>
      </c>
      <c r="AH1" s="77">
        <f t="shared" si="0"/>
        <v>5</v>
      </c>
      <c r="AI1" s="77">
        <f t="shared" si="0"/>
        <v>4</v>
      </c>
      <c r="AJ1" s="77">
        <f t="shared" si="0"/>
        <v>4</v>
      </c>
      <c r="AK1" s="77">
        <f t="shared" si="0"/>
        <v>5</v>
      </c>
      <c r="AL1" s="77">
        <f t="shared" si="0"/>
        <v>4</v>
      </c>
      <c r="AM1" s="77">
        <f t="shared" si="0"/>
        <v>4</v>
      </c>
      <c r="AN1" s="77">
        <f t="shared" si="0"/>
        <v>5</v>
      </c>
      <c r="AO1" s="77">
        <f t="shared" si="0"/>
        <v>4</v>
      </c>
      <c r="AP1" s="77">
        <f t="shared" si="0"/>
        <v>4</v>
      </c>
      <c r="AQ1" s="77">
        <f t="shared" si="0"/>
        <v>5</v>
      </c>
      <c r="AR1" s="77">
        <f t="shared" si="0"/>
        <v>4</v>
      </c>
      <c r="AS1" s="77">
        <f t="shared" si="0"/>
        <v>4</v>
      </c>
      <c r="AT1" s="77">
        <f t="shared" si="0"/>
        <v>5</v>
      </c>
      <c r="AU1" s="77">
        <f t="shared" si="0"/>
        <v>4</v>
      </c>
      <c r="AV1" s="77">
        <f t="shared" si="0"/>
        <v>4</v>
      </c>
      <c r="AW1" s="77">
        <f t="shared" si="0"/>
        <v>5</v>
      </c>
      <c r="AX1" s="77">
        <f t="shared" si="0"/>
        <v>4</v>
      </c>
      <c r="AY1" s="77">
        <f t="shared" si="0"/>
        <v>4</v>
      </c>
      <c r="AZ1" s="77">
        <f t="shared" si="0"/>
        <v>5</v>
      </c>
      <c r="BA1" s="77">
        <f t="shared" si="0"/>
        <v>4</v>
      </c>
    </row>
    <row r="2" spans="2:53" x14ac:dyDescent="0.35">
      <c r="D2" s="32">
        <v>2025</v>
      </c>
      <c r="E2" s="32">
        <v>2025</v>
      </c>
      <c r="F2" s="32">
        <v>2025</v>
      </c>
      <c r="G2" s="32">
        <v>2025</v>
      </c>
      <c r="H2" s="32">
        <v>2025</v>
      </c>
      <c r="I2" s="32">
        <v>2025</v>
      </c>
      <c r="J2" s="32">
        <v>2025</v>
      </c>
      <c r="K2" s="32">
        <v>2025</v>
      </c>
      <c r="L2" s="32">
        <v>2025</v>
      </c>
      <c r="M2" s="32">
        <v>2025</v>
      </c>
      <c r="N2" s="32">
        <v>2025</v>
      </c>
      <c r="O2" s="32">
        <v>2025</v>
      </c>
      <c r="P2" s="32">
        <v>2026</v>
      </c>
      <c r="Q2" s="32">
        <v>2026</v>
      </c>
      <c r="R2" s="32">
        <v>2026</v>
      </c>
      <c r="S2" s="32">
        <v>2026</v>
      </c>
      <c r="T2" s="32">
        <v>2026</v>
      </c>
      <c r="U2" s="32">
        <v>2026</v>
      </c>
      <c r="V2" s="32">
        <v>2026</v>
      </c>
      <c r="W2" s="32">
        <v>2026</v>
      </c>
      <c r="X2" s="32">
        <v>2026</v>
      </c>
      <c r="Y2" s="32">
        <v>2026</v>
      </c>
      <c r="Z2" s="32">
        <v>2026</v>
      </c>
      <c r="AA2" s="32">
        <v>2026</v>
      </c>
      <c r="AB2" s="32">
        <f>P2+1</f>
        <v>2027</v>
      </c>
      <c r="AC2" s="32">
        <f t="shared" ref="AC2:BA2" si="1">Q2+1</f>
        <v>2027</v>
      </c>
      <c r="AD2" s="32">
        <f t="shared" si="1"/>
        <v>2027</v>
      </c>
      <c r="AE2" s="32">
        <f t="shared" si="1"/>
        <v>2027</v>
      </c>
      <c r="AF2" s="32">
        <f t="shared" si="1"/>
        <v>2027</v>
      </c>
      <c r="AG2" s="32">
        <f t="shared" si="1"/>
        <v>2027</v>
      </c>
      <c r="AH2" s="32">
        <f t="shared" si="1"/>
        <v>2027</v>
      </c>
      <c r="AI2" s="32">
        <f t="shared" si="1"/>
        <v>2027</v>
      </c>
      <c r="AJ2" s="32">
        <f t="shared" si="1"/>
        <v>2027</v>
      </c>
      <c r="AK2" s="32">
        <f t="shared" si="1"/>
        <v>2027</v>
      </c>
      <c r="AL2" s="32">
        <f t="shared" si="1"/>
        <v>2027</v>
      </c>
      <c r="AM2" s="32">
        <f t="shared" si="1"/>
        <v>2027</v>
      </c>
      <c r="AN2" s="32">
        <f t="shared" si="1"/>
        <v>2028</v>
      </c>
      <c r="AO2" s="32">
        <f t="shared" si="1"/>
        <v>2028</v>
      </c>
      <c r="AP2" s="32">
        <f t="shared" si="1"/>
        <v>2028</v>
      </c>
      <c r="AQ2" s="32">
        <f t="shared" si="1"/>
        <v>2028</v>
      </c>
      <c r="AR2" s="32">
        <f t="shared" si="1"/>
        <v>2028</v>
      </c>
      <c r="AS2" s="32">
        <f t="shared" si="1"/>
        <v>2028</v>
      </c>
      <c r="AT2" s="32">
        <f t="shared" si="1"/>
        <v>2028</v>
      </c>
      <c r="AU2" s="32">
        <f t="shared" si="1"/>
        <v>2028</v>
      </c>
      <c r="AV2" s="32">
        <f t="shared" si="1"/>
        <v>2028</v>
      </c>
      <c r="AW2" s="32">
        <f t="shared" si="1"/>
        <v>2028</v>
      </c>
      <c r="AX2" s="32">
        <f t="shared" si="1"/>
        <v>2028</v>
      </c>
      <c r="AY2" s="32">
        <f t="shared" si="1"/>
        <v>2028</v>
      </c>
      <c r="AZ2" s="32">
        <f t="shared" si="1"/>
        <v>2029</v>
      </c>
      <c r="BA2" s="32">
        <f t="shared" si="1"/>
        <v>2029</v>
      </c>
    </row>
    <row r="3" spans="2:53" x14ac:dyDescent="0.35">
      <c r="D3" s="33">
        <v>1</v>
      </c>
      <c r="E3" s="33">
        <v>2</v>
      </c>
      <c r="F3" s="33">
        <v>3</v>
      </c>
      <c r="G3" s="33">
        <v>4</v>
      </c>
      <c r="H3" s="33">
        <v>5</v>
      </c>
      <c r="I3" s="33">
        <v>6</v>
      </c>
      <c r="J3" s="33">
        <v>7</v>
      </c>
      <c r="K3" s="33">
        <v>8</v>
      </c>
      <c r="L3" s="33">
        <v>9</v>
      </c>
      <c r="M3" s="33">
        <v>10</v>
      </c>
      <c r="N3" s="33">
        <v>11</v>
      </c>
      <c r="O3" s="33">
        <v>12</v>
      </c>
      <c r="P3" s="33">
        <v>1</v>
      </c>
      <c r="Q3" s="33">
        <v>2</v>
      </c>
      <c r="R3" s="33">
        <v>3</v>
      </c>
      <c r="S3" s="33">
        <v>4</v>
      </c>
      <c r="T3" s="33">
        <v>5</v>
      </c>
      <c r="U3" s="33">
        <v>6</v>
      </c>
      <c r="V3" s="33">
        <v>7</v>
      </c>
      <c r="W3" s="33">
        <v>8</v>
      </c>
      <c r="X3" s="33">
        <v>9</v>
      </c>
      <c r="Y3" s="33">
        <v>10</v>
      </c>
      <c r="Z3" s="33">
        <v>11</v>
      </c>
      <c r="AA3" s="33">
        <v>12</v>
      </c>
      <c r="AB3" s="33">
        <f>P3</f>
        <v>1</v>
      </c>
      <c r="AC3" s="33">
        <f t="shared" ref="AC3:BA3" si="2">Q3</f>
        <v>2</v>
      </c>
      <c r="AD3" s="33">
        <f t="shared" si="2"/>
        <v>3</v>
      </c>
      <c r="AE3" s="33">
        <f t="shared" si="2"/>
        <v>4</v>
      </c>
      <c r="AF3" s="33">
        <f t="shared" si="2"/>
        <v>5</v>
      </c>
      <c r="AG3" s="33">
        <f t="shared" si="2"/>
        <v>6</v>
      </c>
      <c r="AH3" s="33">
        <f t="shared" si="2"/>
        <v>7</v>
      </c>
      <c r="AI3" s="33">
        <f t="shared" si="2"/>
        <v>8</v>
      </c>
      <c r="AJ3" s="33">
        <f t="shared" si="2"/>
        <v>9</v>
      </c>
      <c r="AK3" s="33">
        <f t="shared" si="2"/>
        <v>10</v>
      </c>
      <c r="AL3" s="33">
        <f t="shared" si="2"/>
        <v>11</v>
      </c>
      <c r="AM3" s="33">
        <f t="shared" si="2"/>
        <v>12</v>
      </c>
      <c r="AN3" s="33">
        <f t="shared" si="2"/>
        <v>1</v>
      </c>
      <c r="AO3" s="33">
        <f t="shared" si="2"/>
        <v>2</v>
      </c>
      <c r="AP3" s="33">
        <f t="shared" si="2"/>
        <v>3</v>
      </c>
      <c r="AQ3" s="33">
        <f t="shared" si="2"/>
        <v>4</v>
      </c>
      <c r="AR3" s="33">
        <f t="shared" si="2"/>
        <v>5</v>
      </c>
      <c r="AS3" s="33">
        <f t="shared" si="2"/>
        <v>6</v>
      </c>
      <c r="AT3" s="33">
        <f t="shared" si="2"/>
        <v>7</v>
      </c>
      <c r="AU3" s="33">
        <f t="shared" si="2"/>
        <v>8</v>
      </c>
      <c r="AV3" s="33">
        <f t="shared" si="2"/>
        <v>9</v>
      </c>
      <c r="AW3" s="33">
        <f t="shared" si="2"/>
        <v>10</v>
      </c>
      <c r="AX3" s="33">
        <f t="shared" si="2"/>
        <v>11</v>
      </c>
      <c r="AY3" s="33">
        <f t="shared" si="2"/>
        <v>12</v>
      </c>
      <c r="AZ3" s="33">
        <f t="shared" si="2"/>
        <v>1</v>
      </c>
      <c r="BA3" s="33">
        <f t="shared" si="2"/>
        <v>2</v>
      </c>
    </row>
    <row r="4" spans="2:53" x14ac:dyDescent="0.35">
      <c r="B4" s="3" t="s">
        <v>44</v>
      </c>
    </row>
    <row r="5" spans="2:53" x14ac:dyDescent="0.35">
      <c r="C5" t="s">
        <v>45</v>
      </c>
    </row>
    <row r="6" spans="2:53" x14ac:dyDescent="0.35">
      <c r="C6" s="34" t="s">
        <v>46</v>
      </c>
      <c r="M6" s="35">
        <v>1266163.6644104067</v>
      </c>
      <c r="N6" s="35">
        <v>1083547.8056741804</v>
      </c>
      <c r="O6" s="35">
        <v>1057790.4439346965</v>
      </c>
      <c r="P6" s="35">
        <v>1871965.606803996</v>
      </c>
      <c r="Q6" s="35">
        <v>1095184.9199430179</v>
      </c>
      <c r="R6" s="35">
        <v>1185171.7819489613</v>
      </c>
      <c r="S6" s="35">
        <v>1144529.0733811308</v>
      </c>
      <c r="T6" s="35">
        <v>986224.73731600761</v>
      </c>
      <c r="U6" s="35">
        <v>1023030.1171324417</v>
      </c>
      <c r="V6" s="35">
        <v>1116891.479141077</v>
      </c>
      <c r="W6" s="35">
        <v>1017796.724005963</v>
      </c>
      <c r="X6" s="35">
        <v>874056.32756560086</v>
      </c>
      <c r="Y6" s="35">
        <v>1168080.2774983186</v>
      </c>
      <c r="Z6" s="35">
        <v>892164.95306255517</v>
      </c>
      <c r="AA6" s="35">
        <v>859002.45415805734</v>
      </c>
      <c r="AB6" s="35">
        <v>1508206.4543706863</v>
      </c>
      <c r="AC6" s="35">
        <v>1274869.7171042659</v>
      </c>
      <c r="AD6" s="35">
        <v>1111110.1364362505</v>
      </c>
      <c r="AE6" s="35">
        <v>1228432.2481189682</v>
      </c>
      <c r="AF6" s="35">
        <v>1062548.3372848467</v>
      </c>
      <c r="AG6" s="35">
        <v>1067568.3125914931</v>
      </c>
      <c r="AH6" s="35">
        <v>1249581.4891762324</v>
      </c>
      <c r="AI6" s="35">
        <v>1099176.2058173278</v>
      </c>
      <c r="AJ6" s="35">
        <v>1090772.3372848467</v>
      </c>
      <c r="AK6" s="35">
        <v>1334904.3193201865</v>
      </c>
      <c r="AL6" s="35">
        <v>1090772.3372848467</v>
      </c>
      <c r="AM6" s="35">
        <v>1078838.4066659245</v>
      </c>
      <c r="AN6" s="35">
        <v>1337622.9395007673</v>
      </c>
      <c r="AO6" s="35">
        <v>1303093.7171042659</v>
      </c>
      <c r="AP6" s="35">
        <v>1282910.6215663315</v>
      </c>
      <c r="AQ6" s="35">
        <v>1398112.2481189682</v>
      </c>
      <c r="AR6" s="35">
        <v>1225172.3372848467</v>
      </c>
      <c r="AS6" s="35">
        <v>1230192.3125914931</v>
      </c>
      <c r="AT6" s="35">
        <v>1419261.4891762324</v>
      </c>
      <c r="AU6" s="35">
        <v>1270976.690947409</v>
      </c>
      <c r="AV6" s="35">
        <v>1225172.3372848467</v>
      </c>
      <c r="AW6" s="35">
        <v>1469304.3193201865</v>
      </c>
      <c r="AX6" s="35">
        <v>1225172.3372848467</v>
      </c>
      <c r="AY6" s="35">
        <v>1213238.4066659245</v>
      </c>
      <c r="AZ6" s="36">
        <f t="shared" ref="AZ6:BA8" si="3">AY6</f>
        <v>1213238.4066659245</v>
      </c>
      <c r="BA6" s="36">
        <f t="shared" si="3"/>
        <v>1213238.4066659245</v>
      </c>
    </row>
    <row r="7" spans="2:53" x14ac:dyDescent="0.35">
      <c r="C7" s="34" t="s">
        <v>47</v>
      </c>
      <c r="M7" s="35">
        <v>0</v>
      </c>
      <c r="N7" s="35">
        <v>0</v>
      </c>
      <c r="O7" s="35">
        <v>0</v>
      </c>
      <c r="P7" s="35">
        <v>0</v>
      </c>
      <c r="Q7" s="35">
        <v>0</v>
      </c>
      <c r="R7" s="35">
        <v>0</v>
      </c>
      <c r="S7" s="35">
        <v>0</v>
      </c>
      <c r="T7" s="35">
        <v>298139.18821853894</v>
      </c>
      <c r="U7" s="35">
        <v>313206.98821289866</v>
      </c>
      <c r="V7" s="35">
        <v>511309.97642579745</v>
      </c>
      <c r="W7" s="35">
        <v>334705.59410926944</v>
      </c>
      <c r="X7" s="35">
        <v>357539.18821853888</v>
      </c>
      <c r="Y7" s="35">
        <v>412673.59410926944</v>
      </c>
      <c r="Z7" s="35">
        <v>357539.18821853888</v>
      </c>
      <c r="AA7" s="35">
        <v>334705.59410926944</v>
      </c>
      <c r="AB7" s="35">
        <v>435507.18821853894</v>
      </c>
      <c r="AC7" s="35">
        <v>334705.59410926944</v>
      </c>
      <c r="AD7" s="35">
        <v>357539.18821853888</v>
      </c>
      <c r="AE7" s="35">
        <v>412673.59410926944</v>
      </c>
      <c r="AF7" s="35">
        <v>371341.31610558496</v>
      </c>
      <c r="AG7" s="35">
        <v>923700.65805279242</v>
      </c>
      <c r="AH7" s="35">
        <v>1496731.3161055848</v>
      </c>
      <c r="AI7" s="35">
        <v>1194300.6580527923</v>
      </c>
      <c r="AJ7" s="35">
        <v>1852411.4794203821</v>
      </c>
      <c r="AK7" s="35">
        <v>2218106.3261228651</v>
      </c>
      <c r="AL7" s="35">
        <v>1794441.3161055848</v>
      </c>
      <c r="AM7" s="35">
        <v>1770550.6580527923</v>
      </c>
      <c r="AN7" s="35">
        <v>2312972.3701804788</v>
      </c>
      <c r="AO7" s="35">
        <v>1770550.6580527923</v>
      </c>
      <c r="AP7" s="35">
        <v>1852411.4794203821</v>
      </c>
      <c r="AQ7" s="35">
        <v>2231111.548812889</v>
      </c>
      <c r="AR7" s="35">
        <v>1794441.3161055848</v>
      </c>
      <c r="AS7" s="35">
        <v>2226800.6580527923</v>
      </c>
      <c r="AT7" s="35">
        <v>3388752.2068656818</v>
      </c>
      <c r="AU7" s="35">
        <v>2688800.6580527923</v>
      </c>
      <c r="AV7" s="35">
        <v>3466911.4794203821</v>
      </c>
      <c r="AW7" s="35">
        <v>4286137.6622630097</v>
      </c>
      <c r="AX7" s="35">
        <v>3408941.3161055846</v>
      </c>
      <c r="AY7" s="35">
        <v>3385050.6580527923</v>
      </c>
      <c r="AZ7" s="36">
        <f t="shared" si="3"/>
        <v>3385050.6580527923</v>
      </c>
      <c r="BA7" s="36">
        <f t="shared" si="3"/>
        <v>3385050.6580527923</v>
      </c>
    </row>
    <row r="8" spans="2:53" x14ac:dyDescent="0.35">
      <c r="C8" s="34" t="s">
        <v>48</v>
      </c>
      <c r="M8" s="35">
        <v>1481248.5732997661</v>
      </c>
      <c r="N8" s="35">
        <v>1329543.2640895348</v>
      </c>
      <c r="O8" s="35">
        <v>1524471.9051480072</v>
      </c>
      <c r="P8" s="35">
        <v>2337247.5256016636</v>
      </c>
      <c r="Q8" s="35">
        <v>1638484.1281490885</v>
      </c>
      <c r="R8" s="35">
        <v>2077402.3332812451</v>
      </c>
      <c r="S8" s="35">
        <v>2047275.2436426086</v>
      </c>
      <c r="T8" s="35">
        <v>1703358.370636892</v>
      </c>
      <c r="U8" s="35">
        <v>1735736.0278597623</v>
      </c>
      <c r="V8" s="35">
        <v>1941223.4761660662</v>
      </c>
      <c r="W8" s="35">
        <v>2473675.4535735543</v>
      </c>
      <c r="X8" s="35">
        <v>2763100.7137016663</v>
      </c>
      <c r="Y8" s="35">
        <v>3271888.5579727218</v>
      </c>
      <c r="Z8" s="35">
        <v>2583304.4336221544</v>
      </c>
      <c r="AA8" s="35">
        <v>2606431.8622601377</v>
      </c>
      <c r="AB8" s="35">
        <v>2565546.3895479543</v>
      </c>
      <c r="AC8" s="35">
        <v>2023642.1995929112</v>
      </c>
      <c r="AD8" s="35">
        <v>2083801.0226335214</v>
      </c>
      <c r="AE8" s="35">
        <v>2530901.5461229286</v>
      </c>
      <c r="AF8" s="35">
        <v>2100946.1703117848</v>
      </c>
      <c r="AG8" s="35">
        <v>2080502.7368280939</v>
      </c>
      <c r="AH8" s="35">
        <v>2823756.3423444838</v>
      </c>
      <c r="AI8" s="35">
        <v>2295149.5669444082</v>
      </c>
      <c r="AJ8" s="35">
        <v>2358010.1703117844</v>
      </c>
      <c r="AK8" s="35">
        <v>2973480.2958503896</v>
      </c>
      <c r="AL8" s="35">
        <v>2358010.1703117844</v>
      </c>
      <c r="AM8" s="35">
        <v>2328027.2860631659</v>
      </c>
      <c r="AN8" s="35">
        <v>2987715.1922895103</v>
      </c>
      <c r="AO8" s="35">
        <v>2343775.2738726637</v>
      </c>
      <c r="AP8" s="35">
        <v>2427752.1453750767</v>
      </c>
      <c r="AQ8" s="35">
        <v>2945807.9945847318</v>
      </c>
      <c r="AR8" s="35">
        <v>2358010.1703117844</v>
      </c>
      <c r="AS8" s="35">
        <v>2337566.7368280934</v>
      </c>
      <c r="AT8" s="35">
        <v>2931336.3423444838</v>
      </c>
      <c r="AU8" s="35">
        <v>2397769.2611264586</v>
      </c>
      <c r="AV8" s="35">
        <v>2358010.1703117844</v>
      </c>
      <c r="AW8" s="35">
        <v>2973480.2958503896</v>
      </c>
      <c r="AX8" s="35">
        <v>2358010.1703117844</v>
      </c>
      <c r="AY8" s="35">
        <v>2328027.2860631659</v>
      </c>
      <c r="AZ8" s="36">
        <f t="shared" si="3"/>
        <v>2328027.2860631659</v>
      </c>
      <c r="BA8" s="36">
        <f t="shared" si="3"/>
        <v>2328027.2860631659</v>
      </c>
    </row>
    <row r="10" spans="2:53" x14ac:dyDescent="0.35">
      <c r="C10" t="s">
        <v>49</v>
      </c>
    </row>
    <row r="11" spans="2:53" x14ac:dyDescent="0.35">
      <c r="C11" s="34" t="s">
        <v>46</v>
      </c>
      <c r="D11" s="35">
        <v>208800</v>
      </c>
      <c r="E11" s="35">
        <v>0</v>
      </c>
      <c r="F11" s="35">
        <v>93600</v>
      </c>
      <c r="G11" s="35">
        <v>252000</v>
      </c>
      <c r="H11" s="35">
        <v>115200</v>
      </c>
      <c r="I11" s="35">
        <v>93600</v>
      </c>
      <c r="J11" s="35">
        <v>0</v>
      </c>
      <c r="K11" s="35">
        <v>100800</v>
      </c>
      <c r="L11" s="35">
        <v>86400</v>
      </c>
      <c r="M11" s="35">
        <v>194400</v>
      </c>
      <c r="N11" s="35">
        <v>79200</v>
      </c>
      <c r="O11" s="35">
        <v>0</v>
      </c>
      <c r="P11" s="35">
        <v>243800</v>
      </c>
      <c r="Q11" s="35">
        <v>28000</v>
      </c>
      <c r="R11" s="35">
        <v>169100</v>
      </c>
      <c r="S11" s="35">
        <v>334500</v>
      </c>
      <c r="T11" s="35">
        <v>190700</v>
      </c>
      <c r="U11" s="35">
        <v>169100</v>
      </c>
      <c r="V11" s="35">
        <v>82500</v>
      </c>
      <c r="W11" s="35">
        <v>176300</v>
      </c>
      <c r="X11" s="35">
        <v>161900</v>
      </c>
      <c r="Y11" s="35">
        <v>776900</v>
      </c>
      <c r="Z11" s="35">
        <v>654700</v>
      </c>
      <c r="AA11" s="35">
        <v>575500</v>
      </c>
      <c r="AB11" s="35">
        <v>791300</v>
      </c>
      <c r="AC11" s="35">
        <v>575500</v>
      </c>
      <c r="AD11" s="35">
        <v>669100</v>
      </c>
      <c r="AE11" s="35">
        <v>834500</v>
      </c>
      <c r="AF11" s="35">
        <v>690700</v>
      </c>
      <c r="AG11" s="35">
        <v>669100</v>
      </c>
      <c r="AH11" s="35">
        <v>582500</v>
      </c>
      <c r="AI11" s="35">
        <v>676300</v>
      </c>
      <c r="AJ11" s="35">
        <v>661900</v>
      </c>
      <c r="AK11" s="35">
        <v>776900</v>
      </c>
      <c r="AL11" s="35">
        <v>654700</v>
      </c>
      <c r="AM11" s="35">
        <v>575500</v>
      </c>
      <c r="AN11" s="35">
        <v>1041300</v>
      </c>
      <c r="AO11" s="35">
        <v>825500</v>
      </c>
      <c r="AP11" s="35">
        <v>919100</v>
      </c>
      <c r="AQ11" s="35">
        <v>1084500</v>
      </c>
      <c r="AR11" s="35">
        <v>940700</v>
      </c>
      <c r="AS11" s="35">
        <v>919100</v>
      </c>
      <c r="AT11" s="35">
        <v>832500</v>
      </c>
      <c r="AU11" s="35">
        <v>926300</v>
      </c>
      <c r="AV11" s="35">
        <v>911900</v>
      </c>
      <c r="AW11" s="35">
        <v>1026900</v>
      </c>
      <c r="AX11" s="35">
        <v>904700</v>
      </c>
      <c r="AY11" s="35">
        <v>825500</v>
      </c>
      <c r="AZ11" s="36">
        <f t="shared" ref="AZ11:BA13" si="4">AY11</f>
        <v>825500</v>
      </c>
      <c r="BA11" s="36">
        <f t="shared" si="4"/>
        <v>825500</v>
      </c>
    </row>
    <row r="12" spans="2:53" x14ac:dyDescent="0.35">
      <c r="C12" s="34" t="s">
        <v>47</v>
      </c>
      <c r="D12" s="35">
        <v>0</v>
      </c>
      <c r="E12" s="35">
        <v>0</v>
      </c>
      <c r="F12" s="35">
        <v>0</v>
      </c>
      <c r="G12" s="35">
        <v>0</v>
      </c>
      <c r="H12" s="35">
        <v>0</v>
      </c>
      <c r="I12" s="35">
        <v>0</v>
      </c>
      <c r="J12" s="35">
        <v>0</v>
      </c>
      <c r="K12" s="35">
        <v>0</v>
      </c>
      <c r="L12" s="35">
        <v>0</v>
      </c>
      <c r="M12" s="35">
        <v>0</v>
      </c>
      <c r="N12" s="35">
        <v>0</v>
      </c>
      <c r="O12" s="35">
        <v>52500</v>
      </c>
      <c r="P12" s="35">
        <v>52500</v>
      </c>
      <c r="Q12" s="35">
        <v>52500</v>
      </c>
      <c r="R12" s="35">
        <v>63000</v>
      </c>
      <c r="S12" s="35">
        <v>63000</v>
      </c>
      <c r="T12" s="35">
        <v>63000</v>
      </c>
      <c r="U12" s="35">
        <v>0</v>
      </c>
      <c r="V12" s="35">
        <v>0</v>
      </c>
      <c r="W12" s="35">
        <v>0</v>
      </c>
      <c r="X12" s="35">
        <v>0</v>
      </c>
      <c r="Y12" s="35">
        <v>490000</v>
      </c>
      <c r="Z12" s="35">
        <v>490000</v>
      </c>
      <c r="AA12" s="35">
        <v>490000</v>
      </c>
      <c r="AB12" s="35">
        <v>0</v>
      </c>
      <c r="AC12" s="35">
        <v>0</v>
      </c>
      <c r="AD12" s="35">
        <v>0</v>
      </c>
      <c r="AE12" s="35">
        <v>0</v>
      </c>
      <c r="AF12" s="35">
        <v>0</v>
      </c>
      <c r="AG12" s="35">
        <v>0</v>
      </c>
      <c r="AH12" s="35">
        <v>0</v>
      </c>
      <c r="AI12" s="35">
        <v>0</v>
      </c>
      <c r="AJ12" s="35">
        <v>0</v>
      </c>
      <c r="AK12" s="35">
        <v>0</v>
      </c>
      <c r="AL12" s="35">
        <v>0</v>
      </c>
      <c r="AM12" s="35">
        <v>0</v>
      </c>
      <c r="AN12" s="35">
        <v>0</v>
      </c>
      <c r="AO12" s="35">
        <v>0</v>
      </c>
      <c r="AP12" s="35">
        <v>0</v>
      </c>
      <c r="AQ12" s="35">
        <v>0</v>
      </c>
      <c r="AR12" s="35">
        <v>0</v>
      </c>
      <c r="AS12" s="35">
        <v>0</v>
      </c>
      <c r="AT12" s="35">
        <v>0</v>
      </c>
      <c r="AU12" s="35">
        <v>0</v>
      </c>
      <c r="AV12" s="35">
        <v>0</v>
      </c>
      <c r="AW12" s="35">
        <v>0</v>
      </c>
      <c r="AX12" s="35">
        <v>0</v>
      </c>
      <c r="AY12" s="35">
        <v>0</v>
      </c>
      <c r="AZ12" s="36">
        <f t="shared" si="4"/>
        <v>0</v>
      </c>
      <c r="BA12" s="36">
        <f t="shared" si="4"/>
        <v>0</v>
      </c>
    </row>
    <row r="13" spans="2:53" x14ac:dyDescent="0.35">
      <c r="C13" s="34" t="s">
        <v>48</v>
      </c>
      <c r="D13" s="35">
        <v>0</v>
      </c>
      <c r="E13" s="35">
        <v>0</v>
      </c>
      <c r="F13" s="35">
        <v>0</v>
      </c>
      <c r="G13" s="35">
        <v>0</v>
      </c>
      <c r="H13" s="35">
        <v>0</v>
      </c>
      <c r="I13" s="35">
        <v>0</v>
      </c>
      <c r="J13" s="35">
        <v>0</v>
      </c>
      <c r="K13" s="35">
        <v>0</v>
      </c>
      <c r="L13" s="35">
        <v>0</v>
      </c>
      <c r="M13" s="35">
        <v>0</v>
      </c>
      <c r="N13" s="35">
        <v>0</v>
      </c>
      <c r="O13" s="35">
        <v>0</v>
      </c>
      <c r="P13" s="35">
        <v>0</v>
      </c>
      <c r="Q13" s="35">
        <v>0</v>
      </c>
      <c r="R13" s="35">
        <v>0</v>
      </c>
      <c r="S13" s="35">
        <v>0</v>
      </c>
      <c r="T13" s="35">
        <v>0</v>
      </c>
      <c r="U13" s="35">
        <v>0</v>
      </c>
      <c r="V13" s="35">
        <v>0</v>
      </c>
      <c r="W13" s="35">
        <v>0</v>
      </c>
      <c r="X13" s="35">
        <v>0</v>
      </c>
      <c r="Y13" s="35">
        <v>0</v>
      </c>
      <c r="Z13" s="35">
        <v>0</v>
      </c>
      <c r="AA13" s="35">
        <v>0</v>
      </c>
      <c r="AB13" s="35">
        <v>0</v>
      </c>
      <c r="AC13" s="35">
        <v>0</v>
      </c>
      <c r="AD13" s="35">
        <v>0</v>
      </c>
      <c r="AE13" s="35">
        <v>0</v>
      </c>
      <c r="AF13" s="35">
        <v>0</v>
      </c>
      <c r="AG13" s="35">
        <v>0</v>
      </c>
      <c r="AH13" s="35">
        <v>0</v>
      </c>
      <c r="AI13" s="35">
        <v>0</v>
      </c>
      <c r="AJ13" s="35">
        <v>0</v>
      </c>
      <c r="AK13" s="35">
        <v>0</v>
      </c>
      <c r="AL13" s="35">
        <v>0</v>
      </c>
      <c r="AM13" s="35">
        <v>0</v>
      </c>
      <c r="AN13" s="35">
        <v>0</v>
      </c>
      <c r="AO13" s="35">
        <v>0</v>
      </c>
      <c r="AP13" s="35">
        <v>0</v>
      </c>
      <c r="AQ13" s="35">
        <v>0</v>
      </c>
      <c r="AR13" s="35">
        <v>0</v>
      </c>
      <c r="AS13" s="35">
        <v>0</v>
      </c>
      <c r="AT13" s="35">
        <v>0</v>
      </c>
      <c r="AU13" s="35">
        <v>0</v>
      </c>
      <c r="AV13" s="35">
        <v>0</v>
      </c>
      <c r="AW13" s="35">
        <v>0</v>
      </c>
      <c r="AX13" s="35">
        <v>0</v>
      </c>
      <c r="AY13" s="35">
        <v>0</v>
      </c>
      <c r="AZ13" s="36">
        <f t="shared" si="4"/>
        <v>0</v>
      </c>
      <c r="BA13" s="36">
        <f t="shared" si="4"/>
        <v>0</v>
      </c>
    </row>
    <row r="15" spans="2:53" x14ac:dyDescent="0.35">
      <c r="C15" t="s">
        <v>50</v>
      </c>
    </row>
    <row r="16" spans="2:53" x14ac:dyDescent="0.35">
      <c r="C16" s="34" t="s">
        <v>46</v>
      </c>
      <c r="D16" s="35">
        <v>147426.39663238105</v>
      </c>
      <c r="E16" s="35">
        <v>109305.40284476198</v>
      </c>
      <c r="F16" s="35">
        <v>108219.82702095241</v>
      </c>
      <c r="G16" s="35">
        <v>129695.42941238101</v>
      </c>
      <c r="H16" s="35">
        <v>105574.85945619043</v>
      </c>
      <c r="I16" s="35">
        <v>114051.31191904764</v>
      </c>
      <c r="J16" s="35">
        <v>166444.75184476189</v>
      </c>
      <c r="K16" s="35">
        <v>98701.385610476165</v>
      </c>
      <c r="L16" s="35">
        <v>80262.877561904766</v>
      </c>
      <c r="M16" s="35">
        <v>97445.634571428556</v>
      </c>
      <c r="N16" s="35">
        <v>69581.312290843809</v>
      </c>
      <c r="O16" s="35">
        <v>73360.505223425396</v>
      </c>
      <c r="P16" s="35">
        <v>61399.771095238095</v>
      </c>
      <c r="Q16" s="35">
        <v>52580.067952380952</v>
      </c>
      <c r="R16" s="35">
        <v>58464.09723809523</v>
      </c>
      <c r="S16" s="35">
        <v>67019.429142857145</v>
      </c>
      <c r="T16" s="35">
        <v>60567.920142857132</v>
      </c>
      <c r="U16" s="35">
        <v>66218.247714285724</v>
      </c>
      <c r="V16" s="35">
        <v>114190.93538095237</v>
      </c>
      <c r="W16" s="35">
        <v>63702.190047619042</v>
      </c>
      <c r="X16" s="35">
        <v>53710.500619047627</v>
      </c>
      <c r="Y16" s="35">
        <v>66430.115047619052</v>
      </c>
      <c r="Z16" s="35">
        <v>47246.64332429647</v>
      </c>
      <c r="AA16" s="35">
        <v>50661.677321597803</v>
      </c>
      <c r="AB16" s="35">
        <v>44363.801809523808</v>
      </c>
      <c r="AC16" s="35">
        <v>39360.831523809524</v>
      </c>
      <c r="AD16" s="35">
        <v>44388.659142857141</v>
      </c>
      <c r="AE16" s="35">
        <v>59358.714857142855</v>
      </c>
      <c r="AF16" s="35">
        <v>54439.348714285712</v>
      </c>
      <c r="AG16" s="35">
        <v>60089.676285714289</v>
      </c>
      <c r="AH16" s="35">
        <v>106530.22109523808</v>
      </c>
      <c r="AI16" s="35">
        <v>57573.618619047615</v>
      </c>
      <c r="AJ16" s="35">
        <v>47581.929190476192</v>
      </c>
      <c r="AK16" s="35">
        <v>58769.400761904762</v>
      </c>
      <c r="AL16" s="35">
        <v>41118.07189572505</v>
      </c>
      <c r="AM16" s="35">
        <v>44533.105893026375</v>
      </c>
      <c r="AN16" s="35">
        <v>44363.801809523808</v>
      </c>
      <c r="AO16" s="35">
        <v>39360.831523809524</v>
      </c>
      <c r="AP16" s="35">
        <v>44388.659142857141</v>
      </c>
      <c r="AQ16" s="35">
        <v>59358.714857142855</v>
      </c>
      <c r="AR16" s="35">
        <v>54439.348714285712</v>
      </c>
      <c r="AS16" s="35">
        <v>60089.676285714289</v>
      </c>
      <c r="AT16" s="35">
        <v>91660.112761904762</v>
      </c>
      <c r="AU16" s="35">
        <v>43900.900285714284</v>
      </c>
      <c r="AV16" s="35">
        <v>36141.99085714286</v>
      </c>
      <c r="AW16" s="35">
        <v>43248.177428571427</v>
      </c>
      <c r="AX16" s="35">
        <v>31851.58856239172</v>
      </c>
      <c r="AY16" s="35">
        <v>34534.292559693044</v>
      </c>
      <c r="AZ16" s="36">
        <f>AY16</f>
        <v>34534.292559693044</v>
      </c>
      <c r="BA16" s="36">
        <f>AZ16</f>
        <v>34534.292559693044</v>
      </c>
    </row>
    <row r="17" spans="2:53" x14ac:dyDescent="0.35">
      <c r="C17" s="34" t="s">
        <v>47</v>
      </c>
      <c r="D17" s="35"/>
      <c r="E17" s="35"/>
      <c r="F17" s="35"/>
      <c r="G17" s="35"/>
      <c r="H17" s="35"/>
      <c r="I17" s="35"/>
      <c r="J17" s="35"/>
      <c r="K17" s="35"/>
      <c r="L17" s="35"/>
      <c r="M17" s="35"/>
      <c r="N17" s="35"/>
      <c r="O17" s="35"/>
      <c r="P17" s="35"/>
      <c r="Q17" s="35"/>
      <c r="R17" s="35"/>
      <c r="S17" s="35"/>
      <c r="T17" s="35"/>
      <c r="U17" s="35"/>
      <c r="V17" s="35"/>
      <c r="W17" s="35"/>
      <c r="X17" s="35"/>
      <c r="Y17" s="35"/>
      <c r="Z17" s="35"/>
      <c r="AA17" s="35"/>
    </row>
    <row r="18" spans="2:53" x14ac:dyDescent="0.35">
      <c r="C18" s="34" t="s">
        <v>48</v>
      </c>
      <c r="D18" s="35"/>
      <c r="E18" s="35"/>
      <c r="F18" s="35"/>
      <c r="G18" s="35"/>
      <c r="H18" s="35"/>
      <c r="I18" s="35"/>
      <c r="J18" s="35"/>
      <c r="K18" s="35"/>
      <c r="L18" s="35"/>
      <c r="M18" s="35"/>
      <c r="N18" s="35"/>
      <c r="O18" s="35"/>
      <c r="P18" s="35"/>
      <c r="Q18" s="35"/>
      <c r="R18" s="35"/>
      <c r="S18" s="35"/>
      <c r="T18" s="35"/>
      <c r="U18" s="35"/>
      <c r="V18" s="35"/>
      <c r="W18" s="35"/>
      <c r="X18" s="35"/>
      <c r="Y18" s="35"/>
      <c r="Z18" s="35"/>
      <c r="AA18" s="35"/>
    </row>
    <row r="20" spans="2:53" x14ac:dyDescent="0.35">
      <c r="C20" s="34" t="s">
        <v>51</v>
      </c>
      <c r="D20" s="34"/>
      <c r="E20" s="34"/>
      <c r="F20" s="34"/>
      <c r="G20" s="34"/>
      <c r="H20" s="34"/>
      <c r="I20" s="34"/>
      <c r="J20" s="34"/>
      <c r="K20" s="34"/>
      <c r="L20" s="34"/>
      <c r="M20" s="34"/>
      <c r="N20" s="34"/>
      <c r="O20" s="34"/>
      <c r="P20" s="37">
        <v>0</v>
      </c>
      <c r="Q20" s="37">
        <v>0</v>
      </c>
      <c r="R20" s="37">
        <v>0</v>
      </c>
      <c r="S20" s="37">
        <v>0</v>
      </c>
      <c r="T20" s="37">
        <v>0</v>
      </c>
      <c r="U20" s="37">
        <v>0</v>
      </c>
      <c r="V20" s="37">
        <v>0</v>
      </c>
      <c r="W20" s="37">
        <v>0</v>
      </c>
      <c r="X20" s="37">
        <v>0</v>
      </c>
      <c r="Y20" s="37">
        <v>0</v>
      </c>
      <c r="Z20" s="37">
        <v>0</v>
      </c>
      <c r="AA20" s="37">
        <v>0</v>
      </c>
      <c r="AB20" s="37">
        <v>0</v>
      </c>
      <c r="AC20" s="37">
        <v>0</v>
      </c>
      <c r="AD20" s="37">
        <v>0</v>
      </c>
      <c r="AE20" s="37">
        <v>0</v>
      </c>
      <c r="AF20" s="37">
        <v>0</v>
      </c>
      <c r="AG20" s="37">
        <v>0</v>
      </c>
      <c r="AH20" s="37">
        <v>0</v>
      </c>
      <c r="AI20" s="37">
        <v>0</v>
      </c>
      <c r="AJ20" s="37">
        <v>0</v>
      </c>
      <c r="AK20" s="37">
        <v>0</v>
      </c>
      <c r="AL20" s="37">
        <v>0</v>
      </c>
      <c r="AM20" s="37">
        <v>0</v>
      </c>
      <c r="AN20" s="37">
        <v>0.1</v>
      </c>
      <c r="AO20" s="37">
        <v>0.1</v>
      </c>
      <c r="AP20" s="37">
        <v>0.1</v>
      </c>
      <c r="AQ20" s="37">
        <v>0.1</v>
      </c>
      <c r="AR20" s="37">
        <v>0.1</v>
      </c>
      <c r="AS20" s="37">
        <v>0.1</v>
      </c>
      <c r="AT20" s="37">
        <v>0.1</v>
      </c>
      <c r="AU20" s="37">
        <v>0.1</v>
      </c>
      <c r="AV20" s="37">
        <v>0.1</v>
      </c>
      <c r="AW20" s="37">
        <v>0.1</v>
      </c>
      <c r="AX20" s="37">
        <v>0.1</v>
      </c>
      <c r="AY20" s="37">
        <v>0.1</v>
      </c>
      <c r="AZ20" s="37">
        <v>0.1</v>
      </c>
      <c r="BA20" s="37">
        <v>0.1</v>
      </c>
    </row>
    <row r="21" spans="2:53" x14ac:dyDescent="0.35">
      <c r="B21" s="3" t="s">
        <v>52</v>
      </c>
    </row>
    <row r="22" spans="2:53" x14ac:dyDescent="0.35">
      <c r="C22" t="s">
        <v>45</v>
      </c>
    </row>
    <row r="23" spans="2:53" x14ac:dyDescent="0.35">
      <c r="B23" s="38">
        <v>0.75</v>
      </c>
      <c r="C23" s="34" t="s">
        <v>46</v>
      </c>
      <c r="D23" s="39">
        <v>0.23</v>
      </c>
      <c r="E23" s="39">
        <v>0.23</v>
      </c>
      <c r="F23" s="39">
        <v>0.23</v>
      </c>
      <c r="G23" s="39">
        <v>0.23</v>
      </c>
      <c r="H23" s="39">
        <v>0.23</v>
      </c>
      <c r="I23" s="39">
        <v>0.23</v>
      </c>
      <c r="J23" s="39">
        <v>0.23</v>
      </c>
      <c r="K23" s="39">
        <v>0.23</v>
      </c>
      <c r="L23" s="39">
        <v>0.23</v>
      </c>
      <c r="M23" s="39">
        <v>0.23</v>
      </c>
      <c r="N23" s="39">
        <v>0.23</v>
      </c>
      <c r="O23" s="39">
        <v>0.23</v>
      </c>
      <c r="P23" s="40">
        <f>D23*(1-P$20)</f>
        <v>0.23</v>
      </c>
      <c r="Q23" s="40">
        <f>E23*(1-Q$20)</f>
        <v>0.23</v>
      </c>
      <c r="R23" s="40">
        <f>F23*(1-R$20)</f>
        <v>0.23</v>
      </c>
      <c r="S23" s="40">
        <f t="shared" ref="S23:BA23" si="5">G23*(1-S$20)</f>
        <v>0.23</v>
      </c>
      <c r="T23" s="40">
        <f t="shared" si="5"/>
        <v>0.23</v>
      </c>
      <c r="U23" s="40">
        <f t="shared" si="5"/>
        <v>0.23</v>
      </c>
      <c r="V23" s="40">
        <f t="shared" si="5"/>
        <v>0.23</v>
      </c>
      <c r="W23" s="40">
        <f t="shared" si="5"/>
        <v>0.23</v>
      </c>
      <c r="X23" s="40">
        <f t="shared" si="5"/>
        <v>0.23</v>
      </c>
      <c r="Y23" s="40">
        <f t="shared" si="5"/>
        <v>0.23</v>
      </c>
      <c r="Z23" s="40">
        <f t="shared" si="5"/>
        <v>0.23</v>
      </c>
      <c r="AA23" s="40">
        <f t="shared" si="5"/>
        <v>0.23</v>
      </c>
      <c r="AB23" s="40">
        <f t="shared" si="5"/>
        <v>0.23</v>
      </c>
      <c r="AC23" s="40">
        <f t="shared" si="5"/>
        <v>0.23</v>
      </c>
      <c r="AD23" s="40">
        <f t="shared" si="5"/>
        <v>0.23</v>
      </c>
      <c r="AE23" s="40">
        <f t="shared" si="5"/>
        <v>0.23</v>
      </c>
      <c r="AF23" s="40">
        <f t="shared" si="5"/>
        <v>0.23</v>
      </c>
      <c r="AG23" s="40">
        <f t="shared" si="5"/>
        <v>0.23</v>
      </c>
      <c r="AH23" s="40">
        <f t="shared" si="5"/>
        <v>0.23</v>
      </c>
      <c r="AI23" s="40">
        <f t="shared" si="5"/>
        <v>0.23</v>
      </c>
      <c r="AJ23" s="40">
        <f t="shared" si="5"/>
        <v>0.23</v>
      </c>
      <c r="AK23" s="40">
        <f t="shared" si="5"/>
        <v>0.23</v>
      </c>
      <c r="AL23" s="40">
        <f t="shared" si="5"/>
        <v>0.23</v>
      </c>
      <c r="AM23" s="40">
        <f t="shared" si="5"/>
        <v>0.23</v>
      </c>
      <c r="AN23" s="40">
        <f t="shared" si="5"/>
        <v>0.20700000000000002</v>
      </c>
      <c r="AO23" s="40">
        <f t="shared" si="5"/>
        <v>0.20700000000000002</v>
      </c>
      <c r="AP23" s="40">
        <f t="shared" si="5"/>
        <v>0.20700000000000002</v>
      </c>
      <c r="AQ23" s="40">
        <f t="shared" si="5"/>
        <v>0.20700000000000002</v>
      </c>
      <c r="AR23" s="40">
        <f t="shared" si="5"/>
        <v>0.20700000000000002</v>
      </c>
      <c r="AS23" s="40">
        <f t="shared" si="5"/>
        <v>0.20700000000000002</v>
      </c>
      <c r="AT23" s="40">
        <f t="shared" si="5"/>
        <v>0.20700000000000002</v>
      </c>
      <c r="AU23" s="40">
        <f t="shared" si="5"/>
        <v>0.20700000000000002</v>
      </c>
      <c r="AV23" s="40">
        <f t="shared" si="5"/>
        <v>0.20700000000000002</v>
      </c>
      <c r="AW23" s="40">
        <f t="shared" si="5"/>
        <v>0.20700000000000002</v>
      </c>
      <c r="AX23" s="40">
        <f t="shared" si="5"/>
        <v>0.20700000000000002</v>
      </c>
      <c r="AY23" s="40">
        <f t="shared" si="5"/>
        <v>0.20700000000000002</v>
      </c>
      <c r="AZ23" s="40">
        <f t="shared" si="5"/>
        <v>0.18630000000000002</v>
      </c>
      <c r="BA23" s="40">
        <f t="shared" si="5"/>
        <v>0.18630000000000002</v>
      </c>
    </row>
    <row r="24" spans="2:53" x14ac:dyDescent="0.35">
      <c r="B24" s="38">
        <v>0.35</v>
      </c>
      <c r="C24" s="34" t="s">
        <v>47</v>
      </c>
      <c r="D24" s="40">
        <f>D23*1/2.5</f>
        <v>9.1999999999999998E-2</v>
      </c>
      <c r="E24" s="40">
        <f t="shared" ref="E24:AY24" si="6">E23*1/2.5</f>
        <v>9.1999999999999998E-2</v>
      </c>
      <c r="F24" s="40">
        <f t="shared" si="6"/>
        <v>9.1999999999999998E-2</v>
      </c>
      <c r="G24" s="40">
        <f t="shared" si="6"/>
        <v>9.1999999999999998E-2</v>
      </c>
      <c r="H24" s="40">
        <f t="shared" si="6"/>
        <v>9.1999999999999998E-2</v>
      </c>
      <c r="I24" s="40">
        <f t="shared" si="6"/>
        <v>9.1999999999999998E-2</v>
      </c>
      <c r="J24" s="40">
        <f t="shared" si="6"/>
        <v>9.1999999999999998E-2</v>
      </c>
      <c r="K24" s="40">
        <f t="shared" si="6"/>
        <v>9.1999999999999998E-2</v>
      </c>
      <c r="L24" s="40">
        <f t="shared" si="6"/>
        <v>9.1999999999999998E-2</v>
      </c>
      <c r="M24" s="40">
        <f t="shared" si="6"/>
        <v>9.1999999999999998E-2</v>
      </c>
      <c r="N24" s="40">
        <f t="shared" si="6"/>
        <v>9.1999999999999998E-2</v>
      </c>
      <c r="O24" s="40">
        <f t="shared" si="6"/>
        <v>9.1999999999999998E-2</v>
      </c>
      <c r="P24" s="40">
        <f t="shared" si="6"/>
        <v>9.1999999999999998E-2</v>
      </c>
      <c r="Q24" s="40">
        <f t="shared" si="6"/>
        <v>9.1999999999999998E-2</v>
      </c>
      <c r="R24" s="40">
        <f t="shared" si="6"/>
        <v>9.1999999999999998E-2</v>
      </c>
      <c r="S24" s="40">
        <f t="shared" si="6"/>
        <v>9.1999999999999998E-2</v>
      </c>
      <c r="T24" s="40">
        <f t="shared" si="6"/>
        <v>9.1999999999999998E-2</v>
      </c>
      <c r="U24" s="40">
        <f t="shared" si="6"/>
        <v>9.1999999999999998E-2</v>
      </c>
      <c r="V24" s="40">
        <f t="shared" si="6"/>
        <v>9.1999999999999998E-2</v>
      </c>
      <c r="W24" s="40">
        <f t="shared" si="6"/>
        <v>9.1999999999999998E-2</v>
      </c>
      <c r="X24" s="40">
        <f t="shared" si="6"/>
        <v>9.1999999999999998E-2</v>
      </c>
      <c r="Y24" s="40">
        <f t="shared" si="6"/>
        <v>9.1999999999999998E-2</v>
      </c>
      <c r="Z24" s="40">
        <f t="shared" si="6"/>
        <v>9.1999999999999998E-2</v>
      </c>
      <c r="AA24" s="40">
        <f t="shared" si="6"/>
        <v>9.1999999999999998E-2</v>
      </c>
      <c r="AB24" s="40">
        <f t="shared" si="6"/>
        <v>9.1999999999999998E-2</v>
      </c>
      <c r="AC24" s="40">
        <f t="shared" si="6"/>
        <v>9.1999999999999998E-2</v>
      </c>
      <c r="AD24" s="40">
        <f t="shared" si="6"/>
        <v>9.1999999999999998E-2</v>
      </c>
      <c r="AE24" s="40">
        <f t="shared" si="6"/>
        <v>9.1999999999999998E-2</v>
      </c>
      <c r="AF24" s="40">
        <f t="shared" si="6"/>
        <v>9.1999999999999998E-2</v>
      </c>
      <c r="AG24" s="40">
        <f t="shared" si="6"/>
        <v>9.1999999999999998E-2</v>
      </c>
      <c r="AH24" s="40">
        <f t="shared" si="6"/>
        <v>9.1999999999999998E-2</v>
      </c>
      <c r="AI24" s="40">
        <f t="shared" si="6"/>
        <v>9.1999999999999998E-2</v>
      </c>
      <c r="AJ24" s="40">
        <f t="shared" si="6"/>
        <v>9.1999999999999998E-2</v>
      </c>
      <c r="AK24" s="40">
        <f t="shared" si="6"/>
        <v>9.1999999999999998E-2</v>
      </c>
      <c r="AL24" s="40">
        <f t="shared" si="6"/>
        <v>9.1999999999999998E-2</v>
      </c>
      <c r="AM24" s="40">
        <f t="shared" si="6"/>
        <v>9.1999999999999998E-2</v>
      </c>
      <c r="AN24" s="40">
        <f t="shared" si="6"/>
        <v>8.2800000000000012E-2</v>
      </c>
      <c r="AO24" s="40">
        <f t="shared" si="6"/>
        <v>8.2800000000000012E-2</v>
      </c>
      <c r="AP24" s="40">
        <f t="shared" si="6"/>
        <v>8.2800000000000012E-2</v>
      </c>
      <c r="AQ24" s="40">
        <f t="shared" si="6"/>
        <v>8.2800000000000012E-2</v>
      </c>
      <c r="AR24" s="40">
        <f t="shared" si="6"/>
        <v>8.2800000000000012E-2</v>
      </c>
      <c r="AS24" s="40">
        <f t="shared" si="6"/>
        <v>8.2800000000000012E-2</v>
      </c>
      <c r="AT24" s="40">
        <f t="shared" si="6"/>
        <v>8.2800000000000012E-2</v>
      </c>
      <c r="AU24" s="40">
        <f t="shared" si="6"/>
        <v>8.2800000000000012E-2</v>
      </c>
      <c r="AV24" s="40">
        <f t="shared" si="6"/>
        <v>8.2800000000000012E-2</v>
      </c>
      <c r="AW24" s="40">
        <f t="shared" si="6"/>
        <v>8.2800000000000012E-2</v>
      </c>
      <c r="AX24" s="40">
        <f t="shared" si="6"/>
        <v>8.2800000000000012E-2</v>
      </c>
      <c r="AY24" s="40">
        <f t="shared" si="6"/>
        <v>8.2800000000000012E-2</v>
      </c>
      <c r="AZ24" s="40">
        <f>AZ23*1/2.5</f>
        <v>7.4520000000000003E-2</v>
      </c>
      <c r="BA24" s="40">
        <f>BA23*1/2.5</f>
        <v>7.4520000000000003E-2</v>
      </c>
    </row>
    <row r="25" spans="2:53" x14ac:dyDescent="0.35">
      <c r="B25" s="38">
        <f>2/6</f>
        <v>0.33333333333333331</v>
      </c>
      <c r="C25" s="34" t="s">
        <v>48</v>
      </c>
      <c r="D25" s="39">
        <v>0.08</v>
      </c>
      <c r="E25" s="39">
        <v>0.08</v>
      </c>
      <c r="F25" s="39">
        <v>0.08</v>
      </c>
      <c r="G25" s="39">
        <v>0.08</v>
      </c>
      <c r="H25" s="39">
        <v>0.08</v>
      </c>
      <c r="I25" s="39">
        <v>0.08</v>
      </c>
      <c r="J25" s="39">
        <v>0.08</v>
      </c>
      <c r="K25" s="39">
        <v>0.08</v>
      </c>
      <c r="L25" s="39">
        <v>0.08</v>
      </c>
      <c r="M25" s="39">
        <v>0.08</v>
      </c>
      <c r="N25" s="39">
        <v>0.08</v>
      </c>
      <c r="O25" s="39">
        <v>0.08</v>
      </c>
      <c r="P25" s="40">
        <f>D25*(1-P$20)</f>
        <v>0.08</v>
      </c>
      <c r="Q25" s="40">
        <f t="shared" ref="Q25:BA25" si="7">E25*(1-Q$20)</f>
        <v>0.08</v>
      </c>
      <c r="R25" s="40">
        <f t="shared" si="7"/>
        <v>0.08</v>
      </c>
      <c r="S25" s="40">
        <f t="shared" si="7"/>
        <v>0.08</v>
      </c>
      <c r="T25" s="40">
        <f t="shared" si="7"/>
        <v>0.08</v>
      </c>
      <c r="U25" s="40">
        <f t="shared" si="7"/>
        <v>0.08</v>
      </c>
      <c r="V25" s="40">
        <f t="shared" si="7"/>
        <v>0.08</v>
      </c>
      <c r="W25" s="40">
        <f t="shared" si="7"/>
        <v>0.08</v>
      </c>
      <c r="X25" s="40">
        <f t="shared" si="7"/>
        <v>0.08</v>
      </c>
      <c r="Y25" s="40">
        <f t="shared" si="7"/>
        <v>0.08</v>
      </c>
      <c r="Z25" s="40">
        <f t="shared" si="7"/>
        <v>0.08</v>
      </c>
      <c r="AA25" s="40">
        <f t="shared" si="7"/>
        <v>0.08</v>
      </c>
      <c r="AB25" s="40">
        <f t="shared" si="7"/>
        <v>0.08</v>
      </c>
      <c r="AC25" s="40">
        <f t="shared" si="7"/>
        <v>0.08</v>
      </c>
      <c r="AD25" s="40">
        <f t="shared" si="7"/>
        <v>0.08</v>
      </c>
      <c r="AE25" s="40">
        <f t="shared" si="7"/>
        <v>0.08</v>
      </c>
      <c r="AF25" s="40">
        <f t="shared" si="7"/>
        <v>0.08</v>
      </c>
      <c r="AG25" s="40">
        <f t="shared" si="7"/>
        <v>0.08</v>
      </c>
      <c r="AH25" s="40">
        <f t="shared" si="7"/>
        <v>0.08</v>
      </c>
      <c r="AI25" s="40">
        <f t="shared" si="7"/>
        <v>0.08</v>
      </c>
      <c r="AJ25" s="40">
        <f t="shared" si="7"/>
        <v>0.08</v>
      </c>
      <c r="AK25" s="40">
        <f t="shared" si="7"/>
        <v>0.08</v>
      </c>
      <c r="AL25" s="40">
        <f t="shared" si="7"/>
        <v>0.08</v>
      </c>
      <c r="AM25" s="40">
        <f t="shared" si="7"/>
        <v>0.08</v>
      </c>
      <c r="AN25" s="40">
        <f t="shared" si="7"/>
        <v>7.2000000000000008E-2</v>
      </c>
      <c r="AO25" s="40">
        <f t="shared" si="7"/>
        <v>7.2000000000000008E-2</v>
      </c>
      <c r="AP25" s="40">
        <f t="shared" si="7"/>
        <v>7.2000000000000008E-2</v>
      </c>
      <c r="AQ25" s="40">
        <f t="shared" si="7"/>
        <v>7.2000000000000008E-2</v>
      </c>
      <c r="AR25" s="40">
        <f t="shared" si="7"/>
        <v>7.2000000000000008E-2</v>
      </c>
      <c r="AS25" s="40">
        <f t="shared" si="7"/>
        <v>7.2000000000000008E-2</v>
      </c>
      <c r="AT25" s="40">
        <f t="shared" si="7"/>
        <v>7.2000000000000008E-2</v>
      </c>
      <c r="AU25" s="40">
        <f t="shared" si="7"/>
        <v>7.2000000000000008E-2</v>
      </c>
      <c r="AV25" s="40">
        <f t="shared" si="7"/>
        <v>7.2000000000000008E-2</v>
      </c>
      <c r="AW25" s="40">
        <f t="shared" si="7"/>
        <v>7.2000000000000008E-2</v>
      </c>
      <c r="AX25" s="40">
        <f t="shared" si="7"/>
        <v>7.2000000000000008E-2</v>
      </c>
      <c r="AY25" s="40">
        <f t="shared" si="7"/>
        <v>7.2000000000000008E-2</v>
      </c>
      <c r="AZ25" s="40">
        <f t="shared" si="7"/>
        <v>6.480000000000001E-2</v>
      </c>
      <c r="BA25" s="40">
        <f t="shared" si="7"/>
        <v>6.480000000000001E-2</v>
      </c>
    </row>
    <row r="26" spans="2:53" x14ac:dyDescent="0.35">
      <c r="B26" s="41"/>
    </row>
    <row r="27" spans="2:53" x14ac:dyDescent="0.35">
      <c r="B27" s="41"/>
      <c r="C27" t="s">
        <v>53</v>
      </c>
    </row>
    <row r="28" spans="2:53" x14ac:dyDescent="0.35">
      <c r="B28" s="38">
        <v>0.6</v>
      </c>
      <c r="C28" s="34" t="s">
        <v>46</v>
      </c>
      <c r="D28" s="40">
        <f>D23</f>
        <v>0.23</v>
      </c>
      <c r="E28" s="40">
        <f t="shared" ref="E28:BA30" si="8">E23</f>
        <v>0.23</v>
      </c>
      <c r="F28" s="40">
        <f t="shared" si="8"/>
        <v>0.23</v>
      </c>
      <c r="G28" s="40">
        <f t="shared" si="8"/>
        <v>0.23</v>
      </c>
      <c r="H28" s="40">
        <f t="shared" si="8"/>
        <v>0.23</v>
      </c>
      <c r="I28" s="40">
        <f t="shared" si="8"/>
        <v>0.23</v>
      </c>
      <c r="J28" s="40">
        <f t="shared" si="8"/>
        <v>0.23</v>
      </c>
      <c r="K28" s="40">
        <f t="shared" si="8"/>
        <v>0.23</v>
      </c>
      <c r="L28" s="40">
        <f t="shared" si="8"/>
        <v>0.23</v>
      </c>
      <c r="M28" s="40">
        <f t="shared" si="8"/>
        <v>0.23</v>
      </c>
      <c r="N28" s="40">
        <f t="shared" si="8"/>
        <v>0.23</v>
      </c>
      <c r="O28" s="40">
        <f t="shared" si="8"/>
        <v>0.23</v>
      </c>
      <c r="P28" s="40">
        <f t="shared" si="8"/>
        <v>0.23</v>
      </c>
      <c r="Q28" s="40">
        <f t="shared" si="8"/>
        <v>0.23</v>
      </c>
      <c r="R28" s="40">
        <f t="shared" si="8"/>
        <v>0.23</v>
      </c>
      <c r="S28" s="40">
        <f t="shared" si="8"/>
        <v>0.23</v>
      </c>
      <c r="T28" s="40">
        <f t="shared" si="8"/>
        <v>0.23</v>
      </c>
      <c r="U28" s="40">
        <f t="shared" si="8"/>
        <v>0.23</v>
      </c>
      <c r="V28" s="40">
        <f t="shared" si="8"/>
        <v>0.23</v>
      </c>
      <c r="W28" s="40">
        <f t="shared" si="8"/>
        <v>0.23</v>
      </c>
      <c r="X28" s="40">
        <f t="shared" si="8"/>
        <v>0.23</v>
      </c>
      <c r="Y28" s="40">
        <f t="shared" si="8"/>
        <v>0.23</v>
      </c>
      <c r="Z28" s="40">
        <f t="shared" si="8"/>
        <v>0.23</v>
      </c>
      <c r="AA28" s="40">
        <f t="shared" si="8"/>
        <v>0.23</v>
      </c>
      <c r="AB28" s="40">
        <f t="shared" si="8"/>
        <v>0.23</v>
      </c>
      <c r="AC28" s="40">
        <f t="shared" si="8"/>
        <v>0.23</v>
      </c>
      <c r="AD28" s="40">
        <f t="shared" si="8"/>
        <v>0.23</v>
      </c>
      <c r="AE28" s="40">
        <f t="shared" si="8"/>
        <v>0.23</v>
      </c>
      <c r="AF28" s="40">
        <f t="shared" si="8"/>
        <v>0.23</v>
      </c>
      <c r="AG28" s="40">
        <f t="shared" si="8"/>
        <v>0.23</v>
      </c>
      <c r="AH28" s="40">
        <f t="shared" si="8"/>
        <v>0.23</v>
      </c>
      <c r="AI28" s="40">
        <f t="shared" si="8"/>
        <v>0.23</v>
      </c>
      <c r="AJ28" s="40">
        <f t="shared" si="8"/>
        <v>0.23</v>
      </c>
      <c r="AK28" s="40">
        <f t="shared" si="8"/>
        <v>0.23</v>
      </c>
      <c r="AL28" s="40">
        <f t="shared" si="8"/>
        <v>0.23</v>
      </c>
      <c r="AM28" s="40">
        <f t="shared" si="8"/>
        <v>0.23</v>
      </c>
      <c r="AN28" s="40">
        <f t="shared" si="8"/>
        <v>0.20700000000000002</v>
      </c>
      <c r="AO28" s="40">
        <f t="shared" si="8"/>
        <v>0.20700000000000002</v>
      </c>
      <c r="AP28" s="40">
        <f t="shared" si="8"/>
        <v>0.20700000000000002</v>
      </c>
      <c r="AQ28" s="40">
        <f t="shared" si="8"/>
        <v>0.20700000000000002</v>
      </c>
      <c r="AR28" s="40">
        <f t="shared" si="8"/>
        <v>0.20700000000000002</v>
      </c>
      <c r="AS28" s="40">
        <f t="shared" si="8"/>
        <v>0.20700000000000002</v>
      </c>
      <c r="AT28" s="40">
        <f t="shared" si="8"/>
        <v>0.20700000000000002</v>
      </c>
      <c r="AU28" s="40">
        <f t="shared" si="8"/>
        <v>0.20700000000000002</v>
      </c>
      <c r="AV28" s="40">
        <f t="shared" si="8"/>
        <v>0.20700000000000002</v>
      </c>
      <c r="AW28" s="40">
        <f t="shared" si="8"/>
        <v>0.20700000000000002</v>
      </c>
      <c r="AX28" s="40">
        <f t="shared" si="8"/>
        <v>0.20700000000000002</v>
      </c>
      <c r="AY28" s="40">
        <f t="shared" si="8"/>
        <v>0.20700000000000002</v>
      </c>
      <c r="AZ28" s="40">
        <f t="shared" si="8"/>
        <v>0.18630000000000002</v>
      </c>
      <c r="BA28" s="40">
        <f t="shared" si="8"/>
        <v>0.18630000000000002</v>
      </c>
    </row>
    <row r="29" spans="2:53" x14ac:dyDescent="0.35">
      <c r="B29" s="38">
        <v>0.33</v>
      </c>
      <c r="C29" s="34" t="s">
        <v>47</v>
      </c>
      <c r="D29" s="40">
        <f t="shared" ref="D29:S30" si="9">D24</f>
        <v>9.1999999999999998E-2</v>
      </c>
      <c r="E29" s="40">
        <f t="shared" si="9"/>
        <v>9.1999999999999998E-2</v>
      </c>
      <c r="F29" s="40">
        <f t="shared" si="9"/>
        <v>9.1999999999999998E-2</v>
      </c>
      <c r="G29" s="40">
        <f t="shared" si="9"/>
        <v>9.1999999999999998E-2</v>
      </c>
      <c r="H29" s="40">
        <f t="shared" si="9"/>
        <v>9.1999999999999998E-2</v>
      </c>
      <c r="I29" s="40">
        <f t="shared" si="9"/>
        <v>9.1999999999999998E-2</v>
      </c>
      <c r="J29" s="40">
        <f t="shared" si="9"/>
        <v>9.1999999999999998E-2</v>
      </c>
      <c r="K29" s="40">
        <f t="shared" si="9"/>
        <v>9.1999999999999998E-2</v>
      </c>
      <c r="L29" s="40">
        <f t="shared" si="9"/>
        <v>9.1999999999999998E-2</v>
      </c>
      <c r="M29" s="40">
        <f t="shared" si="9"/>
        <v>9.1999999999999998E-2</v>
      </c>
      <c r="N29" s="40">
        <f t="shared" si="9"/>
        <v>9.1999999999999998E-2</v>
      </c>
      <c r="O29" s="40">
        <f t="shared" si="9"/>
        <v>9.1999999999999998E-2</v>
      </c>
      <c r="P29" s="40">
        <f t="shared" si="9"/>
        <v>9.1999999999999998E-2</v>
      </c>
      <c r="Q29" s="40">
        <f t="shared" si="9"/>
        <v>9.1999999999999998E-2</v>
      </c>
      <c r="R29" s="40">
        <f t="shared" si="9"/>
        <v>9.1999999999999998E-2</v>
      </c>
      <c r="S29" s="40">
        <f t="shared" si="9"/>
        <v>9.1999999999999998E-2</v>
      </c>
      <c r="T29" s="40">
        <f t="shared" si="8"/>
        <v>9.1999999999999998E-2</v>
      </c>
      <c r="U29" s="40">
        <f t="shared" si="8"/>
        <v>9.1999999999999998E-2</v>
      </c>
      <c r="V29" s="40">
        <f t="shared" si="8"/>
        <v>9.1999999999999998E-2</v>
      </c>
      <c r="W29" s="40">
        <f t="shared" si="8"/>
        <v>9.1999999999999998E-2</v>
      </c>
      <c r="X29" s="40">
        <f t="shared" si="8"/>
        <v>9.1999999999999998E-2</v>
      </c>
      <c r="Y29" s="40">
        <f t="shared" si="8"/>
        <v>9.1999999999999998E-2</v>
      </c>
      <c r="Z29" s="40">
        <f t="shared" si="8"/>
        <v>9.1999999999999998E-2</v>
      </c>
      <c r="AA29" s="40">
        <f t="shared" si="8"/>
        <v>9.1999999999999998E-2</v>
      </c>
      <c r="AB29" s="40">
        <f t="shared" si="8"/>
        <v>9.1999999999999998E-2</v>
      </c>
      <c r="AC29" s="40">
        <f t="shared" si="8"/>
        <v>9.1999999999999998E-2</v>
      </c>
      <c r="AD29" s="40">
        <f t="shared" si="8"/>
        <v>9.1999999999999998E-2</v>
      </c>
      <c r="AE29" s="40">
        <f t="shared" si="8"/>
        <v>9.1999999999999998E-2</v>
      </c>
      <c r="AF29" s="40">
        <f t="shared" si="8"/>
        <v>9.1999999999999998E-2</v>
      </c>
      <c r="AG29" s="40">
        <f t="shared" si="8"/>
        <v>9.1999999999999998E-2</v>
      </c>
      <c r="AH29" s="40">
        <f t="shared" si="8"/>
        <v>9.1999999999999998E-2</v>
      </c>
      <c r="AI29" s="40">
        <f t="shared" si="8"/>
        <v>9.1999999999999998E-2</v>
      </c>
      <c r="AJ29" s="40">
        <f t="shared" si="8"/>
        <v>9.1999999999999998E-2</v>
      </c>
      <c r="AK29" s="40">
        <f t="shared" si="8"/>
        <v>9.1999999999999998E-2</v>
      </c>
      <c r="AL29" s="40">
        <f t="shared" si="8"/>
        <v>9.1999999999999998E-2</v>
      </c>
      <c r="AM29" s="40">
        <f t="shared" si="8"/>
        <v>9.1999999999999998E-2</v>
      </c>
      <c r="AN29" s="40">
        <f t="shared" si="8"/>
        <v>8.2800000000000012E-2</v>
      </c>
      <c r="AO29" s="40">
        <f t="shared" si="8"/>
        <v>8.2800000000000012E-2</v>
      </c>
      <c r="AP29" s="40">
        <f t="shared" si="8"/>
        <v>8.2800000000000012E-2</v>
      </c>
      <c r="AQ29" s="40">
        <f t="shared" si="8"/>
        <v>8.2800000000000012E-2</v>
      </c>
      <c r="AR29" s="40">
        <f t="shared" si="8"/>
        <v>8.2800000000000012E-2</v>
      </c>
      <c r="AS29" s="40">
        <f t="shared" si="8"/>
        <v>8.2800000000000012E-2</v>
      </c>
      <c r="AT29" s="40">
        <f t="shared" si="8"/>
        <v>8.2800000000000012E-2</v>
      </c>
      <c r="AU29" s="40">
        <f t="shared" si="8"/>
        <v>8.2800000000000012E-2</v>
      </c>
      <c r="AV29" s="40">
        <f t="shared" si="8"/>
        <v>8.2800000000000012E-2</v>
      </c>
      <c r="AW29" s="40">
        <f t="shared" si="8"/>
        <v>8.2800000000000012E-2</v>
      </c>
      <c r="AX29" s="40">
        <f t="shared" si="8"/>
        <v>8.2800000000000012E-2</v>
      </c>
      <c r="AY29" s="40">
        <f t="shared" si="8"/>
        <v>8.2800000000000012E-2</v>
      </c>
      <c r="AZ29" s="40">
        <f t="shared" si="8"/>
        <v>7.4520000000000003E-2</v>
      </c>
      <c r="BA29" s="40">
        <f t="shared" si="8"/>
        <v>7.4520000000000003E-2</v>
      </c>
    </row>
    <row r="30" spans="2:53" x14ac:dyDescent="0.35">
      <c r="B30" s="38">
        <v>0.25</v>
      </c>
      <c r="C30" s="34" t="s">
        <v>48</v>
      </c>
      <c r="D30" s="40">
        <f t="shared" si="9"/>
        <v>0.08</v>
      </c>
      <c r="E30" s="40">
        <f t="shared" si="8"/>
        <v>0.08</v>
      </c>
      <c r="F30" s="40">
        <f t="shared" si="8"/>
        <v>0.08</v>
      </c>
      <c r="G30" s="40">
        <f t="shared" si="8"/>
        <v>0.08</v>
      </c>
      <c r="H30" s="40">
        <f t="shared" si="8"/>
        <v>0.08</v>
      </c>
      <c r="I30" s="40">
        <f t="shared" si="8"/>
        <v>0.08</v>
      </c>
      <c r="J30" s="40">
        <f t="shared" si="8"/>
        <v>0.08</v>
      </c>
      <c r="K30" s="40">
        <f t="shared" si="8"/>
        <v>0.08</v>
      </c>
      <c r="L30" s="40">
        <f t="shared" si="8"/>
        <v>0.08</v>
      </c>
      <c r="M30" s="40">
        <f t="shared" si="8"/>
        <v>0.08</v>
      </c>
      <c r="N30" s="40">
        <f t="shared" si="8"/>
        <v>0.08</v>
      </c>
      <c r="O30" s="40">
        <f t="shared" si="8"/>
        <v>0.08</v>
      </c>
      <c r="P30" s="40">
        <f t="shared" si="8"/>
        <v>0.08</v>
      </c>
      <c r="Q30" s="40">
        <f t="shared" si="8"/>
        <v>0.08</v>
      </c>
      <c r="R30" s="40">
        <f t="shared" si="8"/>
        <v>0.08</v>
      </c>
      <c r="S30" s="40">
        <f t="shared" si="8"/>
        <v>0.08</v>
      </c>
      <c r="T30" s="40">
        <f t="shared" si="8"/>
        <v>0.08</v>
      </c>
      <c r="U30" s="40">
        <f t="shared" si="8"/>
        <v>0.08</v>
      </c>
      <c r="V30" s="40">
        <f t="shared" si="8"/>
        <v>0.08</v>
      </c>
      <c r="W30" s="40">
        <f t="shared" si="8"/>
        <v>0.08</v>
      </c>
      <c r="X30" s="40">
        <f t="shared" si="8"/>
        <v>0.08</v>
      </c>
      <c r="Y30" s="40">
        <f t="shared" si="8"/>
        <v>0.08</v>
      </c>
      <c r="Z30" s="40">
        <f t="shared" si="8"/>
        <v>0.08</v>
      </c>
      <c r="AA30" s="40">
        <f t="shared" si="8"/>
        <v>0.08</v>
      </c>
      <c r="AB30" s="40">
        <f t="shared" si="8"/>
        <v>0.08</v>
      </c>
      <c r="AC30" s="40">
        <f t="shared" si="8"/>
        <v>0.08</v>
      </c>
      <c r="AD30" s="40">
        <f t="shared" si="8"/>
        <v>0.08</v>
      </c>
      <c r="AE30" s="40">
        <f t="shared" si="8"/>
        <v>0.08</v>
      </c>
      <c r="AF30" s="40">
        <f t="shared" si="8"/>
        <v>0.08</v>
      </c>
      <c r="AG30" s="40">
        <f t="shared" si="8"/>
        <v>0.08</v>
      </c>
      <c r="AH30" s="40">
        <f t="shared" si="8"/>
        <v>0.08</v>
      </c>
      <c r="AI30" s="40">
        <f t="shared" si="8"/>
        <v>0.08</v>
      </c>
      <c r="AJ30" s="40">
        <f t="shared" si="8"/>
        <v>0.08</v>
      </c>
      <c r="AK30" s="40">
        <f t="shared" si="8"/>
        <v>0.08</v>
      </c>
      <c r="AL30" s="40">
        <f t="shared" si="8"/>
        <v>0.08</v>
      </c>
      <c r="AM30" s="40">
        <f t="shared" si="8"/>
        <v>0.08</v>
      </c>
      <c r="AN30" s="40">
        <f t="shared" si="8"/>
        <v>7.2000000000000008E-2</v>
      </c>
      <c r="AO30" s="40">
        <f t="shared" si="8"/>
        <v>7.2000000000000008E-2</v>
      </c>
      <c r="AP30" s="40">
        <f t="shared" si="8"/>
        <v>7.2000000000000008E-2</v>
      </c>
      <c r="AQ30" s="40">
        <f t="shared" si="8"/>
        <v>7.2000000000000008E-2</v>
      </c>
      <c r="AR30" s="40">
        <f t="shared" si="8"/>
        <v>7.2000000000000008E-2</v>
      </c>
      <c r="AS30" s="40">
        <f t="shared" si="8"/>
        <v>7.2000000000000008E-2</v>
      </c>
      <c r="AT30" s="40">
        <f t="shared" si="8"/>
        <v>7.2000000000000008E-2</v>
      </c>
      <c r="AU30" s="40">
        <f t="shared" si="8"/>
        <v>7.2000000000000008E-2</v>
      </c>
      <c r="AV30" s="40">
        <f t="shared" si="8"/>
        <v>7.2000000000000008E-2</v>
      </c>
      <c r="AW30" s="40">
        <f t="shared" si="8"/>
        <v>7.2000000000000008E-2</v>
      </c>
      <c r="AX30" s="40">
        <f t="shared" si="8"/>
        <v>7.2000000000000008E-2</v>
      </c>
      <c r="AY30" s="40">
        <f t="shared" si="8"/>
        <v>7.2000000000000008E-2</v>
      </c>
      <c r="AZ30" s="40">
        <f t="shared" si="8"/>
        <v>6.480000000000001E-2</v>
      </c>
      <c r="BA30" s="40">
        <f t="shared" si="8"/>
        <v>6.480000000000001E-2</v>
      </c>
    </row>
    <row r="32" spans="2:53" x14ac:dyDescent="0.35">
      <c r="B32" s="3" t="s">
        <v>54</v>
      </c>
    </row>
    <row r="33" spans="2:53" x14ac:dyDescent="0.35">
      <c r="C33" t="s">
        <v>45</v>
      </c>
    </row>
    <row r="34" spans="2:53" x14ac:dyDescent="0.35">
      <c r="C34" s="34" t="s">
        <v>46</v>
      </c>
      <c r="D34" s="39">
        <v>7.0000000000000007E-2</v>
      </c>
      <c r="E34" s="39">
        <v>7.0000000000000007E-2</v>
      </c>
      <c r="F34" s="39">
        <v>7.0000000000000007E-2</v>
      </c>
      <c r="G34" s="39">
        <v>7.0000000000000007E-2</v>
      </c>
      <c r="H34" s="39">
        <v>7.0000000000000007E-2</v>
      </c>
      <c r="I34" s="39">
        <v>7.0000000000000007E-2</v>
      </c>
      <c r="J34" s="39">
        <v>7.0000000000000007E-2</v>
      </c>
      <c r="K34" s="39">
        <v>7.0000000000000007E-2</v>
      </c>
      <c r="L34" s="39">
        <v>7.0000000000000007E-2</v>
      </c>
      <c r="M34" s="39">
        <v>7.0000000000000007E-2</v>
      </c>
      <c r="N34" s="39">
        <v>7.0000000000000007E-2</v>
      </c>
      <c r="O34" s="39">
        <v>7.0000000000000007E-2</v>
      </c>
      <c r="P34" s="39">
        <v>7.0000000000000007E-2</v>
      </c>
      <c r="Q34" s="39">
        <v>7.0000000000000007E-2</v>
      </c>
      <c r="R34" s="39">
        <v>7.0000000000000007E-2</v>
      </c>
      <c r="S34" s="39">
        <v>7.0000000000000007E-2</v>
      </c>
      <c r="T34" s="39">
        <v>7.0000000000000007E-2</v>
      </c>
      <c r="U34" s="39">
        <v>7.0000000000000007E-2</v>
      </c>
      <c r="V34" s="39">
        <v>7.0000000000000007E-2</v>
      </c>
      <c r="W34" s="39">
        <v>7.0000000000000007E-2</v>
      </c>
      <c r="X34" s="39">
        <v>7.0000000000000007E-2</v>
      </c>
      <c r="Y34" s="39">
        <v>7.0000000000000007E-2</v>
      </c>
      <c r="Z34" s="39">
        <v>7.0000000000000007E-2</v>
      </c>
      <c r="AA34" s="39">
        <v>7.0000000000000007E-2</v>
      </c>
      <c r="AB34" s="39">
        <v>7.0000000000000007E-2</v>
      </c>
      <c r="AC34" s="39">
        <v>7.0000000000000007E-2</v>
      </c>
      <c r="AD34" s="39">
        <v>7.0000000000000007E-2</v>
      </c>
      <c r="AE34" s="39">
        <v>7.0000000000000007E-2</v>
      </c>
      <c r="AF34" s="39">
        <v>7.0000000000000007E-2</v>
      </c>
      <c r="AG34" s="39">
        <v>7.0000000000000007E-2</v>
      </c>
      <c r="AH34" s="39">
        <v>7.0000000000000007E-2</v>
      </c>
      <c r="AI34" s="39">
        <v>7.0000000000000007E-2</v>
      </c>
      <c r="AJ34" s="39">
        <v>7.0000000000000007E-2</v>
      </c>
      <c r="AK34" s="39">
        <v>7.0000000000000007E-2</v>
      </c>
      <c r="AL34" s="39">
        <v>7.0000000000000007E-2</v>
      </c>
      <c r="AM34" s="39">
        <v>7.0000000000000007E-2</v>
      </c>
      <c r="AN34" s="39">
        <v>7.0000000000000007E-2</v>
      </c>
      <c r="AO34" s="39">
        <v>7.0000000000000007E-2</v>
      </c>
      <c r="AP34" s="39">
        <v>7.0000000000000007E-2</v>
      </c>
      <c r="AQ34" s="39">
        <v>7.0000000000000007E-2</v>
      </c>
      <c r="AR34" s="39">
        <v>7.0000000000000007E-2</v>
      </c>
      <c r="AS34" s="39">
        <v>7.0000000000000007E-2</v>
      </c>
      <c r="AT34" s="39">
        <v>7.0000000000000007E-2</v>
      </c>
      <c r="AU34" s="39">
        <v>7.0000000000000007E-2</v>
      </c>
      <c r="AV34" s="39">
        <v>7.0000000000000007E-2</v>
      </c>
      <c r="AW34" s="39">
        <v>7.0000000000000007E-2</v>
      </c>
      <c r="AX34" s="39">
        <v>7.0000000000000007E-2</v>
      </c>
      <c r="AY34" s="39">
        <v>7.0000000000000007E-2</v>
      </c>
      <c r="AZ34" s="39">
        <v>7.0000000000000007E-2</v>
      </c>
      <c r="BA34" s="39">
        <v>7.0000000000000007E-2</v>
      </c>
    </row>
    <row r="35" spans="2:53" x14ac:dyDescent="0.35">
      <c r="C35" s="34" t="s">
        <v>47</v>
      </c>
      <c r="D35" s="40">
        <f>D34*4/10</f>
        <v>2.8000000000000004E-2</v>
      </c>
      <c r="E35" s="40">
        <f t="shared" ref="E35:AY35" si="10">E34*4/10</f>
        <v>2.8000000000000004E-2</v>
      </c>
      <c r="F35" s="40">
        <f t="shared" si="10"/>
        <v>2.8000000000000004E-2</v>
      </c>
      <c r="G35" s="40">
        <f t="shared" si="10"/>
        <v>2.8000000000000004E-2</v>
      </c>
      <c r="H35" s="40">
        <f t="shared" si="10"/>
        <v>2.8000000000000004E-2</v>
      </c>
      <c r="I35" s="40">
        <f t="shared" si="10"/>
        <v>2.8000000000000004E-2</v>
      </c>
      <c r="J35" s="40">
        <f t="shared" si="10"/>
        <v>2.8000000000000004E-2</v>
      </c>
      <c r="K35" s="40">
        <f t="shared" si="10"/>
        <v>2.8000000000000004E-2</v>
      </c>
      <c r="L35" s="40">
        <f t="shared" si="10"/>
        <v>2.8000000000000004E-2</v>
      </c>
      <c r="M35" s="40">
        <f t="shared" si="10"/>
        <v>2.8000000000000004E-2</v>
      </c>
      <c r="N35" s="40">
        <f t="shared" si="10"/>
        <v>2.8000000000000004E-2</v>
      </c>
      <c r="O35" s="40">
        <f t="shared" si="10"/>
        <v>2.8000000000000004E-2</v>
      </c>
      <c r="P35" s="40">
        <f t="shared" si="10"/>
        <v>2.8000000000000004E-2</v>
      </c>
      <c r="Q35" s="40">
        <f t="shared" si="10"/>
        <v>2.8000000000000004E-2</v>
      </c>
      <c r="R35" s="40">
        <f t="shared" si="10"/>
        <v>2.8000000000000004E-2</v>
      </c>
      <c r="S35" s="40">
        <f t="shared" si="10"/>
        <v>2.8000000000000004E-2</v>
      </c>
      <c r="T35" s="40">
        <f t="shared" si="10"/>
        <v>2.8000000000000004E-2</v>
      </c>
      <c r="U35" s="40">
        <f t="shared" si="10"/>
        <v>2.8000000000000004E-2</v>
      </c>
      <c r="V35" s="40">
        <f t="shared" si="10"/>
        <v>2.8000000000000004E-2</v>
      </c>
      <c r="W35" s="40">
        <f t="shared" si="10"/>
        <v>2.8000000000000004E-2</v>
      </c>
      <c r="X35" s="40">
        <f t="shared" si="10"/>
        <v>2.8000000000000004E-2</v>
      </c>
      <c r="Y35" s="40">
        <f t="shared" si="10"/>
        <v>2.8000000000000004E-2</v>
      </c>
      <c r="Z35" s="40">
        <f t="shared" si="10"/>
        <v>2.8000000000000004E-2</v>
      </c>
      <c r="AA35" s="40">
        <f t="shared" si="10"/>
        <v>2.8000000000000004E-2</v>
      </c>
      <c r="AB35" s="40">
        <f t="shared" si="10"/>
        <v>2.8000000000000004E-2</v>
      </c>
      <c r="AC35" s="40">
        <f t="shared" si="10"/>
        <v>2.8000000000000004E-2</v>
      </c>
      <c r="AD35" s="40">
        <f t="shared" si="10"/>
        <v>2.8000000000000004E-2</v>
      </c>
      <c r="AE35" s="40">
        <f t="shared" si="10"/>
        <v>2.8000000000000004E-2</v>
      </c>
      <c r="AF35" s="40">
        <f t="shared" si="10"/>
        <v>2.8000000000000004E-2</v>
      </c>
      <c r="AG35" s="40">
        <f t="shared" si="10"/>
        <v>2.8000000000000004E-2</v>
      </c>
      <c r="AH35" s="40">
        <f t="shared" si="10"/>
        <v>2.8000000000000004E-2</v>
      </c>
      <c r="AI35" s="40">
        <f t="shared" si="10"/>
        <v>2.8000000000000004E-2</v>
      </c>
      <c r="AJ35" s="40">
        <f t="shared" si="10"/>
        <v>2.8000000000000004E-2</v>
      </c>
      <c r="AK35" s="40">
        <f t="shared" si="10"/>
        <v>2.8000000000000004E-2</v>
      </c>
      <c r="AL35" s="40">
        <f t="shared" si="10"/>
        <v>2.8000000000000004E-2</v>
      </c>
      <c r="AM35" s="40">
        <f t="shared" si="10"/>
        <v>2.8000000000000004E-2</v>
      </c>
      <c r="AN35" s="40">
        <f t="shared" si="10"/>
        <v>2.8000000000000004E-2</v>
      </c>
      <c r="AO35" s="40">
        <f t="shared" si="10"/>
        <v>2.8000000000000004E-2</v>
      </c>
      <c r="AP35" s="40">
        <f t="shared" si="10"/>
        <v>2.8000000000000004E-2</v>
      </c>
      <c r="AQ35" s="40">
        <f t="shared" si="10"/>
        <v>2.8000000000000004E-2</v>
      </c>
      <c r="AR35" s="40">
        <f t="shared" si="10"/>
        <v>2.8000000000000004E-2</v>
      </c>
      <c r="AS35" s="40">
        <f t="shared" si="10"/>
        <v>2.8000000000000004E-2</v>
      </c>
      <c r="AT35" s="40">
        <f t="shared" si="10"/>
        <v>2.8000000000000004E-2</v>
      </c>
      <c r="AU35" s="40">
        <f t="shared" si="10"/>
        <v>2.8000000000000004E-2</v>
      </c>
      <c r="AV35" s="40">
        <f t="shared" si="10"/>
        <v>2.8000000000000004E-2</v>
      </c>
      <c r="AW35" s="40">
        <f t="shared" si="10"/>
        <v>2.8000000000000004E-2</v>
      </c>
      <c r="AX35" s="40">
        <f t="shared" si="10"/>
        <v>2.8000000000000004E-2</v>
      </c>
      <c r="AY35" s="40">
        <f t="shared" si="10"/>
        <v>2.8000000000000004E-2</v>
      </c>
      <c r="AZ35" s="40">
        <f>AZ34*4/10</f>
        <v>2.8000000000000004E-2</v>
      </c>
      <c r="BA35" s="40">
        <f>BA34*4/10</f>
        <v>2.8000000000000004E-2</v>
      </c>
    </row>
    <row r="36" spans="2:53" x14ac:dyDescent="0.35">
      <c r="C36" s="34" t="s">
        <v>48</v>
      </c>
      <c r="D36" s="39">
        <v>0.06</v>
      </c>
      <c r="E36" s="39">
        <v>0.06</v>
      </c>
      <c r="F36" s="39">
        <v>0.06</v>
      </c>
      <c r="G36" s="39">
        <v>0.06</v>
      </c>
      <c r="H36" s="39">
        <v>0.06</v>
      </c>
      <c r="I36" s="39">
        <v>0.06</v>
      </c>
      <c r="J36" s="39">
        <v>0.06</v>
      </c>
      <c r="K36" s="39">
        <v>0.06</v>
      </c>
      <c r="L36" s="39">
        <v>0.06</v>
      </c>
      <c r="M36" s="39">
        <v>0.06</v>
      </c>
      <c r="N36" s="39">
        <v>0.06</v>
      </c>
      <c r="O36" s="39">
        <v>0.06</v>
      </c>
      <c r="P36" s="39">
        <v>0.06</v>
      </c>
      <c r="Q36" s="39">
        <v>0.06</v>
      </c>
      <c r="R36" s="39">
        <v>0.06</v>
      </c>
      <c r="S36" s="39">
        <v>0.06</v>
      </c>
      <c r="T36" s="39">
        <v>0.06</v>
      </c>
      <c r="U36" s="39">
        <v>0.06</v>
      </c>
      <c r="V36" s="39">
        <v>0.06</v>
      </c>
      <c r="W36" s="39">
        <v>0.06</v>
      </c>
      <c r="X36" s="39">
        <v>0.06</v>
      </c>
      <c r="Y36" s="39">
        <v>0.06</v>
      </c>
      <c r="Z36" s="39">
        <v>0.06</v>
      </c>
      <c r="AA36" s="39">
        <v>0.06</v>
      </c>
      <c r="AB36" s="39">
        <v>0.06</v>
      </c>
      <c r="AC36" s="39">
        <v>0.06</v>
      </c>
      <c r="AD36" s="39">
        <v>0.06</v>
      </c>
      <c r="AE36" s="39">
        <v>0.06</v>
      </c>
      <c r="AF36" s="39">
        <v>0.06</v>
      </c>
      <c r="AG36" s="39">
        <v>0.06</v>
      </c>
      <c r="AH36" s="39">
        <v>0.06</v>
      </c>
      <c r="AI36" s="39">
        <v>0.06</v>
      </c>
      <c r="AJ36" s="39">
        <v>0.06</v>
      </c>
      <c r="AK36" s="39">
        <v>0.06</v>
      </c>
      <c r="AL36" s="39">
        <v>0.06</v>
      </c>
      <c r="AM36" s="39">
        <v>0.06</v>
      </c>
      <c r="AN36" s="39">
        <v>0.06</v>
      </c>
      <c r="AO36" s="39">
        <v>0.06</v>
      </c>
      <c r="AP36" s="39">
        <v>0.06</v>
      </c>
      <c r="AQ36" s="39">
        <v>0.06</v>
      </c>
      <c r="AR36" s="39">
        <v>0.06</v>
      </c>
      <c r="AS36" s="39">
        <v>0.06</v>
      </c>
      <c r="AT36" s="39">
        <v>0.06</v>
      </c>
      <c r="AU36" s="39">
        <v>0.06</v>
      </c>
      <c r="AV36" s="39">
        <v>0.06</v>
      </c>
      <c r="AW36" s="39">
        <v>0.06</v>
      </c>
      <c r="AX36" s="39">
        <v>0.06</v>
      </c>
      <c r="AY36" s="39">
        <v>0.06</v>
      </c>
      <c r="AZ36" s="39">
        <v>0.06</v>
      </c>
      <c r="BA36" s="39">
        <v>0.06</v>
      </c>
    </row>
    <row r="38" spans="2:53" x14ac:dyDescent="0.35">
      <c r="C38" t="s">
        <v>53</v>
      </c>
    </row>
    <row r="39" spans="2:53" x14ac:dyDescent="0.35">
      <c r="C39" s="34" t="s">
        <v>46</v>
      </c>
      <c r="D39" s="42">
        <f>0.02</f>
        <v>0.02</v>
      </c>
      <c r="E39" s="42">
        <f t="shared" ref="E39:AC41" si="11">0.02</f>
        <v>0.02</v>
      </c>
      <c r="F39" s="42">
        <f t="shared" si="11"/>
        <v>0.02</v>
      </c>
      <c r="G39" s="42">
        <f t="shared" si="11"/>
        <v>0.02</v>
      </c>
      <c r="H39" s="42">
        <f t="shared" si="11"/>
        <v>0.02</v>
      </c>
      <c r="I39" s="42">
        <f t="shared" si="11"/>
        <v>0.02</v>
      </c>
      <c r="J39" s="42">
        <f t="shared" si="11"/>
        <v>0.02</v>
      </c>
      <c r="K39" s="42">
        <f t="shared" si="11"/>
        <v>0.02</v>
      </c>
      <c r="L39" s="42">
        <f t="shared" si="11"/>
        <v>0.02</v>
      </c>
      <c r="M39" s="42">
        <f t="shared" si="11"/>
        <v>0.02</v>
      </c>
      <c r="N39" s="42">
        <f t="shared" si="11"/>
        <v>0.02</v>
      </c>
      <c r="O39" s="42">
        <f t="shared" si="11"/>
        <v>0.02</v>
      </c>
      <c r="P39" s="42">
        <f t="shared" si="11"/>
        <v>0.02</v>
      </c>
      <c r="Q39" s="42">
        <f t="shared" si="11"/>
        <v>0.02</v>
      </c>
      <c r="R39" s="42">
        <f t="shared" si="11"/>
        <v>0.02</v>
      </c>
      <c r="S39" s="42">
        <f t="shared" si="11"/>
        <v>0.02</v>
      </c>
      <c r="T39" s="42">
        <f t="shared" si="11"/>
        <v>0.02</v>
      </c>
      <c r="U39" s="42">
        <f t="shared" si="11"/>
        <v>0.02</v>
      </c>
      <c r="V39" s="42">
        <f t="shared" si="11"/>
        <v>0.02</v>
      </c>
      <c r="W39" s="42">
        <f t="shared" si="11"/>
        <v>0.02</v>
      </c>
      <c r="X39" s="42">
        <f t="shared" si="11"/>
        <v>0.02</v>
      </c>
      <c r="Y39" s="42">
        <f t="shared" si="11"/>
        <v>0.02</v>
      </c>
      <c r="Z39" s="42">
        <f t="shared" si="11"/>
        <v>0.02</v>
      </c>
      <c r="AA39" s="42">
        <f t="shared" si="11"/>
        <v>0.02</v>
      </c>
      <c r="AB39" s="42">
        <f t="shared" si="11"/>
        <v>0.02</v>
      </c>
      <c r="AC39" s="42">
        <f t="shared" si="11"/>
        <v>0.02</v>
      </c>
      <c r="AD39" s="42">
        <f t="shared" ref="AD39:BA41" si="12">0.02</f>
        <v>0.02</v>
      </c>
      <c r="AE39" s="42">
        <f t="shared" si="12"/>
        <v>0.02</v>
      </c>
      <c r="AF39" s="42">
        <f t="shared" si="12"/>
        <v>0.02</v>
      </c>
      <c r="AG39" s="42">
        <f t="shared" si="12"/>
        <v>0.02</v>
      </c>
      <c r="AH39" s="42">
        <f t="shared" si="12"/>
        <v>0.02</v>
      </c>
      <c r="AI39" s="42">
        <f t="shared" si="12"/>
        <v>0.02</v>
      </c>
      <c r="AJ39" s="42">
        <f t="shared" si="12"/>
        <v>0.02</v>
      </c>
      <c r="AK39" s="42">
        <f t="shared" si="12"/>
        <v>0.02</v>
      </c>
      <c r="AL39" s="42">
        <f t="shared" si="12"/>
        <v>0.02</v>
      </c>
      <c r="AM39" s="42">
        <f t="shared" si="12"/>
        <v>0.02</v>
      </c>
      <c r="AN39" s="42">
        <f t="shared" si="12"/>
        <v>0.02</v>
      </c>
      <c r="AO39" s="42">
        <f t="shared" si="12"/>
        <v>0.02</v>
      </c>
      <c r="AP39" s="42">
        <f t="shared" si="12"/>
        <v>0.02</v>
      </c>
      <c r="AQ39" s="42">
        <f t="shared" si="12"/>
        <v>0.02</v>
      </c>
      <c r="AR39" s="42">
        <f t="shared" si="12"/>
        <v>0.02</v>
      </c>
      <c r="AS39" s="42">
        <f t="shared" si="12"/>
        <v>0.02</v>
      </c>
      <c r="AT39" s="42">
        <f t="shared" si="12"/>
        <v>0.02</v>
      </c>
      <c r="AU39" s="42">
        <f t="shared" si="12"/>
        <v>0.02</v>
      </c>
      <c r="AV39" s="42">
        <f t="shared" si="12"/>
        <v>0.02</v>
      </c>
      <c r="AW39" s="42">
        <f t="shared" si="12"/>
        <v>0.02</v>
      </c>
      <c r="AX39" s="42">
        <f t="shared" si="12"/>
        <v>0.02</v>
      </c>
      <c r="AY39" s="42">
        <f t="shared" si="12"/>
        <v>0.02</v>
      </c>
      <c r="AZ39" s="42">
        <f t="shared" si="12"/>
        <v>0.02</v>
      </c>
      <c r="BA39" s="42">
        <f t="shared" si="12"/>
        <v>0.02</v>
      </c>
    </row>
    <row r="40" spans="2:53" x14ac:dyDescent="0.35">
      <c r="C40" s="34" t="s">
        <v>47</v>
      </c>
      <c r="D40" s="42">
        <f t="shared" ref="D40:S41" si="13">0.02</f>
        <v>0.02</v>
      </c>
      <c r="E40" s="42">
        <f t="shared" si="13"/>
        <v>0.02</v>
      </c>
      <c r="F40" s="42">
        <f t="shared" si="13"/>
        <v>0.02</v>
      </c>
      <c r="G40" s="42">
        <f t="shared" si="13"/>
        <v>0.02</v>
      </c>
      <c r="H40" s="42">
        <f t="shared" si="13"/>
        <v>0.02</v>
      </c>
      <c r="I40" s="42">
        <f t="shared" si="13"/>
        <v>0.02</v>
      </c>
      <c r="J40" s="42">
        <f t="shared" si="13"/>
        <v>0.02</v>
      </c>
      <c r="K40" s="42">
        <f t="shared" si="13"/>
        <v>0.02</v>
      </c>
      <c r="L40" s="42">
        <f t="shared" si="13"/>
        <v>0.02</v>
      </c>
      <c r="M40" s="42">
        <f t="shared" si="13"/>
        <v>0.02</v>
      </c>
      <c r="N40" s="42">
        <f t="shared" si="13"/>
        <v>0.02</v>
      </c>
      <c r="O40" s="42">
        <f t="shared" si="13"/>
        <v>0.02</v>
      </c>
      <c r="P40" s="42">
        <f t="shared" si="13"/>
        <v>0.02</v>
      </c>
      <c r="Q40" s="42">
        <f t="shared" si="13"/>
        <v>0.02</v>
      </c>
      <c r="R40" s="42">
        <f t="shared" si="13"/>
        <v>0.02</v>
      </c>
      <c r="S40" s="42">
        <f t="shared" si="13"/>
        <v>0.02</v>
      </c>
      <c r="T40" s="42">
        <f t="shared" si="11"/>
        <v>0.02</v>
      </c>
      <c r="U40" s="42">
        <f t="shared" si="11"/>
        <v>0.02</v>
      </c>
      <c r="V40" s="42">
        <f t="shared" si="11"/>
        <v>0.02</v>
      </c>
      <c r="W40" s="42">
        <f t="shared" si="11"/>
        <v>0.02</v>
      </c>
      <c r="X40" s="42">
        <f t="shared" si="11"/>
        <v>0.02</v>
      </c>
      <c r="Y40" s="42">
        <f t="shared" si="11"/>
        <v>0.02</v>
      </c>
      <c r="Z40" s="42">
        <f t="shared" si="11"/>
        <v>0.02</v>
      </c>
      <c r="AA40" s="42">
        <f t="shared" si="11"/>
        <v>0.02</v>
      </c>
      <c r="AB40" s="42">
        <f t="shared" si="11"/>
        <v>0.02</v>
      </c>
      <c r="AC40" s="42">
        <f t="shared" si="11"/>
        <v>0.02</v>
      </c>
      <c r="AD40" s="42">
        <f t="shared" si="12"/>
        <v>0.02</v>
      </c>
      <c r="AE40" s="42">
        <f t="shared" si="12"/>
        <v>0.02</v>
      </c>
      <c r="AF40" s="42">
        <f t="shared" si="12"/>
        <v>0.02</v>
      </c>
      <c r="AG40" s="42">
        <f t="shared" si="12"/>
        <v>0.02</v>
      </c>
      <c r="AH40" s="42">
        <f t="shared" si="12"/>
        <v>0.02</v>
      </c>
      <c r="AI40" s="42">
        <f t="shared" si="12"/>
        <v>0.02</v>
      </c>
      <c r="AJ40" s="42">
        <f t="shared" si="12"/>
        <v>0.02</v>
      </c>
      <c r="AK40" s="42">
        <f t="shared" si="12"/>
        <v>0.02</v>
      </c>
      <c r="AL40" s="42">
        <f t="shared" si="12"/>
        <v>0.02</v>
      </c>
      <c r="AM40" s="42">
        <f t="shared" si="12"/>
        <v>0.02</v>
      </c>
      <c r="AN40" s="42">
        <f t="shared" si="12"/>
        <v>0.02</v>
      </c>
      <c r="AO40" s="42">
        <f t="shared" si="12"/>
        <v>0.02</v>
      </c>
      <c r="AP40" s="42">
        <f t="shared" si="12"/>
        <v>0.02</v>
      </c>
      <c r="AQ40" s="42">
        <f t="shared" si="12"/>
        <v>0.02</v>
      </c>
      <c r="AR40" s="42">
        <f t="shared" si="12"/>
        <v>0.02</v>
      </c>
      <c r="AS40" s="42">
        <f t="shared" si="12"/>
        <v>0.02</v>
      </c>
      <c r="AT40" s="42">
        <f t="shared" si="12"/>
        <v>0.02</v>
      </c>
      <c r="AU40" s="42">
        <f t="shared" si="12"/>
        <v>0.02</v>
      </c>
      <c r="AV40" s="42">
        <f t="shared" si="12"/>
        <v>0.02</v>
      </c>
      <c r="AW40" s="42">
        <f t="shared" si="12"/>
        <v>0.02</v>
      </c>
      <c r="AX40" s="42">
        <f t="shared" si="12"/>
        <v>0.02</v>
      </c>
      <c r="AY40" s="42">
        <f t="shared" si="12"/>
        <v>0.02</v>
      </c>
      <c r="AZ40" s="42">
        <f t="shared" si="12"/>
        <v>0.02</v>
      </c>
      <c r="BA40" s="42">
        <f t="shared" si="12"/>
        <v>0.02</v>
      </c>
    </row>
    <row r="41" spans="2:53" x14ac:dyDescent="0.35">
      <c r="C41" s="34" t="s">
        <v>48</v>
      </c>
      <c r="D41" s="42">
        <f t="shared" si="13"/>
        <v>0.02</v>
      </c>
      <c r="E41" s="42">
        <f t="shared" si="11"/>
        <v>0.02</v>
      </c>
      <c r="F41" s="42">
        <f t="shared" si="11"/>
        <v>0.02</v>
      </c>
      <c r="G41" s="42">
        <f t="shared" si="11"/>
        <v>0.02</v>
      </c>
      <c r="H41" s="42">
        <f t="shared" si="11"/>
        <v>0.02</v>
      </c>
      <c r="I41" s="42">
        <f t="shared" si="11"/>
        <v>0.02</v>
      </c>
      <c r="J41" s="42">
        <f t="shared" si="11"/>
        <v>0.02</v>
      </c>
      <c r="K41" s="42">
        <f t="shared" si="11"/>
        <v>0.02</v>
      </c>
      <c r="L41" s="42">
        <f t="shared" si="11"/>
        <v>0.02</v>
      </c>
      <c r="M41" s="42">
        <f t="shared" si="11"/>
        <v>0.02</v>
      </c>
      <c r="N41" s="42">
        <f t="shared" si="11"/>
        <v>0.02</v>
      </c>
      <c r="O41" s="42">
        <f t="shared" si="11"/>
        <v>0.02</v>
      </c>
      <c r="P41" s="42">
        <f t="shared" si="11"/>
        <v>0.02</v>
      </c>
      <c r="Q41" s="42">
        <f t="shared" si="11"/>
        <v>0.02</v>
      </c>
      <c r="R41" s="42">
        <f t="shared" si="11"/>
        <v>0.02</v>
      </c>
      <c r="S41" s="42">
        <f t="shared" si="11"/>
        <v>0.02</v>
      </c>
      <c r="T41" s="42">
        <f t="shared" si="11"/>
        <v>0.02</v>
      </c>
      <c r="U41" s="42">
        <f t="shared" si="11"/>
        <v>0.02</v>
      </c>
      <c r="V41" s="42">
        <f t="shared" si="11"/>
        <v>0.02</v>
      </c>
      <c r="W41" s="42">
        <f t="shared" si="11"/>
        <v>0.02</v>
      </c>
      <c r="X41" s="42">
        <f t="shared" si="11"/>
        <v>0.02</v>
      </c>
      <c r="Y41" s="42">
        <f t="shared" si="11"/>
        <v>0.02</v>
      </c>
      <c r="Z41" s="42">
        <f t="shared" si="11"/>
        <v>0.02</v>
      </c>
      <c r="AA41" s="42">
        <f t="shared" si="11"/>
        <v>0.02</v>
      </c>
      <c r="AB41" s="42">
        <f t="shared" si="11"/>
        <v>0.02</v>
      </c>
      <c r="AC41" s="42">
        <f t="shared" si="11"/>
        <v>0.02</v>
      </c>
      <c r="AD41" s="42">
        <f t="shared" si="12"/>
        <v>0.02</v>
      </c>
      <c r="AE41" s="42">
        <f t="shared" si="12"/>
        <v>0.02</v>
      </c>
      <c r="AF41" s="42">
        <f t="shared" si="12"/>
        <v>0.02</v>
      </c>
      <c r="AG41" s="42">
        <f t="shared" si="12"/>
        <v>0.02</v>
      </c>
      <c r="AH41" s="42">
        <f t="shared" si="12"/>
        <v>0.02</v>
      </c>
      <c r="AI41" s="42">
        <f t="shared" si="12"/>
        <v>0.02</v>
      </c>
      <c r="AJ41" s="42">
        <f t="shared" si="12"/>
        <v>0.02</v>
      </c>
      <c r="AK41" s="42">
        <f t="shared" si="12"/>
        <v>0.02</v>
      </c>
      <c r="AL41" s="42">
        <f t="shared" si="12"/>
        <v>0.02</v>
      </c>
      <c r="AM41" s="42">
        <f t="shared" si="12"/>
        <v>0.02</v>
      </c>
      <c r="AN41" s="42">
        <f t="shared" si="12"/>
        <v>0.02</v>
      </c>
      <c r="AO41" s="42">
        <f t="shared" si="12"/>
        <v>0.02</v>
      </c>
      <c r="AP41" s="42">
        <f t="shared" si="12"/>
        <v>0.02</v>
      </c>
      <c r="AQ41" s="42">
        <f t="shared" si="12"/>
        <v>0.02</v>
      </c>
      <c r="AR41" s="42">
        <f t="shared" si="12"/>
        <v>0.02</v>
      </c>
      <c r="AS41" s="42">
        <f t="shared" si="12"/>
        <v>0.02</v>
      </c>
      <c r="AT41" s="42">
        <f t="shared" si="12"/>
        <v>0.02</v>
      </c>
      <c r="AU41" s="42">
        <f t="shared" si="12"/>
        <v>0.02</v>
      </c>
      <c r="AV41" s="42">
        <f t="shared" si="12"/>
        <v>0.02</v>
      </c>
      <c r="AW41" s="42">
        <f t="shared" si="12"/>
        <v>0.02</v>
      </c>
      <c r="AX41" s="42">
        <f t="shared" si="12"/>
        <v>0.02</v>
      </c>
      <c r="AY41" s="42">
        <f t="shared" si="12"/>
        <v>0.02</v>
      </c>
      <c r="AZ41" s="42">
        <f t="shared" si="12"/>
        <v>0.02</v>
      </c>
      <c r="BA41" s="42">
        <f t="shared" si="12"/>
        <v>0.02</v>
      </c>
    </row>
    <row r="43" spans="2:53" x14ac:dyDescent="0.35">
      <c r="B43" s="3" t="s">
        <v>55</v>
      </c>
    </row>
    <row r="44" spans="2:53" x14ac:dyDescent="0.35">
      <c r="C44" t="s">
        <v>56</v>
      </c>
    </row>
    <row r="45" spans="2:53" x14ac:dyDescent="0.35">
      <c r="B45" t="s">
        <v>57</v>
      </c>
      <c r="C45" s="34" t="s">
        <v>58</v>
      </c>
      <c r="M45" s="43">
        <v>1</v>
      </c>
      <c r="N45" s="43">
        <v>24</v>
      </c>
      <c r="O45" s="43">
        <v>24</v>
      </c>
      <c r="P45" s="43">
        <v>21</v>
      </c>
      <c r="Q45" s="43">
        <v>21</v>
      </c>
      <c r="R45" s="43">
        <v>28</v>
      </c>
      <c r="S45" s="35">
        <f t="shared" ref="S45:BA45" si="14">$R45/($R76*$R78*$R80+$R88*$R90*$R92)*(S76*S78*S80+S88*S90*S92)</f>
        <v>28</v>
      </c>
      <c r="T45" s="35">
        <f t="shared" si="14"/>
        <v>28</v>
      </c>
      <c r="U45" s="35">
        <f t="shared" si="14"/>
        <v>39.199999999999996</v>
      </c>
      <c r="V45" s="35">
        <f t="shared" si="14"/>
        <v>39.199999999999996</v>
      </c>
      <c r="W45" s="35">
        <f t="shared" si="14"/>
        <v>42</v>
      </c>
      <c r="X45" s="35">
        <f t="shared" si="14"/>
        <v>46.199999999999996</v>
      </c>
      <c r="Y45" s="35">
        <f t="shared" si="14"/>
        <v>49.559999999999995</v>
      </c>
      <c r="Z45" s="35">
        <f t="shared" si="14"/>
        <v>53.133662444844667</v>
      </c>
      <c r="AA45" s="35">
        <f t="shared" si="14"/>
        <v>53.133662444844667</v>
      </c>
      <c r="AB45" s="35">
        <f t="shared" si="14"/>
        <v>53.133662444844667</v>
      </c>
      <c r="AC45" s="35">
        <f t="shared" si="14"/>
        <v>53.133662444844667</v>
      </c>
      <c r="AD45" s="35">
        <f t="shared" si="14"/>
        <v>53.133662444844667</v>
      </c>
      <c r="AE45" s="35">
        <f t="shared" si="14"/>
        <v>53.133662444844667</v>
      </c>
      <c r="AF45" s="35">
        <f t="shared" si="14"/>
        <v>53.133662444844667</v>
      </c>
      <c r="AG45" s="35">
        <f t="shared" si="14"/>
        <v>54.599999999999994</v>
      </c>
      <c r="AH45" s="35">
        <f t="shared" si="14"/>
        <v>56.102124441121646</v>
      </c>
      <c r="AI45" s="35">
        <f t="shared" si="14"/>
        <v>67.594961769225534</v>
      </c>
      <c r="AJ45" s="35">
        <f t="shared" si="14"/>
        <v>68.104249065026025</v>
      </c>
      <c r="AK45" s="35">
        <f t="shared" si="14"/>
        <v>79.472557473104374</v>
      </c>
      <c r="AL45" s="35">
        <f t="shared" si="14"/>
        <v>79.472557473104374</v>
      </c>
      <c r="AM45" s="35">
        <f t="shared" si="14"/>
        <v>79.472557473104374</v>
      </c>
      <c r="AN45" s="35">
        <f t="shared" si="14"/>
        <v>79.564820690765345</v>
      </c>
      <c r="AO45" s="35">
        <f t="shared" si="14"/>
        <v>79.564820690765345</v>
      </c>
      <c r="AP45" s="35">
        <f t="shared" si="14"/>
        <v>79.86928821484436</v>
      </c>
      <c r="AQ45" s="35">
        <f t="shared" si="14"/>
        <v>79.86928821484436</v>
      </c>
      <c r="AR45" s="35">
        <f t="shared" si="14"/>
        <v>79.86928821484436</v>
      </c>
      <c r="AS45" s="35">
        <f t="shared" si="14"/>
        <v>86.86928821484436</v>
      </c>
      <c r="AT45" s="35">
        <f t="shared" si="14"/>
        <v>86.86928821484436</v>
      </c>
      <c r="AU45" s="35">
        <f t="shared" si="14"/>
        <v>88.966674990941016</v>
      </c>
      <c r="AV45" s="35">
        <f t="shared" si="14"/>
        <v>93.86928821484436</v>
      </c>
      <c r="AW45" s="35">
        <f t="shared" si="14"/>
        <v>93.86928821484436</v>
      </c>
      <c r="AX45" s="35">
        <f t="shared" si="14"/>
        <v>93.86928821484436</v>
      </c>
      <c r="AY45" s="35">
        <f t="shared" si="14"/>
        <v>93.86928821484436</v>
      </c>
      <c r="AZ45" s="35">
        <f t="shared" si="14"/>
        <v>93.86928821484436</v>
      </c>
      <c r="BA45" s="35">
        <f t="shared" si="14"/>
        <v>93.86928821484436</v>
      </c>
    </row>
    <row r="46" spans="2:53" x14ac:dyDescent="0.35">
      <c r="B46" t="s">
        <v>57</v>
      </c>
      <c r="C46" s="34" t="s">
        <v>59</v>
      </c>
      <c r="M46" s="43">
        <v>0</v>
      </c>
      <c r="N46" s="43">
        <v>8</v>
      </c>
      <c r="O46" s="43">
        <v>8</v>
      </c>
      <c r="P46" s="43">
        <v>8</v>
      </c>
      <c r="Q46" s="43">
        <v>8</v>
      </c>
      <c r="R46" s="43">
        <v>9</v>
      </c>
      <c r="S46" s="35">
        <f>$R46/$R45*S$45</f>
        <v>9</v>
      </c>
      <c r="T46" s="35">
        <f t="shared" ref="T46:BA46" si="15">$R46/$R45*T$45</f>
        <v>9</v>
      </c>
      <c r="U46" s="35">
        <f t="shared" si="15"/>
        <v>12.6</v>
      </c>
      <c r="V46" s="35">
        <f t="shared" si="15"/>
        <v>12.6</v>
      </c>
      <c r="W46" s="35">
        <f t="shared" si="15"/>
        <v>13.500000000000002</v>
      </c>
      <c r="X46" s="35">
        <f t="shared" si="15"/>
        <v>14.85</v>
      </c>
      <c r="Y46" s="35">
        <f t="shared" si="15"/>
        <v>15.93</v>
      </c>
      <c r="Z46" s="35">
        <f t="shared" si="15"/>
        <v>17.078677214414359</v>
      </c>
      <c r="AA46" s="35">
        <f t="shared" si="15"/>
        <v>17.078677214414359</v>
      </c>
      <c r="AB46" s="35">
        <f t="shared" si="15"/>
        <v>17.078677214414359</v>
      </c>
      <c r="AC46" s="35">
        <f t="shared" si="15"/>
        <v>17.078677214414359</v>
      </c>
      <c r="AD46" s="35">
        <f t="shared" si="15"/>
        <v>17.078677214414359</v>
      </c>
      <c r="AE46" s="35">
        <f t="shared" si="15"/>
        <v>17.078677214414359</v>
      </c>
      <c r="AF46" s="35">
        <f t="shared" si="15"/>
        <v>17.078677214414359</v>
      </c>
      <c r="AG46" s="35">
        <f t="shared" si="15"/>
        <v>17.55</v>
      </c>
      <c r="AH46" s="35">
        <f t="shared" si="15"/>
        <v>18.032825713217672</v>
      </c>
      <c r="AI46" s="35">
        <f t="shared" si="15"/>
        <v>21.726951997251067</v>
      </c>
      <c r="AJ46" s="35">
        <f t="shared" si="15"/>
        <v>21.89065148518694</v>
      </c>
      <c r="AK46" s="35">
        <f t="shared" si="15"/>
        <v>25.544750616354978</v>
      </c>
      <c r="AL46" s="35">
        <f t="shared" si="15"/>
        <v>25.544750616354978</v>
      </c>
      <c r="AM46" s="35">
        <f t="shared" si="15"/>
        <v>25.544750616354978</v>
      </c>
      <c r="AN46" s="35">
        <f t="shared" si="15"/>
        <v>25.574406650603148</v>
      </c>
      <c r="AO46" s="35">
        <f t="shared" si="15"/>
        <v>25.574406650603148</v>
      </c>
      <c r="AP46" s="35">
        <f t="shared" si="15"/>
        <v>25.672271211914261</v>
      </c>
      <c r="AQ46" s="35">
        <f t="shared" si="15"/>
        <v>25.672271211914261</v>
      </c>
      <c r="AR46" s="35">
        <f t="shared" si="15"/>
        <v>25.672271211914261</v>
      </c>
      <c r="AS46" s="35">
        <f t="shared" si="15"/>
        <v>27.922271211914261</v>
      </c>
      <c r="AT46" s="35">
        <f t="shared" si="15"/>
        <v>27.922271211914261</v>
      </c>
      <c r="AU46" s="35">
        <f t="shared" si="15"/>
        <v>28.596431247088187</v>
      </c>
      <c r="AV46" s="35">
        <f t="shared" si="15"/>
        <v>30.172271211914261</v>
      </c>
      <c r="AW46" s="35">
        <f t="shared" si="15"/>
        <v>30.172271211914261</v>
      </c>
      <c r="AX46" s="35">
        <f t="shared" si="15"/>
        <v>30.172271211914261</v>
      </c>
      <c r="AY46" s="35">
        <f t="shared" si="15"/>
        <v>30.172271211914261</v>
      </c>
      <c r="AZ46" s="35">
        <f t="shared" si="15"/>
        <v>30.172271211914261</v>
      </c>
      <c r="BA46" s="35">
        <f t="shared" si="15"/>
        <v>30.172271211914261</v>
      </c>
    </row>
    <row r="47" spans="2:53" x14ac:dyDescent="0.35">
      <c r="B47" t="s">
        <v>57</v>
      </c>
      <c r="C47" s="34" t="s">
        <v>60</v>
      </c>
      <c r="M47" s="43">
        <v>0</v>
      </c>
      <c r="N47" s="43">
        <v>7</v>
      </c>
      <c r="O47" s="43">
        <v>7</v>
      </c>
      <c r="P47" s="43">
        <v>0</v>
      </c>
      <c r="Q47" s="43">
        <v>0</v>
      </c>
      <c r="R47" s="43">
        <v>0</v>
      </c>
      <c r="S47" s="35">
        <f>$R47/$R45*S$45</f>
        <v>0</v>
      </c>
      <c r="T47" s="35">
        <f t="shared" ref="T47:BA47" si="16">$R47/$R45*T$45</f>
        <v>0</v>
      </c>
      <c r="U47" s="35">
        <f t="shared" si="16"/>
        <v>0</v>
      </c>
      <c r="V47" s="35">
        <f t="shared" si="16"/>
        <v>0</v>
      </c>
      <c r="W47" s="35">
        <f t="shared" si="16"/>
        <v>0</v>
      </c>
      <c r="X47" s="35">
        <f t="shared" si="16"/>
        <v>0</v>
      </c>
      <c r="Y47" s="35">
        <f t="shared" si="16"/>
        <v>0</v>
      </c>
      <c r="Z47" s="35">
        <f t="shared" si="16"/>
        <v>0</v>
      </c>
      <c r="AA47" s="35">
        <f t="shared" si="16"/>
        <v>0</v>
      </c>
      <c r="AB47" s="35">
        <f t="shared" si="16"/>
        <v>0</v>
      </c>
      <c r="AC47" s="35">
        <f t="shared" si="16"/>
        <v>0</v>
      </c>
      <c r="AD47" s="35">
        <f t="shared" si="16"/>
        <v>0</v>
      </c>
      <c r="AE47" s="35">
        <f t="shared" si="16"/>
        <v>0</v>
      </c>
      <c r="AF47" s="35">
        <f t="shared" si="16"/>
        <v>0</v>
      </c>
      <c r="AG47" s="35">
        <f t="shared" si="16"/>
        <v>0</v>
      </c>
      <c r="AH47" s="35">
        <f t="shared" si="16"/>
        <v>0</v>
      </c>
      <c r="AI47" s="35">
        <f t="shared" si="16"/>
        <v>0</v>
      </c>
      <c r="AJ47" s="35">
        <f t="shared" si="16"/>
        <v>0</v>
      </c>
      <c r="AK47" s="35">
        <f t="shared" si="16"/>
        <v>0</v>
      </c>
      <c r="AL47" s="35">
        <f t="shared" si="16"/>
        <v>0</v>
      </c>
      <c r="AM47" s="35">
        <f t="shared" si="16"/>
        <v>0</v>
      </c>
      <c r="AN47" s="35">
        <f t="shared" si="16"/>
        <v>0</v>
      </c>
      <c r="AO47" s="35">
        <f t="shared" si="16"/>
        <v>0</v>
      </c>
      <c r="AP47" s="35">
        <f t="shared" si="16"/>
        <v>0</v>
      </c>
      <c r="AQ47" s="35">
        <f t="shared" si="16"/>
        <v>0</v>
      </c>
      <c r="AR47" s="35">
        <f t="shared" si="16"/>
        <v>0</v>
      </c>
      <c r="AS47" s="35">
        <f t="shared" si="16"/>
        <v>0</v>
      </c>
      <c r="AT47" s="35">
        <f t="shared" si="16"/>
        <v>0</v>
      </c>
      <c r="AU47" s="35">
        <f t="shared" si="16"/>
        <v>0</v>
      </c>
      <c r="AV47" s="35">
        <f t="shared" si="16"/>
        <v>0</v>
      </c>
      <c r="AW47" s="35">
        <f t="shared" si="16"/>
        <v>0</v>
      </c>
      <c r="AX47" s="35">
        <f t="shared" si="16"/>
        <v>0</v>
      </c>
      <c r="AY47" s="35">
        <f t="shared" si="16"/>
        <v>0</v>
      </c>
      <c r="AZ47" s="35">
        <f t="shared" si="16"/>
        <v>0</v>
      </c>
      <c r="BA47" s="35">
        <f t="shared" si="16"/>
        <v>0</v>
      </c>
    </row>
    <row r="48" spans="2:53" x14ac:dyDescent="0.35">
      <c r="B48" t="s">
        <v>61</v>
      </c>
      <c r="C48" s="34" t="s">
        <v>62</v>
      </c>
      <c r="M48" s="43">
        <v>0</v>
      </c>
      <c r="N48" s="43">
        <v>7</v>
      </c>
      <c r="O48" s="43">
        <v>7</v>
      </c>
      <c r="P48" s="43">
        <v>1</v>
      </c>
      <c r="Q48" s="35">
        <f>P48</f>
        <v>1</v>
      </c>
      <c r="R48" s="35">
        <f t="shared" ref="R48:BA48" si="17">Q48</f>
        <v>1</v>
      </c>
      <c r="S48" s="35">
        <f t="shared" si="17"/>
        <v>1</v>
      </c>
      <c r="T48" s="35">
        <f t="shared" si="17"/>
        <v>1</v>
      </c>
      <c r="U48" s="35">
        <f t="shared" si="17"/>
        <v>1</v>
      </c>
      <c r="V48" s="35">
        <f t="shared" si="17"/>
        <v>1</v>
      </c>
      <c r="W48" s="35">
        <f t="shared" si="17"/>
        <v>1</v>
      </c>
      <c r="X48" s="35">
        <f t="shared" si="17"/>
        <v>1</v>
      </c>
      <c r="Y48" s="35">
        <f t="shared" si="17"/>
        <v>1</v>
      </c>
      <c r="Z48" s="35">
        <f t="shared" si="17"/>
        <v>1</v>
      </c>
      <c r="AA48" s="35">
        <f t="shared" si="17"/>
        <v>1</v>
      </c>
      <c r="AB48" s="35">
        <f t="shared" si="17"/>
        <v>1</v>
      </c>
      <c r="AC48" s="35">
        <f t="shared" si="17"/>
        <v>1</v>
      </c>
      <c r="AD48" s="35">
        <f t="shared" si="17"/>
        <v>1</v>
      </c>
      <c r="AE48" s="35">
        <f t="shared" si="17"/>
        <v>1</v>
      </c>
      <c r="AF48" s="35">
        <f t="shared" si="17"/>
        <v>1</v>
      </c>
      <c r="AG48" s="35">
        <f t="shared" si="17"/>
        <v>1</v>
      </c>
      <c r="AH48" s="35">
        <f t="shared" si="17"/>
        <v>1</v>
      </c>
      <c r="AI48" s="35">
        <f t="shared" si="17"/>
        <v>1</v>
      </c>
      <c r="AJ48" s="35">
        <f t="shared" si="17"/>
        <v>1</v>
      </c>
      <c r="AK48" s="35">
        <f t="shared" si="17"/>
        <v>1</v>
      </c>
      <c r="AL48" s="35">
        <f t="shared" si="17"/>
        <v>1</v>
      </c>
      <c r="AM48" s="35">
        <f t="shared" si="17"/>
        <v>1</v>
      </c>
      <c r="AN48" s="35">
        <f t="shared" si="17"/>
        <v>1</v>
      </c>
      <c r="AO48" s="35">
        <f t="shared" si="17"/>
        <v>1</v>
      </c>
      <c r="AP48" s="35">
        <f t="shared" si="17"/>
        <v>1</v>
      </c>
      <c r="AQ48" s="35">
        <f t="shared" si="17"/>
        <v>1</v>
      </c>
      <c r="AR48" s="35">
        <f t="shared" si="17"/>
        <v>1</v>
      </c>
      <c r="AS48" s="35">
        <f t="shared" si="17"/>
        <v>1</v>
      </c>
      <c r="AT48" s="35">
        <f t="shared" si="17"/>
        <v>1</v>
      </c>
      <c r="AU48" s="35">
        <f t="shared" si="17"/>
        <v>1</v>
      </c>
      <c r="AV48" s="35">
        <f t="shared" si="17"/>
        <v>1</v>
      </c>
      <c r="AW48" s="35">
        <f t="shared" si="17"/>
        <v>1</v>
      </c>
      <c r="AX48" s="35">
        <f t="shared" si="17"/>
        <v>1</v>
      </c>
      <c r="AY48" s="35">
        <f t="shared" si="17"/>
        <v>1</v>
      </c>
      <c r="AZ48" s="35">
        <f t="shared" si="17"/>
        <v>1</v>
      </c>
      <c r="BA48" s="35">
        <f t="shared" si="17"/>
        <v>1</v>
      </c>
    </row>
    <row r="49" spans="2:53" x14ac:dyDescent="0.35">
      <c r="B49" t="s">
        <v>57</v>
      </c>
      <c r="C49" s="34" t="s">
        <v>63</v>
      </c>
      <c r="M49" s="43">
        <v>2</v>
      </c>
      <c r="N49" s="43">
        <v>3</v>
      </c>
      <c r="O49" s="43">
        <v>3</v>
      </c>
      <c r="P49" s="43">
        <v>2</v>
      </c>
      <c r="Q49" s="43">
        <v>2</v>
      </c>
      <c r="R49" s="43">
        <v>2</v>
      </c>
      <c r="S49" s="43">
        <v>2</v>
      </c>
      <c r="T49" s="43">
        <v>2</v>
      </c>
      <c r="U49" s="43">
        <v>2</v>
      </c>
      <c r="V49" s="43">
        <v>4</v>
      </c>
      <c r="W49" s="43">
        <v>4</v>
      </c>
      <c r="X49" s="43">
        <v>4</v>
      </c>
      <c r="Y49" s="43">
        <v>4</v>
      </c>
      <c r="Z49" s="43">
        <v>4</v>
      </c>
      <c r="AA49" s="43">
        <v>4</v>
      </c>
      <c r="AB49" s="43">
        <v>4</v>
      </c>
      <c r="AC49" s="43">
        <v>4</v>
      </c>
      <c r="AD49" s="43">
        <v>4</v>
      </c>
      <c r="AE49" s="43">
        <v>4</v>
      </c>
      <c r="AF49" s="43">
        <v>4</v>
      </c>
      <c r="AG49" s="43">
        <v>4</v>
      </c>
      <c r="AH49" s="43">
        <v>4</v>
      </c>
      <c r="AI49" s="43">
        <v>4</v>
      </c>
      <c r="AJ49" s="43">
        <v>4</v>
      </c>
      <c r="AK49" s="43">
        <v>4</v>
      </c>
      <c r="AL49" s="43">
        <v>4</v>
      </c>
      <c r="AM49" s="43">
        <v>4</v>
      </c>
      <c r="AN49" s="43">
        <v>4</v>
      </c>
      <c r="AO49" s="43">
        <v>4</v>
      </c>
      <c r="AP49" s="43">
        <v>4</v>
      </c>
      <c r="AQ49" s="43">
        <v>4</v>
      </c>
      <c r="AR49" s="43">
        <v>4</v>
      </c>
      <c r="AS49" s="43">
        <v>4</v>
      </c>
      <c r="AT49" s="43">
        <v>4</v>
      </c>
      <c r="AU49" s="43">
        <v>4</v>
      </c>
      <c r="AV49" s="43">
        <v>4</v>
      </c>
      <c r="AW49" s="43">
        <v>4</v>
      </c>
      <c r="AX49" s="43">
        <v>4</v>
      </c>
      <c r="AY49" s="43">
        <v>4</v>
      </c>
      <c r="AZ49" s="43">
        <v>4</v>
      </c>
      <c r="BA49" s="43">
        <v>4</v>
      </c>
    </row>
    <row r="50" spans="2:53" x14ac:dyDescent="0.35">
      <c r="B50" t="s">
        <v>61</v>
      </c>
      <c r="C50" s="34" t="s">
        <v>64</v>
      </c>
      <c r="M50" s="43">
        <v>0</v>
      </c>
      <c r="N50" s="43">
        <v>9</v>
      </c>
      <c r="O50" s="43">
        <v>9</v>
      </c>
      <c r="P50" s="43">
        <v>3</v>
      </c>
      <c r="Q50" s="43">
        <f>P50</f>
        <v>3</v>
      </c>
      <c r="R50" s="43">
        <f t="shared" ref="R50:AG51" si="18">Q50</f>
        <v>3</v>
      </c>
      <c r="S50" s="43">
        <f t="shared" si="18"/>
        <v>3</v>
      </c>
      <c r="T50" s="43">
        <f t="shared" si="18"/>
        <v>3</v>
      </c>
      <c r="U50" s="43">
        <f t="shared" si="18"/>
        <v>3</v>
      </c>
      <c r="V50" s="43">
        <v>6</v>
      </c>
      <c r="W50" s="43">
        <f t="shared" si="18"/>
        <v>6</v>
      </c>
      <c r="X50" s="43">
        <f t="shared" si="18"/>
        <v>6</v>
      </c>
      <c r="Y50" s="43">
        <f t="shared" si="18"/>
        <v>6</v>
      </c>
      <c r="Z50" s="43">
        <f t="shared" si="18"/>
        <v>6</v>
      </c>
      <c r="AA50" s="43">
        <f t="shared" si="18"/>
        <v>6</v>
      </c>
      <c r="AB50" s="43">
        <f t="shared" si="18"/>
        <v>6</v>
      </c>
      <c r="AC50" s="43">
        <f t="shared" si="18"/>
        <v>6</v>
      </c>
      <c r="AD50" s="43">
        <f t="shared" si="18"/>
        <v>6</v>
      </c>
      <c r="AE50" s="43">
        <f t="shared" si="18"/>
        <v>6</v>
      </c>
      <c r="AF50" s="43">
        <f t="shared" si="18"/>
        <v>6</v>
      </c>
      <c r="AG50" s="43">
        <f t="shared" si="18"/>
        <v>6</v>
      </c>
      <c r="AH50" s="43">
        <f t="shared" ref="AH50:AW51" si="19">AG50</f>
        <v>6</v>
      </c>
      <c r="AI50" s="43">
        <f t="shared" si="19"/>
        <v>6</v>
      </c>
      <c r="AJ50" s="43">
        <f t="shared" si="19"/>
        <v>6</v>
      </c>
      <c r="AK50" s="43">
        <f t="shared" si="19"/>
        <v>6</v>
      </c>
      <c r="AL50" s="43">
        <f t="shared" si="19"/>
        <v>6</v>
      </c>
      <c r="AM50" s="43">
        <f t="shared" si="19"/>
        <v>6</v>
      </c>
      <c r="AN50" s="43">
        <f t="shared" si="19"/>
        <v>6</v>
      </c>
      <c r="AO50" s="43">
        <f t="shared" si="19"/>
        <v>6</v>
      </c>
      <c r="AP50" s="43">
        <f t="shared" si="19"/>
        <v>6</v>
      </c>
      <c r="AQ50" s="43">
        <f t="shared" si="19"/>
        <v>6</v>
      </c>
      <c r="AR50" s="43">
        <f t="shared" si="19"/>
        <v>6</v>
      </c>
      <c r="AS50" s="43">
        <f t="shared" si="19"/>
        <v>6</v>
      </c>
      <c r="AT50" s="43">
        <f t="shared" si="19"/>
        <v>6</v>
      </c>
      <c r="AU50" s="43">
        <f t="shared" si="19"/>
        <v>6</v>
      </c>
      <c r="AV50" s="43">
        <f t="shared" si="19"/>
        <v>6</v>
      </c>
      <c r="AW50" s="43">
        <f t="shared" si="19"/>
        <v>6</v>
      </c>
      <c r="AX50" s="43">
        <f t="shared" ref="AX50:BA51" si="20">AW50</f>
        <v>6</v>
      </c>
      <c r="AY50" s="43">
        <f t="shared" si="20"/>
        <v>6</v>
      </c>
      <c r="AZ50" s="43">
        <f t="shared" si="20"/>
        <v>6</v>
      </c>
      <c r="BA50" s="43">
        <f t="shared" si="20"/>
        <v>6</v>
      </c>
    </row>
    <row r="51" spans="2:53" x14ac:dyDescent="0.35">
      <c r="B51" t="s">
        <v>61</v>
      </c>
      <c r="C51" s="34" t="s">
        <v>65</v>
      </c>
      <c r="M51" s="43">
        <v>0</v>
      </c>
      <c r="N51" s="43">
        <v>9</v>
      </c>
      <c r="O51" s="43">
        <v>9</v>
      </c>
      <c r="P51" s="43">
        <v>0</v>
      </c>
      <c r="Q51" s="43">
        <v>0</v>
      </c>
      <c r="R51" s="43">
        <v>6</v>
      </c>
      <c r="S51" s="43">
        <f>R51</f>
        <v>6</v>
      </c>
      <c r="T51" s="43">
        <f t="shared" si="18"/>
        <v>6</v>
      </c>
      <c r="U51" s="43">
        <f t="shared" si="18"/>
        <v>6</v>
      </c>
      <c r="V51" s="43">
        <f t="shared" si="18"/>
        <v>6</v>
      </c>
      <c r="W51" s="43">
        <f t="shared" si="18"/>
        <v>6</v>
      </c>
      <c r="X51" s="43">
        <f t="shared" si="18"/>
        <v>6</v>
      </c>
      <c r="Y51" s="43">
        <f t="shared" si="18"/>
        <v>6</v>
      </c>
      <c r="Z51" s="43">
        <f t="shared" si="18"/>
        <v>6</v>
      </c>
      <c r="AA51" s="43">
        <f t="shared" si="18"/>
        <v>6</v>
      </c>
      <c r="AB51" s="43">
        <f t="shared" si="18"/>
        <v>6</v>
      </c>
      <c r="AC51" s="43">
        <f t="shared" si="18"/>
        <v>6</v>
      </c>
      <c r="AD51" s="43">
        <f t="shared" si="18"/>
        <v>6</v>
      </c>
      <c r="AE51" s="43">
        <f t="shared" si="18"/>
        <v>6</v>
      </c>
      <c r="AF51" s="43">
        <f t="shared" si="18"/>
        <v>6</v>
      </c>
      <c r="AG51" s="43">
        <f t="shared" si="18"/>
        <v>6</v>
      </c>
      <c r="AH51" s="43">
        <f t="shared" si="19"/>
        <v>6</v>
      </c>
      <c r="AI51" s="43">
        <f t="shared" si="19"/>
        <v>6</v>
      </c>
      <c r="AJ51" s="43">
        <f t="shared" si="19"/>
        <v>6</v>
      </c>
      <c r="AK51" s="43">
        <f t="shared" si="19"/>
        <v>6</v>
      </c>
      <c r="AL51" s="43">
        <f t="shared" si="19"/>
        <v>6</v>
      </c>
      <c r="AM51" s="43">
        <f t="shared" si="19"/>
        <v>6</v>
      </c>
      <c r="AN51" s="43">
        <f t="shared" si="19"/>
        <v>6</v>
      </c>
      <c r="AO51" s="43">
        <f t="shared" si="19"/>
        <v>6</v>
      </c>
      <c r="AP51" s="43">
        <f t="shared" si="19"/>
        <v>6</v>
      </c>
      <c r="AQ51" s="43">
        <f t="shared" si="19"/>
        <v>6</v>
      </c>
      <c r="AR51" s="43">
        <f t="shared" si="19"/>
        <v>6</v>
      </c>
      <c r="AS51" s="43">
        <f t="shared" si="19"/>
        <v>6</v>
      </c>
      <c r="AT51" s="43">
        <f t="shared" si="19"/>
        <v>6</v>
      </c>
      <c r="AU51" s="43">
        <f t="shared" si="19"/>
        <v>6</v>
      </c>
      <c r="AV51" s="43">
        <f t="shared" si="19"/>
        <v>6</v>
      </c>
      <c r="AW51" s="43">
        <f t="shared" si="19"/>
        <v>6</v>
      </c>
      <c r="AX51" s="43">
        <f t="shared" si="20"/>
        <v>6</v>
      </c>
      <c r="AY51" s="43">
        <f t="shared" si="20"/>
        <v>6</v>
      </c>
      <c r="AZ51" s="43">
        <f t="shared" si="20"/>
        <v>6</v>
      </c>
      <c r="BA51" s="43">
        <f t="shared" si="20"/>
        <v>6</v>
      </c>
    </row>
    <row r="52" spans="2:53" x14ac:dyDescent="0.35">
      <c r="B52" t="s">
        <v>57</v>
      </c>
      <c r="C52" s="34" t="s">
        <v>66</v>
      </c>
      <c r="M52" s="43">
        <v>2</v>
      </c>
      <c r="N52" s="43">
        <v>2</v>
      </c>
      <c r="O52" s="43">
        <v>2</v>
      </c>
      <c r="P52" s="43">
        <v>2</v>
      </c>
      <c r="Q52" s="43">
        <v>2</v>
      </c>
      <c r="R52" s="43">
        <v>2</v>
      </c>
      <c r="S52" s="43">
        <v>2</v>
      </c>
      <c r="T52" s="43">
        <v>2</v>
      </c>
      <c r="U52" s="43">
        <v>2</v>
      </c>
      <c r="V52" s="43">
        <v>4</v>
      </c>
      <c r="W52" s="43">
        <v>4</v>
      </c>
      <c r="X52" s="43">
        <v>4</v>
      </c>
      <c r="Y52" s="43">
        <v>4</v>
      </c>
      <c r="Z52" s="43">
        <v>4</v>
      </c>
      <c r="AA52" s="43">
        <v>4</v>
      </c>
      <c r="AB52" s="43">
        <v>4</v>
      </c>
      <c r="AC52" s="43">
        <v>4</v>
      </c>
      <c r="AD52" s="43">
        <v>4</v>
      </c>
      <c r="AE52" s="43">
        <v>4</v>
      </c>
      <c r="AF52" s="43">
        <v>4</v>
      </c>
      <c r="AG52" s="43">
        <v>4</v>
      </c>
      <c r="AH52" s="43">
        <v>4</v>
      </c>
      <c r="AI52" s="43">
        <v>4</v>
      </c>
      <c r="AJ52" s="43">
        <v>4</v>
      </c>
      <c r="AK52" s="43">
        <v>4</v>
      </c>
      <c r="AL52" s="43">
        <v>4</v>
      </c>
      <c r="AM52" s="43">
        <v>4</v>
      </c>
      <c r="AN52" s="43">
        <v>4</v>
      </c>
      <c r="AO52" s="43">
        <v>4</v>
      </c>
      <c r="AP52" s="43">
        <v>4</v>
      </c>
      <c r="AQ52" s="43">
        <v>4</v>
      </c>
      <c r="AR52" s="43">
        <v>4</v>
      </c>
      <c r="AS52" s="43">
        <v>4</v>
      </c>
      <c r="AT52" s="43">
        <v>4</v>
      </c>
      <c r="AU52" s="43">
        <v>4</v>
      </c>
      <c r="AV52" s="43">
        <v>4</v>
      </c>
      <c r="AW52" s="43">
        <v>4</v>
      </c>
      <c r="AX52" s="43">
        <v>4</v>
      </c>
      <c r="AY52" s="43">
        <v>4</v>
      </c>
      <c r="AZ52" s="43">
        <v>4</v>
      </c>
      <c r="BA52" s="43">
        <v>4</v>
      </c>
    </row>
    <row r="53" spans="2:53" x14ac:dyDescent="0.35">
      <c r="B53" t="s">
        <v>57</v>
      </c>
      <c r="C53" s="34" t="s">
        <v>67</v>
      </c>
      <c r="M53" s="43">
        <v>2</v>
      </c>
      <c r="N53" s="43">
        <v>2</v>
      </c>
      <c r="O53" s="43">
        <v>2</v>
      </c>
      <c r="P53" s="43">
        <v>2</v>
      </c>
      <c r="Q53" s="43">
        <v>2</v>
      </c>
      <c r="R53" s="43">
        <v>2</v>
      </c>
      <c r="S53" s="43">
        <v>2</v>
      </c>
      <c r="T53" s="43">
        <v>2</v>
      </c>
      <c r="U53" s="43">
        <v>2</v>
      </c>
      <c r="V53" s="43">
        <v>4</v>
      </c>
      <c r="W53" s="43">
        <v>4</v>
      </c>
      <c r="X53" s="43">
        <v>4</v>
      </c>
      <c r="Y53" s="43">
        <v>4</v>
      </c>
      <c r="Z53" s="43">
        <v>4</v>
      </c>
      <c r="AA53" s="43">
        <v>4</v>
      </c>
      <c r="AB53" s="43">
        <v>4</v>
      </c>
      <c r="AC53" s="43">
        <v>4</v>
      </c>
      <c r="AD53" s="43">
        <v>4</v>
      </c>
      <c r="AE53" s="43">
        <v>4</v>
      </c>
      <c r="AF53" s="43">
        <v>4</v>
      </c>
      <c r="AG53" s="43">
        <v>4</v>
      </c>
      <c r="AH53" s="43">
        <v>4</v>
      </c>
      <c r="AI53" s="43">
        <v>4</v>
      </c>
      <c r="AJ53" s="43">
        <v>4</v>
      </c>
      <c r="AK53" s="43">
        <v>4</v>
      </c>
      <c r="AL53" s="43">
        <v>4</v>
      </c>
      <c r="AM53" s="43">
        <v>4</v>
      </c>
      <c r="AN53" s="43">
        <v>4</v>
      </c>
      <c r="AO53" s="43">
        <v>4</v>
      </c>
      <c r="AP53" s="43">
        <v>4</v>
      </c>
      <c r="AQ53" s="43">
        <v>4</v>
      </c>
      <c r="AR53" s="43">
        <v>4</v>
      </c>
      <c r="AS53" s="43">
        <v>4</v>
      </c>
      <c r="AT53" s="43">
        <v>4</v>
      </c>
      <c r="AU53" s="43">
        <v>4</v>
      </c>
      <c r="AV53" s="43">
        <v>4</v>
      </c>
      <c r="AW53" s="43">
        <v>4</v>
      </c>
      <c r="AX53" s="43">
        <v>4</v>
      </c>
      <c r="AY53" s="43">
        <v>4</v>
      </c>
      <c r="AZ53" s="43">
        <v>4</v>
      </c>
      <c r="BA53" s="43">
        <v>4</v>
      </c>
    </row>
    <row r="54" spans="2:53" x14ac:dyDescent="0.35">
      <c r="B54" t="s">
        <v>61</v>
      </c>
      <c r="C54" s="34" t="s">
        <v>68</v>
      </c>
      <c r="M54" s="43">
        <v>3</v>
      </c>
      <c r="N54" s="43">
        <v>3</v>
      </c>
      <c r="O54" s="43">
        <v>3</v>
      </c>
      <c r="P54" s="43">
        <v>1</v>
      </c>
      <c r="Q54" s="43">
        <v>1</v>
      </c>
      <c r="R54" s="43">
        <v>1</v>
      </c>
      <c r="S54" s="43">
        <v>1</v>
      </c>
      <c r="T54" s="43">
        <v>1</v>
      </c>
      <c r="U54" s="43">
        <v>1</v>
      </c>
      <c r="V54" s="43">
        <v>2</v>
      </c>
      <c r="W54" s="43">
        <v>2</v>
      </c>
      <c r="X54" s="43">
        <v>2</v>
      </c>
      <c r="Y54" s="43">
        <v>2</v>
      </c>
      <c r="Z54" s="43">
        <v>2</v>
      </c>
      <c r="AA54" s="43">
        <v>2</v>
      </c>
      <c r="AB54" s="43">
        <v>2</v>
      </c>
      <c r="AC54" s="43">
        <v>2</v>
      </c>
      <c r="AD54" s="43">
        <v>2</v>
      </c>
      <c r="AE54" s="43">
        <v>2</v>
      </c>
      <c r="AF54" s="43">
        <v>2</v>
      </c>
      <c r="AG54" s="43">
        <v>2</v>
      </c>
      <c r="AH54" s="43">
        <v>2</v>
      </c>
      <c r="AI54" s="43">
        <v>2</v>
      </c>
      <c r="AJ54" s="43">
        <v>2</v>
      </c>
      <c r="AK54" s="43">
        <v>2</v>
      </c>
      <c r="AL54" s="43">
        <v>2</v>
      </c>
      <c r="AM54" s="43">
        <v>2</v>
      </c>
      <c r="AN54" s="43">
        <v>2</v>
      </c>
      <c r="AO54" s="43">
        <v>2</v>
      </c>
      <c r="AP54" s="43">
        <v>2</v>
      </c>
      <c r="AQ54" s="43">
        <v>2</v>
      </c>
      <c r="AR54" s="43">
        <v>2</v>
      </c>
      <c r="AS54" s="43">
        <v>2</v>
      </c>
      <c r="AT54" s="43">
        <v>2</v>
      </c>
      <c r="AU54" s="43">
        <v>2</v>
      </c>
      <c r="AV54" s="43">
        <v>2</v>
      </c>
      <c r="AW54" s="43">
        <v>2</v>
      </c>
      <c r="AX54" s="43">
        <v>2</v>
      </c>
      <c r="AY54" s="43">
        <v>2</v>
      </c>
      <c r="AZ54" s="43">
        <v>2</v>
      </c>
      <c r="BA54" s="43">
        <v>2</v>
      </c>
    </row>
    <row r="55" spans="2:53" x14ac:dyDescent="0.35">
      <c r="B55" t="s">
        <v>61</v>
      </c>
      <c r="C55" s="34" t="s">
        <v>69</v>
      </c>
      <c r="M55" s="43">
        <v>3</v>
      </c>
      <c r="N55" s="43">
        <v>3</v>
      </c>
      <c r="O55" s="43">
        <v>3</v>
      </c>
      <c r="P55" s="43">
        <v>2</v>
      </c>
      <c r="Q55" s="43">
        <v>2</v>
      </c>
      <c r="R55" s="43">
        <v>2</v>
      </c>
      <c r="S55" s="43">
        <v>2</v>
      </c>
      <c r="T55" s="43">
        <v>2</v>
      </c>
      <c r="U55" s="43">
        <v>2</v>
      </c>
      <c r="V55" s="43">
        <v>4</v>
      </c>
      <c r="W55" s="43">
        <v>4</v>
      </c>
      <c r="X55" s="43">
        <v>4</v>
      </c>
      <c r="Y55" s="43">
        <v>4</v>
      </c>
      <c r="Z55" s="43">
        <v>4</v>
      </c>
      <c r="AA55" s="43">
        <v>4</v>
      </c>
      <c r="AB55" s="43">
        <v>4</v>
      </c>
      <c r="AC55" s="43">
        <v>4</v>
      </c>
      <c r="AD55" s="43">
        <v>4</v>
      </c>
      <c r="AE55" s="43">
        <v>4</v>
      </c>
      <c r="AF55" s="43">
        <v>4</v>
      </c>
      <c r="AG55" s="43">
        <v>4</v>
      </c>
      <c r="AH55" s="43">
        <v>4</v>
      </c>
      <c r="AI55" s="43">
        <v>4</v>
      </c>
      <c r="AJ55" s="43">
        <v>4</v>
      </c>
      <c r="AK55" s="43">
        <v>4</v>
      </c>
      <c r="AL55" s="43">
        <v>4</v>
      </c>
      <c r="AM55" s="43">
        <v>4</v>
      </c>
      <c r="AN55" s="43">
        <v>4</v>
      </c>
      <c r="AO55" s="43">
        <v>4</v>
      </c>
      <c r="AP55" s="43">
        <v>4</v>
      </c>
      <c r="AQ55" s="43">
        <v>4</v>
      </c>
      <c r="AR55" s="43">
        <v>4</v>
      </c>
      <c r="AS55" s="43">
        <v>4</v>
      </c>
      <c r="AT55" s="43">
        <v>4</v>
      </c>
      <c r="AU55" s="43">
        <v>4</v>
      </c>
      <c r="AV55" s="43">
        <v>4</v>
      </c>
      <c r="AW55" s="43">
        <v>4</v>
      </c>
      <c r="AX55" s="43">
        <v>4</v>
      </c>
      <c r="AY55" s="43">
        <v>4</v>
      </c>
      <c r="AZ55" s="43">
        <v>4</v>
      </c>
      <c r="BA55" s="43">
        <v>4</v>
      </c>
    </row>
    <row r="56" spans="2:53" x14ac:dyDescent="0.35">
      <c r="B56" t="s">
        <v>61</v>
      </c>
      <c r="C56" s="34" t="s">
        <v>70</v>
      </c>
      <c r="M56" s="43">
        <v>2</v>
      </c>
      <c r="N56" s="43">
        <v>2</v>
      </c>
      <c r="O56" s="43">
        <v>2</v>
      </c>
      <c r="P56" s="43">
        <v>2</v>
      </c>
      <c r="Q56" s="43">
        <v>2</v>
      </c>
      <c r="R56" s="43">
        <v>2</v>
      </c>
      <c r="S56" s="43">
        <v>3</v>
      </c>
      <c r="T56" s="43">
        <v>3</v>
      </c>
      <c r="U56" s="43">
        <v>3</v>
      </c>
      <c r="V56" s="43">
        <v>3</v>
      </c>
      <c r="W56" s="43">
        <v>3</v>
      </c>
      <c r="X56" s="43">
        <v>3</v>
      </c>
      <c r="Y56" s="43">
        <v>3</v>
      </c>
      <c r="Z56" s="43">
        <v>3</v>
      </c>
      <c r="AA56" s="43">
        <v>3</v>
      </c>
      <c r="AB56" s="43">
        <v>3</v>
      </c>
      <c r="AC56" s="43">
        <v>3</v>
      </c>
      <c r="AD56" s="43">
        <v>3</v>
      </c>
      <c r="AE56" s="43">
        <v>3</v>
      </c>
      <c r="AF56" s="43">
        <v>3</v>
      </c>
      <c r="AG56" s="43">
        <v>3</v>
      </c>
      <c r="AH56" s="43">
        <v>3</v>
      </c>
      <c r="AI56" s="43">
        <v>3</v>
      </c>
      <c r="AJ56" s="43">
        <v>3</v>
      </c>
      <c r="AK56" s="43">
        <v>3</v>
      </c>
      <c r="AL56" s="43">
        <v>3</v>
      </c>
      <c r="AM56" s="43">
        <v>3</v>
      </c>
      <c r="AN56" s="43">
        <v>3</v>
      </c>
      <c r="AO56" s="43">
        <v>3</v>
      </c>
      <c r="AP56" s="43">
        <v>3</v>
      </c>
      <c r="AQ56" s="43">
        <v>3</v>
      </c>
      <c r="AR56" s="43">
        <v>3</v>
      </c>
      <c r="AS56" s="43">
        <v>3</v>
      </c>
      <c r="AT56" s="43">
        <v>3</v>
      </c>
      <c r="AU56" s="43">
        <v>3</v>
      </c>
      <c r="AV56" s="43">
        <v>3</v>
      </c>
      <c r="AW56" s="43">
        <v>3</v>
      </c>
      <c r="AX56" s="43">
        <v>3</v>
      </c>
      <c r="AY56" s="43">
        <v>3</v>
      </c>
      <c r="AZ56" s="43">
        <v>3</v>
      </c>
      <c r="BA56" s="43">
        <v>3</v>
      </c>
    </row>
    <row r="58" spans="2:53" x14ac:dyDescent="0.35">
      <c r="C58" t="s">
        <v>71</v>
      </c>
    </row>
    <row r="59" spans="2:53" x14ac:dyDescent="0.35">
      <c r="C59" s="34" t="s">
        <v>58</v>
      </c>
      <c r="M59" s="39">
        <v>17</v>
      </c>
      <c r="N59" s="39">
        <v>17</v>
      </c>
      <c r="O59" s="40">
        <f>N59</f>
        <v>17</v>
      </c>
      <c r="P59" s="40">
        <f>O59</f>
        <v>17</v>
      </c>
      <c r="Q59" s="40">
        <f>P59</f>
        <v>17</v>
      </c>
      <c r="R59" s="40">
        <f>Q59</f>
        <v>17</v>
      </c>
      <c r="S59" s="40">
        <f t="shared" ref="S59:Y70" si="21">R59</f>
        <v>17</v>
      </c>
      <c r="T59" s="40">
        <f t="shared" si="21"/>
        <v>17</v>
      </c>
      <c r="U59" s="40">
        <f t="shared" si="21"/>
        <v>17</v>
      </c>
      <c r="V59" s="40">
        <f t="shared" si="21"/>
        <v>17</v>
      </c>
      <c r="W59" s="40">
        <f t="shared" si="21"/>
        <v>17</v>
      </c>
      <c r="X59" s="40">
        <f t="shared" si="21"/>
        <v>17</v>
      </c>
      <c r="Y59" s="40">
        <f t="shared" si="21"/>
        <v>17</v>
      </c>
      <c r="Z59" s="38">
        <f>Y59*1.05</f>
        <v>17.850000000000001</v>
      </c>
      <c r="AA59" s="40">
        <f t="shared" ref="AA59:AK70" si="22">Z59</f>
        <v>17.850000000000001</v>
      </c>
      <c r="AB59" s="40">
        <f t="shared" si="22"/>
        <v>17.850000000000001</v>
      </c>
      <c r="AC59" s="40">
        <f t="shared" si="22"/>
        <v>17.850000000000001</v>
      </c>
      <c r="AD59" s="40">
        <f t="shared" si="22"/>
        <v>17.850000000000001</v>
      </c>
      <c r="AE59" s="40">
        <f t="shared" si="22"/>
        <v>17.850000000000001</v>
      </c>
      <c r="AF59" s="40">
        <f t="shared" si="22"/>
        <v>17.850000000000001</v>
      </c>
      <c r="AG59" s="40">
        <f t="shared" si="22"/>
        <v>17.850000000000001</v>
      </c>
      <c r="AH59" s="40">
        <f t="shared" si="22"/>
        <v>17.850000000000001</v>
      </c>
      <c r="AI59" s="40">
        <f t="shared" si="22"/>
        <v>17.850000000000001</v>
      </c>
      <c r="AJ59" s="40">
        <f t="shared" si="22"/>
        <v>17.850000000000001</v>
      </c>
      <c r="AK59" s="40">
        <f t="shared" si="22"/>
        <v>17.850000000000001</v>
      </c>
      <c r="AL59" s="38">
        <f>AK59*1.05</f>
        <v>18.742500000000003</v>
      </c>
      <c r="AM59" s="40">
        <f t="shared" ref="AM59:AW70" si="23">AL59</f>
        <v>18.742500000000003</v>
      </c>
      <c r="AN59" s="40">
        <f t="shared" si="23"/>
        <v>18.742500000000003</v>
      </c>
      <c r="AO59" s="40">
        <f t="shared" si="23"/>
        <v>18.742500000000003</v>
      </c>
      <c r="AP59" s="40">
        <f t="shared" si="23"/>
        <v>18.742500000000003</v>
      </c>
      <c r="AQ59" s="40">
        <f t="shared" si="23"/>
        <v>18.742500000000003</v>
      </c>
      <c r="AR59" s="40">
        <f t="shared" si="23"/>
        <v>18.742500000000003</v>
      </c>
      <c r="AS59" s="40">
        <f t="shared" si="23"/>
        <v>18.742500000000003</v>
      </c>
      <c r="AT59" s="40">
        <f t="shared" si="23"/>
        <v>18.742500000000003</v>
      </c>
      <c r="AU59" s="40">
        <f t="shared" si="23"/>
        <v>18.742500000000003</v>
      </c>
      <c r="AV59" s="40">
        <f t="shared" si="23"/>
        <v>18.742500000000003</v>
      </c>
      <c r="AW59" s="40">
        <f t="shared" si="23"/>
        <v>18.742500000000003</v>
      </c>
      <c r="AX59" s="38">
        <f>AW59*1.05</f>
        <v>19.679625000000005</v>
      </c>
      <c r="AY59" s="40">
        <f t="shared" ref="AY59:BA70" si="24">AX59</f>
        <v>19.679625000000005</v>
      </c>
      <c r="AZ59" s="40">
        <f t="shared" si="24"/>
        <v>19.679625000000005</v>
      </c>
      <c r="BA59" s="40">
        <f t="shared" si="24"/>
        <v>19.679625000000005</v>
      </c>
    </row>
    <row r="60" spans="2:53" x14ac:dyDescent="0.35">
      <c r="C60" s="34" t="s">
        <v>59</v>
      </c>
      <c r="M60" s="39">
        <v>19</v>
      </c>
      <c r="N60" s="39">
        <v>19</v>
      </c>
      <c r="O60" s="40">
        <f t="shared" ref="O60:R70" si="25">N60</f>
        <v>19</v>
      </c>
      <c r="P60" s="40">
        <f t="shared" si="25"/>
        <v>19</v>
      </c>
      <c r="Q60" s="40">
        <f t="shared" si="25"/>
        <v>19</v>
      </c>
      <c r="R60" s="40">
        <f t="shared" si="25"/>
        <v>19</v>
      </c>
      <c r="S60" s="40">
        <f t="shared" si="21"/>
        <v>19</v>
      </c>
      <c r="T60" s="40">
        <f t="shared" si="21"/>
        <v>19</v>
      </c>
      <c r="U60" s="40">
        <f t="shared" si="21"/>
        <v>19</v>
      </c>
      <c r="V60" s="40">
        <f t="shared" si="21"/>
        <v>19</v>
      </c>
      <c r="W60" s="40">
        <f t="shared" si="21"/>
        <v>19</v>
      </c>
      <c r="X60" s="40">
        <f t="shared" si="21"/>
        <v>19</v>
      </c>
      <c r="Y60" s="40">
        <f t="shared" si="21"/>
        <v>19</v>
      </c>
      <c r="Z60" s="38">
        <f t="shared" ref="Z60:Z70" si="26">Y60*1.05</f>
        <v>19.95</v>
      </c>
      <c r="AA60" s="40">
        <f t="shared" si="22"/>
        <v>19.95</v>
      </c>
      <c r="AB60" s="40">
        <f t="shared" si="22"/>
        <v>19.95</v>
      </c>
      <c r="AC60" s="40">
        <f t="shared" si="22"/>
        <v>19.95</v>
      </c>
      <c r="AD60" s="40">
        <f t="shared" si="22"/>
        <v>19.95</v>
      </c>
      <c r="AE60" s="40">
        <f t="shared" si="22"/>
        <v>19.95</v>
      </c>
      <c r="AF60" s="40">
        <f t="shared" si="22"/>
        <v>19.95</v>
      </c>
      <c r="AG60" s="40">
        <f t="shared" si="22"/>
        <v>19.95</v>
      </c>
      <c r="AH60" s="40">
        <f t="shared" si="22"/>
        <v>19.95</v>
      </c>
      <c r="AI60" s="40">
        <f t="shared" si="22"/>
        <v>19.95</v>
      </c>
      <c r="AJ60" s="40">
        <f t="shared" si="22"/>
        <v>19.95</v>
      </c>
      <c r="AK60" s="40">
        <f t="shared" si="22"/>
        <v>19.95</v>
      </c>
      <c r="AL60" s="38">
        <f t="shared" ref="AL60:AL70" si="27">AK60*1.05</f>
        <v>20.947500000000002</v>
      </c>
      <c r="AM60" s="40">
        <f t="shared" si="23"/>
        <v>20.947500000000002</v>
      </c>
      <c r="AN60" s="40">
        <f t="shared" si="23"/>
        <v>20.947500000000002</v>
      </c>
      <c r="AO60" s="40">
        <f t="shared" si="23"/>
        <v>20.947500000000002</v>
      </c>
      <c r="AP60" s="40">
        <f t="shared" si="23"/>
        <v>20.947500000000002</v>
      </c>
      <c r="AQ60" s="40">
        <f t="shared" si="23"/>
        <v>20.947500000000002</v>
      </c>
      <c r="AR60" s="40">
        <f t="shared" si="23"/>
        <v>20.947500000000002</v>
      </c>
      <c r="AS60" s="40">
        <f t="shared" si="23"/>
        <v>20.947500000000002</v>
      </c>
      <c r="AT60" s="40">
        <f t="shared" si="23"/>
        <v>20.947500000000002</v>
      </c>
      <c r="AU60" s="40">
        <f t="shared" si="23"/>
        <v>20.947500000000002</v>
      </c>
      <c r="AV60" s="40">
        <f t="shared" si="23"/>
        <v>20.947500000000002</v>
      </c>
      <c r="AW60" s="40">
        <f t="shared" si="23"/>
        <v>20.947500000000002</v>
      </c>
      <c r="AX60" s="38">
        <f t="shared" ref="AX60:AX70" si="28">AW60*1.05</f>
        <v>21.994875000000004</v>
      </c>
      <c r="AY60" s="40">
        <f t="shared" si="24"/>
        <v>21.994875000000004</v>
      </c>
      <c r="AZ60" s="40">
        <f t="shared" si="24"/>
        <v>21.994875000000004</v>
      </c>
      <c r="BA60" s="40">
        <f t="shared" si="24"/>
        <v>21.994875000000004</v>
      </c>
    </row>
    <row r="61" spans="2:53" x14ac:dyDescent="0.35">
      <c r="C61" s="34" t="s">
        <v>60</v>
      </c>
      <c r="M61" s="39">
        <v>17</v>
      </c>
      <c r="N61" s="39">
        <v>17</v>
      </c>
      <c r="O61" s="40">
        <f t="shared" si="25"/>
        <v>17</v>
      </c>
      <c r="P61" s="40">
        <v>0</v>
      </c>
      <c r="Q61" s="40">
        <f t="shared" si="25"/>
        <v>0</v>
      </c>
      <c r="R61" s="40">
        <f t="shared" si="25"/>
        <v>0</v>
      </c>
      <c r="S61" s="40">
        <f t="shared" si="21"/>
        <v>0</v>
      </c>
      <c r="T61" s="40">
        <f t="shared" si="21"/>
        <v>0</v>
      </c>
      <c r="U61" s="40">
        <f t="shared" si="21"/>
        <v>0</v>
      </c>
      <c r="V61" s="40">
        <f t="shared" si="21"/>
        <v>0</v>
      </c>
      <c r="W61" s="40">
        <f t="shared" si="21"/>
        <v>0</v>
      </c>
      <c r="X61" s="40">
        <f t="shared" si="21"/>
        <v>0</v>
      </c>
      <c r="Y61" s="40">
        <f t="shared" si="21"/>
        <v>0</v>
      </c>
      <c r="Z61" s="38">
        <f t="shared" si="26"/>
        <v>0</v>
      </c>
      <c r="AA61" s="40">
        <f t="shared" si="22"/>
        <v>0</v>
      </c>
      <c r="AB61" s="40">
        <f t="shared" si="22"/>
        <v>0</v>
      </c>
      <c r="AC61" s="40">
        <f t="shared" si="22"/>
        <v>0</v>
      </c>
      <c r="AD61" s="40">
        <f t="shared" si="22"/>
        <v>0</v>
      </c>
      <c r="AE61" s="40">
        <f t="shared" si="22"/>
        <v>0</v>
      </c>
      <c r="AF61" s="40">
        <f t="shared" si="22"/>
        <v>0</v>
      </c>
      <c r="AG61" s="40">
        <f t="shared" si="22"/>
        <v>0</v>
      </c>
      <c r="AH61" s="40">
        <f t="shared" si="22"/>
        <v>0</v>
      </c>
      <c r="AI61" s="40">
        <f t="shared" si="22"/>
        <v>0</v>
      </c>
      <c r="AJ61" s="40">
        <f t="shared" si="22"/>
        <v>0</v>
      </c>
      <c r="AK61" s="40">
        <f t="shared" si="22"/>
        <v>0</v>
      </c>
      <c r="AL61" s="38">
        <f t="shared" si="27"/>
        <v>0</v>
      </c>
      <c r="AM61" s="40">
        <f t="shared" si="23"/>
        <v>0</v>
      </c>
      <c r="AN61" s="40">
        <f t="shared" si="23"/>
        <v>0</v>
      </c>
      <c r="AO61" s="40">
        <f t="shared" si="23"/>
        <v>0</v>
      </c>
      <c r="AP61" s="40">
        <f t="shared" si="23"/>
        <v>0</v>
      </c>
      <c r="AQ61" s="40">
        <f t="shared" si="23"/>
        <v>0</v>
      </c>
      <c r="AR61" s="40">
        <f t="shared" si="23"/>
        <v>0</v>
      </c>
      <c r="AS61" s="40">
        <f t="shared" si="23"/>
        <v>0</v>
      </c>
      <c r="AT61" s="40">
        <f t="shared" si="23"/>
        <v>0</v>
      </c>
      <c r="AU61" s="40">
        <f t="shared" si="23"/>
        <v>0</v>
      </c>
      <c r="AV61" s="40">
        <f t="shared" si="23"/>
        <v>0</v>
      </c>
      <c r="AW61" s="40">
        <f t="shared" si="23"/>
        <v>0</v>
      </c>
      <c r="AX61" s="38">
        <f t="shared" si="28"/>
        <v>0</v>
      </c>
      <c r="AY61" s="40">
        <f t="shared" si="24"/>
        <v>0</v>
      </c>
      <c r="AZ61" s="40">
        <f t="shared" si="24"/>
        <v>0</v>
      </c>
      <c r="BA61" s="40">
        <f t="shared" si="24"/>
        <v>0</v>
      </c>
    </row>
    <row r="62" spans="2:53" x14ac:dyDescent="0.35">
      <c r="C62" s="34" t="s">
        <v>62</v>
      </c>
      <c r="M62" s="39">
        <v>17</v>
      </c>
      <c r="N62" s="39">
        <v>17</v>
      </c>
      <c r="O62" s="40">
        <f t="shared" si="25"/>
        <v>17</v>
      </c>
      <c r="P62" s="39">
        <v>25</v>
      </c>
      <c r="Q62" s="40">
        <f t="shared" si="25"/>
        <v>25</v>
      </c>
      <c r="R62" s="40">
        <f t="shared" si="25"/>
        <v>25</v>
      </c>
      <c r="S62" s="40">
        <f t="shared" si="21"/>
        <v>25</v>
      </c>
      <c r="T62" s="40">
        <f t="shared" si="21"/>
        <v>25</v>
      </c>
      <c r="U62" s="40">
        <f t="shared" si="21"/>
        <v>25</v>
      </c>
      <c r="V62" s="40">
        <f t="shared" si="21"/>
        <v>25</v>
      </c>
      <c r="W62" s="40">
        <f t="shared" si="21"/>
        <v>25</v>
      </c>
      <c r="X62" s="40">
        <f t="shared" si="21"/>
        <v>25</v>
      </c>
      <c r="Y62" s="40">
        <f t="shared" si="21"/>
        <v>25</v>
      </c>
      <c r="Z62" s="38">
        <f t="shared" si="26"/>
        <v>26.25</v>
      </c>
      <c r="AA62" s="40">
        <f t="shared" si="22"/>
        <v>26.25</v>
      </c>
      <c r="AB62" s="40">
        <f t="shared" si="22"/>
        <v>26.25</v>
      </c>
      <c r="AC62" s="40">
        <f t="shared" si="22"/>
        <v>26.25</v>
      </c>
      <c r="AD62" s="40">
        <f t="shared" si="22"/>
        <v>26.25</v>
      </c>
      <c r="AE62" s="40">
        <f t="shared" si="22"/>
        <v>26.25</v>
      </c>
      <c r="AF62" s="40">
        <f t="shared" si="22"/>
        <v>26.25</v>
      </c>
      <c r="AG62" s="40">
        <f t="shared" si="22"/>
        <v>26.25</v>
      </c>
      <c r="AH62" s="40">
        <f t="shared" si="22"/>
        <v>26.25</v>
      </c>
      <c r="AI62" s="40">
        <f t="shared" si="22"/>
        <v>26.25</v>
      </c>
      <c r="AJ62" s="40">
        <f t="shared" si="22"/>
        <v>26.25</v>
      </c>
      <c r="AK62" s="40">
        <f t="shared" si="22"/>
        <v>26.25</v>
      </c>
      <c r="AL62" s="38">
        <f t="shared" si="27"/>
        <v>27.5625</v>
      </c>
      <c r="AM62" s="40">
        <f t="shared" si="23"/>
        <v>27.5625</v>
      </c>
      <c r="AN62" s="40">
        <f t="shared" si="23"/>
        <v>27.5625</v>
      </c>
      <c r="AO62" s="40">
        <f t="shared" si="23"/>
        <v>27.5625</v>
      </c>
      <c r="AP62" s="40">
        <f t="shared" si="23"/>
        <v>27.5625</v>
      </c>
      <c r="AQ62" s="40">
        <f t="shared" si="23"/>
        <v>27.5625</v>
      </c>
      <c r="AR62" s="40">
        <f t="shared" si="23"/>
        <v>27.5625</v>
      </c>
      <c r="AS62" s="40">
        <f t="shared" si="23"/>
        <v>27.5625</v>
      </c>
      <c r="AT62" s="40">
        <f t="shared" si="23"/>
        <v>27.5625</v>
      </c>
      <c r="AU62" s="40">
        <f t="shared" si="23"/>
        <v>27.5625</v>
      </c>
      <c r="AV62" s="40">
        <f t="shared" si="23"/>
        <v>27.5625</v>
      </c>
      <c r="AW62" s="40">
        <f t="shared" si="23"/>
        <v>27.5625</v>
      </c>
      <c r="AX62" s="38">
        <f t="shared" si="28"/>
        <v>28.940625000000001</v>
      </c>
      <c r="AY62" s="40">
        <f t="shared" si="24"/>
        <v>28.940625000000001</v>
      </c>
      <c r="AZ62" s="40">
        <f t="shared" si="24"/>
        <v>28.940625000000001</v>
      </c>
      <c r="BA62" s="40">
        <f t="shared" si="24"/>
        <v>28.940625000000001</v>
      </c>
    </row>
    <row r="63" spans="2:53" x14ac:dyDescent="0.35">
      <c r="C63" s="34" t="s">
        <v>63</v>
      </c>
      <c r="M63" s="39">
        <v>22</v>
      </c>
      <c r="N63" s="39">
        <v>22</v>
      </c>
      <c r="O63" s="40">
        <f t="shared" si="25"/>
        <v>22</v>
      </c>
      <c r="P63" s="40">
        <v>21</v>
      </c>
      <c r="Q63" s="40">
        <f t="shared" si="25"/>
        <v>21</v>
      </c>
      <c r="R63" s="40">
        <f t="shared" si="25"/>
        <v>21</v>
      </c>
      <c r="S63" s="40">
        <f t="shared" si="21"/>
        <v>21</v>
      </c>
      <c r="T63" s="40">
        <f t="shared" si="21"/>
        <v>21</v>
      </c>
      <c r="U63" s="40">
        <f t="shared" si="21"/>
        <v>21</v>
      </c>
      <c r="V63" s="40">
        <f t="shared" si="21"/>
        <v>21</v>
      </c>
      <c r="W63" s="40">
        <f t="shared" si="21"/>
        <v>21</v>
      </c>
      <c r="X63" s="40">
        <f t="shared" si="21"/>
        <v>21</v>
      </c>
      <c r="Y63" s="40">
        <f t="shared" si="21"/>
        <v>21</v>
      </c>
      <c r="Z63" s="38">
        <f t="shared" si="26"/>
        <v>22.05</v>
      </c>
      <c r="AA63" s="40">
        <f t="shared" si="22"/>
        <v>22.05</v>
      </c>
      <c r="AB63" s="40">
        <f t="shared" si="22"/>
        <v>22.05</v>
      </c>
      <c r="AC63" s="40">
        <f t="shared" si="22"/>
        <v>22.05</v>
      </c>
      <c r="AD63" s="40">
        <f t="shared" si="22"/>
        <v>22.05</v>
      </c>
      <c r="AE63" s="40">
        <f t="shared" si="22"/>
        <v>22.05</v>
      </c>
      <c r="AF63" s="40">
        <f t="shared" si="22"/>
        <v>22.05</v>
      </c>
      <c r="AG63" s="40">
        <f t="shared" si="22"/>
        <v>22.05</v>
      </c>
      <c r="AH63" s="40">
        <f t="shared" si="22"/>
        <v>22.05</v>
      </c>
      <c r="AI63" s="40">
        <f t="shared" si="22"/>
        <v>22.05</v>
      </c>
      <c r="AJ63" s="40">
        <f t="shared" si="22"/>
        <v>22.05</v>
      </c>
      <c r="AK63" s="40">
        <f t="shared" si="22"/>
        <v>22.05</v>
      </c>
      <c r="AL63" s="38">
        <f t="shared" si="27"/>
        <v>23.152500000000003</v>
      </c>
      <c r="AM63" s="40">
        <f t="shared" si="23"/>
        <v>23.152500000000003</v>
      </c>
      <c r="AN63" s="40">
        <f t="shared" si="23"/>
        <v>23.152500000000003</v>
      </c>
      <c r="AO63" s="40">
        <f t="shared" si="23"/>
        <v>23.152500000000003</v>
      </c>
      <c r="AP63" s="40">
        <f t="shared" si="23"/>
        <v>23.152500000000003</v>
      </c>
      <c r="AQ63" s="40">
        <f t="shared" si="23"/>
        <v>23.152500000000003</v>
      </c>
      <c r="AR63" s="40">
        <f t="shared" si="23"/>
        <v>23.152500000000003</v>
      </c>
      <c r="AS63" s="40">
        <f t="shared" si="23"/>
        <v>23.152500000000003</v>
      </c>
      <c r="AT63" s="40">
        <f t="shared" si="23"/>
        <v>23.152500000000003</v>
      </c>
      <c r="AU63" s="40">
        <f t="shared" si="23"/>
        <v>23.152500000000003</v>
      </c>
      <c r="AV63" s="40">
        <f t="shared" si="23"/>
        <v>23.152500000000003</v>
      </c>
      <c r="AW63" s="40">
        <f t="shared" si="23"/>
        <v>23.152500000000003</v>
      </c>
      <c r="AX63" s="38">
        <f t="shared" si="28"/>
        <v>24.310125000000003</v>
      </c>
      <c r="AY63" s="40">
        <f t="shared" si="24"/>
        <v>24.310125000000003</v>
      </c>
      <c r="AZ63" s="40">
        <f t="shared" si="24"/>
        <v>24.310125000000003</v>
      </c>
      <c r="BA63" s="40">
        <f t="shared" si="24"/>
        <v>24.310125000000003</v>
      </c>
    </row>
    <row r="64" spans="2:53" x14ac:dyDescent="0.35">
      <c r="C64" s="34" t="s">
        <v>64</v>
      </c>
      <c r="M64" s="39">
        <v>17</v>
      </c>
      <c r="N64" s="39">
        <v>17</v>
      </c>
      <c r="O64" s="40">
        <f t="shared" si="25"/>
        <v>17</v>
      </c>
      <c r="P64" s="39">
        <v>17</v>
      </c>
      <c r="Q64" s="40">
        <f t="shared" si="25"/>
        <v>17</v>
      </c>
      <c r="R64" s="40">
        <f t="shared" si="25"/>
        <v>17</v>
      </c>
      <c r="S64" s="40">
        <f t="shared" si="21"/>
        <v>17</v>
      </c>
      <c r="T64" s="40">
        <f t="shared" si="21"/>
        <v>17</v>
      </c>
      <c r="U64" s="40">
        <f t="shared" si="21"/>
        <v>17</v>
      </c>
      <c r="V64" s="40">
        <f t="shared" si="21"/>
        <v>17</v>
      </c>
      <c r="W64" s="40">
        <f t="shared" si="21"/>
        <v>17</v>
      </c>
      <c r="X64" s="40">
        <f t="shared" si="21"/>
        <v>17</v>
      </c>
      <c r="Y64" s="40">
        <f t="shared" si="21"/>
        <v>17</v>
      </c>
      <c r="Z64" s="38">
        <f t="shared" si="26"/>
        <v>17.850000000000001</v>
      </c>
      <c r="AA64" s="40">
        <f t="shared" si="22"/>
        <v>17.850000000000001</v>
      </c>
      <c r="AB64" s="40">
        <f t="shared" si="22"/>
        <v>17.850000000000001</v>
      </c>
      <c r="AC64" s="40">
        <f t="shared" si="22"/>
        <v>17.850000000000001</v>
      </c>
      <c r="AD64" s="40">
        <f t="shared" si="22"/>
        <v>17.850000000000001</v>
      </c>
      <c r="AE64" s="40">
        <f t="shared" si="22"/>
        <v>17.850000000000001</v>
      </c>
      <c r="AF64" s="40">
        <f t="shared" si="22"/>
        <v>17.850000000000001</v>
      </c>
      <c r="AG64" s="40">
        <f t="shared" si="22"/>
        <v>17.850000000000001</v>
      </c>
      <c r="AH64" s="40">
        <f t="shared" si="22"/>
        <v>17.850000000000001</v>
      </c>
      <c r="AI64" s="40">
        <f t="shared" si="22"/>
        <v>17.850000000000001</v>
      </c>
      <c r="AJ64" s="40">
        <f t="shared" si="22"/>
        <v>17.850000000000001</v>
      </c>
      <c r="AK64" s="40">
        <f t="shared" si="22"/>
        <v>17.850000000000001</v>
      </c>
      <c r="AL64" s="38">
        <f t="shared" si="27"/>
        <v>18.742500000000003</v>
      </c>
      <c r="AM64" s="40">
        <f t="shared" si="23"/>
        <v>18.742500000000003</v>
      </c>
      <c r="AN64" s="40">
        <f t="shared" si="23"/>
        <v>18.742500000000003</v>
      </c>
      <c r="AO64" s="40">
        <f t="shared" si="23"/>
        <v>18.742500000000003</v>
      </c>
      <c r="AP64" s="40">
        <f t="shared" si="23"/>
        <v>18.742500000000003</v>
      </c>
      <c r="AQ64" s="40">
        <f t="shared" si="23"/>
        <v>18.742500000000003</v>
      </c>
      <c r="AR64" s="40">
        <f t="shared" si="23"/>
        <v>18.742500000000003</v>
      </c>
      <c r="AS64" s="40">
        <f t="shared" si="23"/>
        <v>18.742500000000003</v>
      </c>
      <c r="AT64" s="40">
        <f t="shared" si="23"/>
        <v>18.742500000000003</v>
      </c>
      <c r="AU64" s="40">
        <f t="shared" si="23"/>
        <v>18.742500000000003</v>
      </c>
      <c r="AV64" s="40">
        <f t="shared" si="23"/>
        <v>18.742500000000003</v>
      </c>
      <c r="AW64" s="40">
        <f t="shared" si="23"/>
        <v>18.742500000000003</v>
      </c>
      <c r="AX64" s="38">
        <f t="shared" si="28"/>
        <v>19.679625000000005</v>
      </c>
      <c r="AY64" s="40">
        <f t="shared" si="24"/>
        <v>19.679625000000005</v>
      </c>
      <c r="AZ64" s="40">
        <f t="shared" si="24"/>
        <v>19.679625000000005</v>
      </c>
      <c r="BA64" s="40">
        <f t="shared" si="24"/>
        <v>19.679625000000005</v>
      </c>
    </row>
    <row r="65" spans="2:53" x14ac:dyDescent="0.35">
      <c r="C65" s="34" t="s">
        <v>65</v>
      </c>
      <c r="M65" s="39">
        <v>17</v>
      </c>
      <c r="N65" s="39">
        <v>17</v>
      </c>
      <c r="O65" s="40">
        <f t="shared" si="25"/>
        <v>17</v>
      </c>
      <c r="P65" s="39">
        <v>17.5</v>
      </c>
      <c r="Q65" s="40">
        <f t="shared" si="25"/>
        <v>17.5</v>
      </c>
      <c r="R65" s="40">
        <f t="shared" si="25"/>
        <v>17.5</v>
      </c>
      <c r="S65" s="40">
        <f t="shared" si="21"/>
        <v>17.5</v>
      </c>
      <c r="T65" s="40">
        <f t="shared" si="21"/>
        <v>17.5</v>
      </c>
      <c r="U65" s="40">
        <f t="shared" si="21"/>
        <v>17.5</v>
      </c>
      <c r="V65" s="40">
        <f t="shared" si="21"/>
        <v>17.5</v>
      </c>
      <c r="W65" s="40">
        <f t="shared" si="21"/>
        <v>17.5</v>
      </c>
      <c r="X65" s="40">
        <f t="shared" si="21"/>
        <v>17.5</v>
      </c>
      <c r="Y65" s="40">
        <f t="shared" si="21"/>
        <v>17.5</v>
      </c>
      <c r="Z65" s="38">
        <f t="shared" si="26"/>
        <v>18.375</v>
      </c>
      <c r="AA65" s="40">
        <f t="shared" si="22"/>
        <v>18.375</v>
      </c>
      <c r="AB65" s="40">
        <f t="shared" si="22"/>
        <v>18.375</v>
      </c>
      <c r="AC65" s="40">
        <f t="shared" si="22"/>
        <v>18.375</v>
      </c>
      <c r="AD65" s="40">
        <f t="shared" si="22"/>
        <v>18.375</v>
      </c>
      <c r="AE65" s="40">
        <f t="shared" si="22"/>
        <v>18.375</v>
      </c>
      <c r="AF65" s="40">
        <f t="shared" si="22"/>
        <v>18.375</v>
      </c>
      <c r="AG65" s="40">
        <f t="shared" si="22"/>
        <v>18.375</v>
      </c>
      <c r="AH65" s="40">
        <f t="shared" si="22"/>
        <v>18.375</v>
      </c>
      <c r="AI65" s="40">
        <f t="shared" si="22"/>
        <v>18.375</v>
      </c>
      <c r="AJ65" s="40">
        <f t="shared" si="22"/>
        <v>18.375</v>
      </c>
      <c r="AK65" s="40">
        <f t="shared" si="22"/>
        <v>18.375</v>
      </c>
      <c r="AL65" s="38">
        <f t="shared" si="27"/>
        <v>19.293749999999999</v>
      </c>
      <c r="AM65" s="40">
        <f t="shared" si="23"/>
        <v>19.293749999999999</v>
      </c>
      <c r="AN65" s="40">
        <f t="shared" si="23"/>
        <v>19.293749999999999</v>
      </c>
      <c r="AO65" s="40">
        <f t="shared" si="23"/>
        <v>19.293749999999999</v>
      </c>
      <c r="AP65" s="40">
        <f t="shared" si="23"/>
        <v>19.293749999999999</v>
      </c>
      <c r="AQ65" s="40">
        <f t="shared" si="23"/>
        <v>19.293749999999999</v>
      </c>
      <c r="AR65" s="40">
        <f t="shared" si="23"/>
        <v>19.293749999999999</v>
      </c>
      <c r="AS65" s="40">
        <f t="shared" si="23"/>
        <v>19.293749999999999</v>
      </c>
      <c r="AT65" s="40">
        <f t="shared" si="23"/>
        <v>19.293749999999999</v>
      </c>
      <c r="AU65" s="40">
        <f t="shared" si="23"/>
        <v>19.293749999999999</v>
      </c>
      <c r="AV65" s="40">
        <f t="shared" si="23"/>
        <v>19.293749999999999</v>
      </c>
      <c r="AW65" s="40">
        <f t="shared" si="23"/>
        <v>19.293749999999999</v>
      </c>
      <c r="AX65" s="38">
        <f t="shared" si="28"/>
        <v>20.258437499999999</v>
      </c>
      <c r="AY65" s="40">
        <f t="shared" si="24"/>
        <v>20.258437499999999</v>
      </c>
      <c r="AZ65" s="40">
        <f t="shared" si="24"/>
        <v>20.258437499999999</v>
      </c>
      <c r="BA65" s="40">
        <f t="shared" si="24"/>
        <v>20.258437499999999</v>
      </c>
    </row>
    <row r="66" spans="2:53" x14ac:dyDescent="0.35">
      <c r="C66" s="34" t="s">
        <v>66</v>
      </c>
      <c r="M66" s="39">
        <v>20</v>
      </c>
      <c r="N66" s="39">
        <v>20</v>
      </c>
      <c r="O66" s="40">
        <f t="shared" si="25"/>
        <v>20</v>
      </c>
      <c r="P66" s="40">
        <f t="shared" si="25"/>
        <v>20</v>
      </c>
      <c r="Q66" s="40">
        <f t="shared" si="25"/>
        <v>20</v>
      </c>
      <c r="R66" s="40">
        <f t="shared" si="25"/>
        <v>20</v>
      </c>
      <c r="S66" s="40">
        <f t="shared" si="21"/>
        <v>20</v>
      </c>
      <c r="T66" s="40">
        <f t="shared" si="21"/>
        <v>20</v>
      </c>
      <c r="U66" s="40">
        <f t="shared" si="21"/>
        <v>20</v>
      </c>
      <c r="V66" s="40">
        <f t="shared" si="21"/>
        <v>20</v>
      </c>
      <c r="W66" s="40">
        <f t="shared" si="21"/>
        <v>20</v>
      </c>
      <c r="X66" s="40">
        <f t="shared" si="21"/>
        <v>20</v>
      </c>
      <c r="Y66" s="40">
        <f t="shared" si="21"/>
        <v>20</v>
      </c>
      <c r="Z66" s="38">
        <f t="shared" si="26"/>
        <v>21</v>
      </c>
      <c r="AA66" s="40">
        <f t="shared" si="22"/>
        <v>21</v>
      </c>
      <c r="AB66" s="40">
        <f t="shared" si="22"/>
        <v>21</v>
      </c>
      <c r="AC66" s="40">
        <f t="shared" si="22"/>
        <v>21</v>
      </c>
      <c r="AD66" s="40">
        <f t="shared" si="22"/>
        <v>21</v>
      </c>
      <c r="AE66" s="40">
        <f t="shared" si="22"/>
        <v>21</v>
      </c>
      <c r="AF66" s="40">
        <f t="shared" si="22"/>
        <v>21</v>
      </c>
      <c r="AG66" s="40">
        <f t="shared" si="22"/>
        <v>21</v>
      </c>
      <c r="AH66" s="40">
        <f t="shared" si="22"/>
        <v>21</v>
      </c>
      <c r="AI66" s="40">
        <f t="shared" si="22"/>
        <v>21</v>
      </c>
      <c r="AJ66" s="40">
        <f t="shared" si="22"/>
        <v>21</v>
      </c>
      <c r="AK66" s="40">
        <f t="shared" si="22"/>
        <v>21</v>
      </c>
      <c r="AL66" s="38">
        <f t="shared" si="27"/>
        <v>22.05</v>
      </c>
      <c r="AM66" s="40">
        <f t="shared" si="23"/>
        <v>22.05</v>
      </c>
      <c r="AN66" s="40">
        <f t="shared" si="23"/>
        <v>22.05</v>
      </c>
      <c r="AO66" s="40">
        <f t="shared" si="23"/>
        <v>22.05</v>
      </c>
      <c r="AP66" s="40">
        <f t="shared" si="23"/>
        <v>22.05</v>
      </c>
      <c r="AQ66" s="40">
        <f t="shared" si="23"/>
        <v>22.05</v>
      </c>
      <c r="AR66" s="40">
        <f t="shared" si="23"/>
        <v>22.05</v>
      </c>
      <c r="AS66" s="40">
        <f t="shared" si="23"/>
        <v>22.05</v>
      </c>
      <c r="AT66" s="40">
        <f t="shared" si="23"/>
        <v>22.05</v>
      </c>
      <c r="AU66" s="40">
        <f t="shared" si="23"/>
        <v>22.05</v>
      </c>
      <c r="AV66" s="40">
        <f t="shared" si="23"/>
        <v>22.05</v>
      </c>
      <c r="AW66" s="40">
        <f t="shared" si="23"/>
        <v>22.05</v>
      </c>
      <c r="AX66" s="38">
        <f t="shared" si="28"/>
        <v>23.152500000000003</v>
      </c>
      <c r="AY66" s="40">
        <f t="shared" si="24"/>
        <v>23.152500000000003</v>
      </c>
      <c r="AZ66" s="40">
        <f t="shared" si="24"/>
        <v>23.152500000000003</v>
      </c>
      <c r="BA66" s="40">
        <f t="shared" si="24"/>
        <v>23.152500000000003</v>
      </c>
    </row>
    <row r="67" spans="2:53" x14ac:dyDescent="0.35">
      <c r="C67" s="34" t="s">
        <v>67</v>
      </c>
      <c r="M67" s="39">
        <v>18</v>
      </c>
      <c r="N67" s="39">
        <v>18</v>
      </c>
      <c r="O67" s="40">
        <f t="shared" si="25"/>
        <v>18</v>
      </c>
      <c r="P67" s="40">
        <f t="shared" si="25"/>
        <v>18</v>
      </c>
      <c r="Q67" s="40">
        <f t="shared" si="25"/>
        <v>18</v>
      </c>
      <c r="R67" s="40">
        <f t="shared" si="25"/>
        <v>18</v>
      </c>
      <c r="S67" s="40">
        <f t="shared" si="21"/>
        <v>18</v>
      </c>
      <c r="T67" s="40">
        <f t="shared" si="21"/>
        <v>18</v>
      </c>
      <c r="U67" s="40">
        <f t="shared" si="21"/>
        <v>18</v>
      </c>
      <c r="V67" s="40">
        <f t="shared" si="21"/>
        <v>18</v>
      </c>
      <c r="W67" s="40">
        <f t="shared" si="21"/>
        <v>18</v>
      </c>
      <c r="X67" s="40">
        <f t="shared" si="21"/>
        <v>18</v>
      </c>
      <c r="Y67" s="40">
        <f t="shared" si="21"/>
        <v>18</v>
      </c>
      <c r="Z67" s="38">
        <f t="shared" si="26"/>
        <v>18.900000000000002</v>
      </c>
      <c r="AA67" s="40">
        <f t="shared" si="22"/>
        <v>18.900000000000002</v>
      </c>
      <c r="AB67" s="40">
        <f t="shared" si="22"/>
        <v>18.900000000000002</v>
      </c>
      <c r="AC67" s="40">
        <f t="shared" si="22"/>
        <v>18.900000000000002</v>
      </c>
      <c r="AD67" s="40">
        <f t="shared" si="22"/>
        <v>18.900000000000002</v>
      </c>
      <c r="AE67" s="40">
        <f t="shared" si="22"/>
        <v>18.900000000000002</v>
      </c>
      <c r="AF67" s="40">
        <f t="shared" si="22"/>
        <v>18.900000000000002</v>
      </c>
      <c r="AG67" s="40">
        <f t="shared" si="22"/>
        <v>18.900000000000002</v>
      </c>
      <c r="AH67" s="40">
        <f t="shared" si="22"/>
        <v>18.900000000000002</v>
      </c>
      <c r="AI67" s="40">
        <f t="shared" si="22"/>
        <v>18.900000000000002</v>
      </c>
      <c r="AJ67" s="40">
        <f t="shared" si="22"/>
        <v>18.900000000000002</v>
      </c>
      <c r="AK67" s="40">
        <f t="shared" si="22"/>
        <v>18.900000000000002</v>
      </c>
      <c r="AL67" s="38">
        <f t="shared" si="27"/>
        <v>19.845000000000002</v>
      </c>
      <c r="AM67" s="40">
        <f t="shared" si="23"/>
        <v>19.845000000000002</v>
      </c>
      <c r="AN67" s="40">
        <f t="shared" si="23"/>
        <v>19.845000000000002</v>
      </c>
      <c r="AO67" s="40">
        <f t="shared" si="23"/>
        <v>19.845000000000002</v>
      </c>
      <c r="AP67" s="40">
        <f t="shared" si="23"/>
        <v>19.845000000000002</v>
      </c>
      <c r="AQ67" s="40">
        <f t="shared" si="23"/>
        <v>19.845000000000002</v>
      </c>
      <c r="AR67" s="40">
        <f t="shared" si="23"/>
        <v>19.845000000000002</v>
      </c>
      <c r="AS67" s="40">
        <f t="shared" si="23"/>
        <v>19.845000000000002</v>
      </c>
      <c r="AT67" s="40">
        <f t="shared" si="23"/>
        <v>19.845000000000002</v>
      </c>
      <c r="AU67" s="40">
        <f t="shared" si="23"/>
        <v>19.845000000000002</v>
      </c>
      <c r="AV67" s="40">
        <f t="shared" si="23"/>
        <v>19.845000000000002</v>
      </c>
      <c r="AW67" s="40">
        <f t="shared" si="23"/>
        <v>19.845000000000002</v>
      </c>
      <c r="AX67" s="38">
        <f t="shared" si="28"/>
        <v>20.837250000000004</v>
      </c>
      <c r="AY67" s="40">
        <f t="shared" si="24"/>
        <v>20.837250000000004</v>
      </c>
      <c r="AZ67" s="40">
        <f t="shared" si="24"/>
        <v>20.837250000000004</v>
      </c>
      <c r="BA67" s="40">
        <f t="shared" si="24"/>
        <v>20.837250000000004</v>
      </c>
    </row>
    <row r="68" spans="2:53" x14ac:dyDescent="0.35">
      <c r="C68" s="34" t="s">
        <v>68</v>
      </c>
      <c r="M68" s="39">
        <v>19</v>
      </c>
      <c r="N68" s="39">
        <v>19</v>
      </c>
      <c r="O68" s="40">
        <f t="shared" si="25"/>
        <v>19</v>
      </c>
      <c r="P68" s="40">
        <v>21</v>
      </c>
      <c r="Q68" s="40">
        <f t="shared" si="25"/>
        <v>21</v>
      </c>
      <c r="R68" s="40">
        <f t="shared" si="25"/>
        <v>21</v>
      </c>
      <c r="S68" s="40">
        <f t="shared" si="21"/>
        <v>21</v>
      </c>
      <c r="T68" s="40">
        <f t="shared" si="21"/>
        <v>21</v>
      </c>
      <c r="U68" s="40">
        <f t="shared" si="21"/>
        <v>21</v>
      </c>
      <c r="V68" s="40">
        <f t="shared" si="21"/>
        <v>21</v>
      </c>
      <c r="W68" s="40">
        <f t="shared" si="21"/>
        <v>21</v>
      </c>
      <c r="X68" s="40">
        <f t="shared" si="21"/>
        <v>21</v>
      </c>
      <c r="Y68" s="40">
        <f t="shared" si="21"/>
        <v>21</v>
      </c>
      <c r="Z68" s="38">
        <f t="shared" si="26"/>
        <v>22.05</v>
      </c>
      <c r="AA68" s="40">
        <f t="shared" si="22"/>
        <v>22.05</v>
      </c>
      <c r="AB68" s="40">
        <f t="shared" si="22"/>
        <v>22.05</v>
      </c>
      <c r="AC68" s="40">
        <f t="shared" si="22"/>
        <v>22.05</v>
      </c>
      <c r="AD68" s="40">
        <f t="shared" si="22"/>
        <v>22.05</v>
      </c>
      <c r="AE68" s="40">
        <f t="shared" si="22"/>
        <v>22.05</v>
      </c>
      <c r="AF68" s="40">
        <f t="shared" si="22"/>
        <v>22.05</v>
      </c>
      <c r="AG68" s="40">
        <f t="shared" si="22"/>
        <v>22.05</v>
      </c>
      <c r="AH68" s="40">
        <f t="shared" si="22"/>
        <v>22.05</v>
      </c>
      <c r="AI68" s="40">
        <f t="shared" si="22"/>
        <v>22.05</v>
      </c>
      <c r="AJ68" s="40">
        <f t="shared" si="22"/>
        <v>22.05</v>
      </c>
      <c r="AK68" s="40">
        <f t="shared" si="22"/>
        <v>22.05</v>
      </c>
      <c r="AL68" s="38">
        <f t="shared" si="27"/>
        <v>23.152500000000003</v>
      </c>
      <c r="AM68" s="40">
        <f t="shared" si="23"/>
        <v>23.152500000000003</v>
      </c>
      <c r="AN68" s="40">
        <f t="shared" si="23"/>
        <v>23.152500000000003</v>
      </c>
      <c r="AO68" s="40">
        <f t="shared" si="23"/>
        <v>23.152500000000003</v>
      </c>
      <c r="AP68" s="40">
        <f t="shared" si="23"/>
        <v>23.152500000000003</v>
      </c>
      <c r="AQ68" s="40">
        <f t="shared" si="23"/>
        <v>23.152500000000003</v>
      </c>
      <c r="AR68" s="40">
        <f t="shared" si="23"/>
        <v>23.152500000000003</v>
      </c>
      <c r="AS68" s="40">
        <f t="shared" si="23"/>
        <v>23.152500000000003</v>
      </c>
      <c r="AT68" s="40">
        <f t="shared" si="23"/>
        <v>23.152500000000003</v>
      </c>
      <c r="AU68" s="40">
        <f t="shared" si="23"/>
        <v>23.152500000000003</v>
      </c>
      <c r="AV68" s="40">
        <f t="shared" si="23"/>
        <v>23.152500000000003</v>
      </c>
      <c r="AW68" s="40">
        <f t="shared" si="23"/>
        <v>23.152500000000003</v>
      </c>
      <c r="AX68" s="38">
        <f t="shared" si="28"/>
        <v>24.310125000000003</v>
      </c>
      <c r="AY68" s="40">
        <f t="shared" si="24"/>
        <v>24.310125000000003</v>
      </c>
      <c r="AZ68" s="40">
        <f t="shared" si="24"/>
        <v>24.310125000000003</v>
      </c>
      <c r="BA68" s="40">
        <f t="shared" si="24"/>
        <v>24.310125000000003</v>
      </c>
    </row>
    <row r="69" spans="2:53" x14ac:dyDescent="0.35">
      <c r="C69" s="34" t="s">
        <v>69</v>
      </c>
      <c r="M69" s="39">
        <v>19</v>
      </c>
      <c r="N69" s="39">
        <v>19</v>
      </c>
      <c r="O69" s="40">
        <f t="shared" si="25"/>
        <v>19</v>
      </c>
      <c r="P69" s="40">
        <f t="shared" si="25"/>
        <v>19</v>
      </c>
      <c r="Q69" s="40">
        <f t="shared" si="25"/>
        <v>19</v>
      </c>
      <c r="R69" s="40">
        <f t="shared" si="25"/>
        <v>19</v>
      </c>
      <c r="S69" s="40">
        <f t="shared" si="21"/>
        <v>19</v>
      </c>
      <c r="T69" s="40">
        <f t="shared" si="21"/>
        <v>19</v>
      </c>
      <c r="U69" s="40">
        <f t="shared" si="21"/>
        <v>19</v>
      </c>
      <c r="V69" s="40">
        <f t="shared" si="21"/>
        <v>19</v>
      </c>
      <c r="W69" s="40">
        <f t="shared" si="21"/>
        <v>19</v>
      </c>
      <c r="X69" s="40">
        <f t="shared" si="21"/>
        <v>19</v>
      </c>
      <c r="Y69" s="40">
        <f t="shared" si="21"/>
        <v>19</v>
      </c>
      <c r="Z69" s="38">
        <f t="shared" si="26"/>
        <v>19.95</v>
      </c>
      <c r="AA69" s="40">
        <f t="shared" si="22"/>
        <v>19.95</v>
      </c>
      <c r="AB69" s="40">
        <f t="shared" si="22"/>
        <v>19.95</v>
      </c>
      <c r="AC69" s="40">
        <f t="shared" si="22"/>
        <v>19.95</v>
      </c>
      <c r="AD69" s="40">
        <f t="shared" si="22"/>
        <v>19.95</v>
      </c>
      <c r="AE69" s="40">
        <f t="shared" si="22"/>
        <v>19.95</v>
      </c>
      <c r="AF69" s="40">
        <f t="shared" si="22"/>
        <v>19.95</v>
      </c>
      <c r="AG69" s="40">
        <f t="shared" si="22"/>
        <v>19.95</v>
      </c>
      <c r="AH69" s="40">
        <f t="shared" si="22"/>
        <v>19.95</v>
      </c>
      <c r="AI69" s="40">
        <f t="shared" si="22"/>
        <v>19.95</v>
      </c>
      <c r="AJ69" s="40">
        <f t="shared" si="22"/>
        <v>19.95</v>
      </c>
      <c r="AK69" s="40">
        <f t="shared" si="22"/>
        <v>19.95</v>
      </c>
      <c r="AL69" s="38">
        <f t="shared" si="27"/>
        <v>20.947500000000002</v>
      </c>
      <c r="AM69" s="40">
        <f t="shared" si="23"/>
        <v>20.947500000000002</v>
      </c>
      <c r="AN69" s="40">
        <f t="shared" si="23"/>
        <v>20.947500000000002</v>
      </c>
      <c r="AO69" s="40">
        <f t="shared" si="23"/>
        <v>20.947500000000002</v>
      </c>
      <c r="AP69" s="40">
        <f t="shared" si="23"/>
        <v>20.947500000000002</v>
      </c>
      <c r="AQ69" s="40">
        <f t="shared" si="23"/>
        <v>20.947500000000002</v>
      </c>
      <c r="AR69" s="40">
        <f t="shared" si="23"/>
        <v>20.947500000000002</v>
      </c>
      <c r="AS69" s="40">
        <f t="shared" si="23"/>
        <v>20.947500000000002</v>
      </c>
      <c r="AT69" s="40">
        <f t="shared" si="23"/>
        <v>20.947500000000002</v>
      </c>
      <c r="AU69" s="40">
        <f t="shared" si="23"/>
        <v>20.947500000000002</v>
      </c>
      <c r="AV69" s="40">
        <f t="shared" si="23"/>
        <v>20.947500000000002</v>
      </c>
      <c r="AW69" s="40">
        <f t="shared" si="23"/>
        <v>20.947500000000002</v>
      </c>
      <c r="AX69" s="38">
        <f t="shared" si="28"/>
        <v>21.994875000000004</v>
      </c>
      <c r="AY69" s="40">
        <f t="shared" si="24"/>
        <v>21.994875000000004</v>
      </c>
      <c r="AZ69" s="40">
        <f t="shared" si="24"/>
        <v>21.994875000000004</v>
      </c>
      <c r="BA69" s="40">
        <f t="shared" si="24"/>
        <v>21.994875000000004</v>
      </c>
    </row>
    <row r="70" spans="2:53" x14ac:dyDescent="0.35">
      <c r="C70" s="34" t="s">
        <v>70</v>
      </c>
      <c r="M70" s="39">
        <v>28</v>
      </c>
      <c r="N70" s="39">
        <v>28</v>
      </c>
      <c r="O70" s="40">
        <f t="shared" si="25"/>
        <v>28</v>
      </c>
      <c r="P70" s="40">
        <f t="shared" si="25"/>
        <v>28</v>
      </c>
      <c r="Q70" s="40">
        <f t="shared" si="25"/>
        <v>28</v>
      </c>
      <c r="R70" s="40">
        <f t="shared" si="25"/>
        <v>28</v>
      </c>
      <c r="S70" s="40">
        <f t="shared" si="21"/>
        <v>28</v>
      </c>
      <c r="T70" s="40">
        <f t="shared" si="21"/>
        <v>28</v>
      </c>
      <c r="U70" s="40">
        <f t="shared" si="21"/>
        <v>28</v>
      </c>
      <c r="V70" s="40">
        <f t="shared" si="21"/>
        <v>28</v>
      </c>
      <c r="W70" s="40">
        <f t="shared" si="21"/>
        <v>28</v>
      </c>
      <c r="X70" s="40">
        <f t="shared" si="21"/>
        <v>28</v>
      </c>
      <c r="Y70" s="40">
        <f t="shared" si="21"/>
        <v>28</v>
      </c>
      <c r="Z70" s="38">
        <f t="shared" si="26"/>
        <v>29.400000000000002</v>
      </c>
      <c r="AA70" s="40">
        <f t="shared" si="22"/>
        <v>29.400000000000002</v>
      </c>
      <c r="AB70" s="40">
        <f t="shared" si="22"/>
        <v>29.400000000000002</v>
      </c>
      <c r="AC70" s="40">
        <f t="shared" si="22"/>
        <v>29.400000000000002</v>
      </c>
      <c r="AD70" s="40">
        <f t="shared" si="22"/>
        <v>29.400000000000002</v>
      </c>
      <c r="AE70" s="40">
        <f t="shared" si="22"/>
        <v>29.400000000000002</v>
      </c>
      <c r="AF70" s="40">
        <f t="shared" si="22"/>
        <v>29.400000000000002</v>
      </c>
      <c r="AG70" s="40">
        <f t="shared" si="22"/>
        <v>29.400000000000002</v>
      </c>
      <c r="AH70" s="40">
        <f t="shared" si="22"/>
        <v>29.400000000000002</v>
      </c>
      <c r="AI70" s="40">
        <f t="shared" si="22"/>
        <v>29.400000000000002</v>
      </c>
      <c r="AJ70" s="40">
        <f t="shared" si="22"/>
        <v>29.400000000000002</v>
      </c>
      <c r="AK70" s="40">
        <f t="shared" si="22"/>
        <v>29.400000000000002</v>
      </c>
      <c r="AL70" s="38">
        <f t="shared" si="27"/>
        <v>30.870000000000005</v>
      </c>
      <c r="AM70" s="40">
        <f t="shared" si="23"/>
        <v>30.870000000000005</v>
      </c>
      <c r="AN70" s="40">
        <f t="shared" si="23"/>
        <v>30.870000000000005</v>
      </c>
      <c r="AO70" s="40">
        <f t="shared" si="23"/>
        <v>30.870000000000005</v>
      </c>
      <c r="AP70" s="40">
        <f t="shared" si="23"/>
        <v>30.870000000000005</v>
      </c>
      <c r="AQ70" s="40">
        <f t="shared" si="23"/>
        <v>30.870000000000005</v>
      </c>
      <c r="AR70" s="40">
        <f t="shared" si="23"/>
        <v>30.870000000000005</v>
      </c>
      <c r="AS70" s="40">
        <f t="shared" si="23"/>
        <v>30.870000000000005</v>
      </c>
      <c r="AT70" s="40">
        <f t="shared" si="23"/>
        <v>30.870000000000005</v>
      </c>
      <c r="AU70" s="40">
        <f t="shared" si="23"/>
        <v>30.870000000000005</v>
      </c>
      <c r="AV70" s="40">
        <f t="shared" si="23"/>
        <v>30.870000000000005</v>
      </c>
      <c r="AW70" s="40">
        <f t="shared" si="23"/>
        <v>30.870000000000005</v>
      </c>
      <c r="AX70" s="38">
        <f t="shared" si="28"/>
        <v>32.413500000000006</v>
      </c>
      <c r="AY70" s="40">
        <f t="shared" si="24"/>
        <v>32.413500000000006</v>
      </c>
      <c r="AZ70" s="40">
        <f t="shared" si="24"/>
        <v>32.413500000000006</v>
      </c>
      <c r="BA70" s="40">
        <f t="shared" si="24"/>
        <v>32.413500000000006</v>
      </c>
    </row>
    <row r="72" spans="2:53" x14ac:dyDescent="0.35">
      <c r="B72" s="3" t="s">
        <v>72</v>
      </c>
    </row>
    <row r="73" spans="2:53" x14ac:dyDescent="0.35">
      <c r="C73" t="s">
        <v>46</v>
      </c>
    </row>
    <row r="74" spans="2:53" x14ac:dyDescent="0.35">
      <c r="B74" s="44">
        <v>55</v>
      </c>
      <c r="C74" s="34" t="s">
        <v>73</v>
      </c>
      <c r="N74" s="35">
        <f>$B74</f>
        <v>55</v>
      </c>
      <c r="O74" s="35">
        <f t="shared" ref="O74:BA74" si="29">$B74</f>
        <v>55</v>
      </c>
      <c r="P74" s="35">
        <f t="shared" si="29"/>
        <v>55</v>
      </c>
      <c r="Q74" s="35">
        <f t="shared" si="29"/>
        <v>55</v>
      </c>
      <c r="R74" s="35">
        <f t="shared" si="29"/>
        <v>55</v>
      </c>
      <c r="S74" s="35">
        <f t="shared" si="29"/>
        <v>55</v>
      </c>
      <c r="T74" s="35">
        <f t="shared" si="29"/>
        <v>55</v>
      </c>
      <c r="U74" s="35">
        <f t="shared" si="29"/>
        <v>55</v>
      </c>
      <c r="V74" s="35">
        <f t="shared" si="29"/>
        <v>55</v>
      </c>
      <c r="W74" s="35">
        <f t="shared" si="29"/>
        <v>55</v>
      </c>
      <c r="X74" s="35">
        <f t="shared" si="29"/>
        <v>55</v>
      </c>
      <c r="Y74" s="35">
        <f t="shared" si="29"/>
        <v>55</v>
      </c>
      <c r="Z74" s="35">
        <f t="shared" si="29"/>
        <v>55</v>
      </c>
      <c r="AA74" s="35">
        <f t="shared" si="29"/>
        <v>55</v>
      </c>
      <c r="AB74" s="35">
        <f t="shared" si="29"/>
        <v>55</v>
      </c>
      <c r="AC74" s="35">
        <f t="shared" si="29"/>
        <v>55</v>
      </c>
      <c r="AD74" s="35">
        <f t="shared" si="29"/>
        <v>55</v>
      </c>
      <c r="AE74" s="35">
        <f t="shared" si="29"/>
        <v>55</v>
      </c>
      <c r="AF74" s="35">
        <f t="shared" si="29"/>
        <v>55</v>
      </c>
      <c r="AG74" s="35">
        <f t="shared" si="29"/>
        <v>55</v>
      </c>
      <c r="AH74" s="35">
        <f t="shared" si="29"/>
        <v>55</v>
      </c>
      <c r="AI74" s="35">
        <f t="shared" si="29"/>
        <v>55</v>
      </c>
      <c r="AJ74" s="35">
        <f t="shared" si="29"/>
        <v>55</v>
      </c>
      <c r="AK74" s="35">
        <f t="shared" si="29"/>
        <v>55</v>
      </c>
      <c r="AL74" s="35">
        <f t="shared" si="29"/>
        <v>55</v>
      </c>
      <c r="AM74" s="35">
        <f t="shared" si="29"/>
        <v>55</v>
      </c>
      <c r="AN74" s="35">
        <f t="shared" si="29"/>
        <v>55</v>
      </c>
      <c r="AO74" s="35">
        <f t="shared" si="29"/>
        <v>55</v>
      </c>
      <c r="AP74" s="35">
        <f t="shared" si="29"/>
        <v>55</v>
      </c>
      <c r="AQ74" s="35">
        <f t="shared" si="29"/>
        <v>55</v>
      </c>
      <c r="AR74" s="35">
        <f t="shared" si="29"/>
        <v>55</v>
      </c>
      <c r="AS74" s="35">
        <f t="shared" si="29"/>
        <v>55</v>
      </c>
      <c r="AT74" s="35">
        <f t="shared" si="29"/>
        <v>55</v>
      </c>
      <c r="AU74" s="35">
        <f t="shared" si="29"/>
        <v>55</v>
      </c>
      <c r="AV74" s="35">
        <f t="shared" si="29"/>
        <v>55</v>
      </c>
      <c r="AW74" s="35">
        <f t="shared" si="29"/>
        <v>55</v>
      </c>
      <c r="AX74" s="35">
        <f t="shared" si="29"/>
        <v>55</v>
      </c>
      <c r="AY74" s="35">
        <f t="shared" si="29"/>
        <v>55</v>
      </c>
      <c r="AZ74" s="35">
        <f t="shared" si="29"/>
        <v>55</v>
      </c>
      <c r="BA74" s="35">
        <f t="shared" si="29"/>
        <v>55</v>
      </c>
    </row>
    <row r="75" spans="2:53" x14ac:dyDescent="0.35">
      <c r="C75" s="34" t="s">
        <v>74</v>
      </c>
      <c r="N75" s="45">
        <v>0</v>
      </c>
      <c r="O75" s="45">
        <v>0</v>
      </c>
      <c r="P75" s="45">
        <v>0</v>
      </c>
      <c r="Q75" s="45">
        <v>0</v>
      </c>
      <c r="R75" s="45">
        <v>0</v>
      </c>
      <c r="S75" s="45">
        <v>0.15</v>
      </c>
      <c r="T75" s="45">
        <v>0.35</v>
      </c>
      <c r="U75" s="45">
        <v>0.5</v>
      </c>
      <c r="V75" s="45">
        <v>0.75</v>
      </c>
      <c r="W75" s="45">
        <v>0.9</v>
      </c>
      <c r="X75" s="45">
        <v>0.9</v>
      </c>
      <c r="Y75" s="45">
        <v>0.9</v>
      </c>
      <c r="Z75" s="45">
        <v>0.9</v>
      </c>
      <c r="AA75" s="45">
        <v>0.9</v>
      </c>
      <c r="AB75" s="45">
        <v>0.9</v>
      </c>
      <c r="AC75" s="45">
        <v>0.9</v>
      </c>
      <c r="AD75" s="45">
        <v>0.9</v>
      </c>
      <c r="AE75" s="45">
        <v>0.9</v>
      </c>
      <c r="AF75" s="45">
        <v>0.9</v>
      </c>
      <c r="AG75" s="45">
        <v>0.9</v>
      </c>
      <c r="AH75" s="45">
        <v>0.9</v>
      </c>
      <c r="AI75" s="45">
        <v>0.9</v>
      </c>
      <c r="AJ75" s="45">
        <v>0.9</v>
      </c>
      <c r="AK75" s="45">
        <v>0.9</v>
      </c>
      <c r="AL75" s="45">
        <v>0.9</v>
      </c>
      <c r="AM75" s="45">
        <v>0.9</v>
      </c>
      <c r="AN75" s="45">
        <v>0.9</v>
      </c>
      <c r="AO75" s="45">
        <v>0.9</v>
      </c>
      <c r="AP75" s="45">
        <v>0.9</v>
      </c>
      <c r="AQ75" s="45">
        <v>0.9</v>
      </c>
      <c r="AR75" s="45">
        <v>0.9</v>
      </c>
      <c r="AS75" s="45">
        <v>0.9</v>
      </c>
      <c r="AT75" s="45">
        <v>0.9</v>
      </c>
      <c r="AU75" s="45">
        <v>0.9</v>
      </c>
      <c r="AV75" s="45">
        <v>0.9</v>
      </c>
      <c r="AW75" s="45">
        <v>0.9</v>
      </c>
      <c r="AX75" s="45">
        <v>0.9</v>
      </c>
      <c r="AY75" s="45">
        <v>0.9</v>
      </c>
      <c r="AZ75" s="45">
        <v>0.9</v>
      </c>
      <c r="BA75" s="45">
        <v>0.9</v>
      </c>
    </row>
    <row r="76" spans="2:53" x14ac:dyDescent="0.35">
      <c r="C76" s="34" t="s">
        <v>75</v>
      </c>
      <c r="N76" s="43">
        <v>3</v>
      </c>
      <c r="O76" s="43">
        <v>3</v>
      </c>
      <c r="P76" s="43">
        <v>3</v>
      </c>
      <c r="Q76" s="43">
        <v>3</v>
      </c>
      <c r="R76" s="43">
        <v>3</v>
      </c>
      <c r="S76" s="43">
        <v>3</v>
      </c>
      <c r="T76" s="43">
        <v>3</v>
      </c>
      <c r="U76" s="43">
        <v>3</v>
      </c>
      <c r="V76" s="43">
        <v>3</v>
      </c>
      <c r="W76" s="43">
        <v>3</v>
      </c>
      <c r="X76" s="46">
        <f>IF(W78=2,IF(W99&lt;90%,MIN(W76+1,5),W76),W76)</f>
        <v>3</v>
      </c>
      <c r="Y76" s="46">
        <f t="shared" ref="Y76:BA76" si="30">IF(X78=2,IF(X99&lt;90%,MIN(X76+1,5),X76),X76)</f>
        <v>3</v>
      </c>
      <c r="Z76" s="46">
        <f t="shared" si="30"/>
        <v>3</v>
      </c>
      <c r="AA76" s="46">
        <f t="shared" si="30"/>
        <v>3</v>
      </c>
      <c r="AB76" s="46">
        <f t="shared" si="30"/>
        <v>3</v>
      </c>
      <c r="AC76" s="46">
        <f t="shared" si="30"/>
        <v>3</v>
      </c>
      <c r="AD76" s="46">
        <f t="shared" si="30"/>
        <v>3</v>
      </c>
      <c r="AE76" s="46">
        <f t="shared" si="30"/>
        <v>3</v>
      </c>
      <c r="AF76" s="46">
        <f t="shared" si="30"/>
        <v>3</v>
      </c>
      <c r="AG76" s="46">
        <f t="shared" si="30"/>
        <v>3</v>
      </c>
      <c r="AH76" s="46">
        <f t="shared" si="30"/>
        <v>3</v>
      </c>
      <c r="AI76" s="46">
        <f t="shared" si="30"/>
        <v>4</v>
      </c>
      <c r="AJ76" s="46">
        <f t="shared" si="30"/>
        <v>4</v>
      </c>
      <c r="AK76" s="46">
        <f t="shared" si="30"/>
        <v>5</v>
      </c>
      <c r="AL76" s="46">
        <f t="shared" si="30"/>
        <v>5</v>
      </c>
      <c r="AM76" s="46">
        <f t="shared" si="30"/>
        <v>5</v>
      </c>
      <c r="AN76" s="46">
        <f t="shared" si="30"/>
        <v>5</v>
      </c>
      <c r="AO76" s="46">
        <f t="shared" si="30"/>
        <v>5</v>
      </c>
      <c r="AP76" s="46">
        <f t="shared" si="30"/>
        <v>5</v>
      </c>
      <c r="AQ76" s="46">
        <f t="shared" si="30"/>
        <v>5</v>
      </c>
      <c r="AR76" s="46">
        <f t="shared" si="30"/>
        <v>5</v>
      </c>
      <c r="AS76" s="46">
        <f t="shared" si="30"/>
        <v>5</v>
      </c>
      <c r="AT76" s="46">
        <f t="shared" si="30"/>
        <v>5</v>
      </c>
      <c r="AU76" s="46">
        <f t="shared" si="30"/>
        <v>5</v>
      </c>
      <c r="AV76" s="46">
        <f t="shared" si="30"/>
        <v>5</v>
      </c>
      <c r="AW76" s="46">
        <f t="shared" si="30"/>
        <v>5</v>
      </c>
      <c r="AX76" s="46">
        <f t="shared" si="30"/>
        <v>5</v>
      </c>
      <c r="AY76" s="46">
        <f t="shared" si="30"/>
        <v>5</v>
      </c>
      <c r="AZ76" s="46">
        <f t="shared" si="30"/>
        <v>5</v>
      </c>
      <c r="BA76" s="46">
        <f t="shared" si="30"/>
        <v>5</v>
      </c>
    </row>
    <row r="77" spans="2:53" x14ac:dyDescent="0.35">
      <c r="B77" s="44">
        <v>10</v>
      </c>
      <c r="C77" s="34" t="s">
        <v>76</v>
      </c>
      <c r="N77" s="35">
        <f>$B77</f>
        <v>10</v>
      </c>
      <c r="O77" s="35">
        <f t="shared" ref="O77:BA77" si="31">$B77</f>
        <v>10</v>
      </c>
      <c r="P77" s="35">
        <f t="shared" si="31"/>
        <v>10</v>
      </c>
      <c r="Q77" s="35">
        <f t="shared" si="31"/>
        <v>10</v>
      </c>
      <c r="R77" s="35">
        <f t="shared" si="31"/>
        <v>10</v>
      </c>
      <c r="S77" s="35">
        <f t="shared" si="31"/>
        <v>10</v>
      </c>
      <c r="T77" s="35">
        <f t="shared" si="31"/>
        <v>10</v>
      </c>
      <c r="U77" s="35">
        <f t="shared" si="31"/>
        <v>10</v>
      </c>
      <c r="V77" s="35">
        <f t="shared" si="31"/>
        <v>10</v>
      </c>
      <c r="W77" s="35">
        <f t="shared" si="31"/>
        <v>10</v>
      </c>
      <c r="X77" s="35">
        <f t="shared" si="31"/>
        <v>10</v>
      </c>
      <c r="Y77" s="35">
        <f t="shared" si="31"/>
        <v>10</v>
      </c>
      <c r="Z77" s="35">
        <f t="shared" si="31"/>
        <v>10</v>
      </c>
      <c r="AA77" s="35">
        <f t="shared" si="31"/>
        <v>10</v>
      </c>
      <c r="AB77" s="35">
        <f t="shared" si="31"/>
        <v>10</v>
      </c>
      <c r="AC77" s="35">
        <f t="shared" si="31"/>
        <v>10</v>
      </c>
      <c r="AD77" s="35">
        <f t="shared" si="31"/>
        <v>10</v>
      </c>
      <c r="AE77" s="35">
        <f t="shared" si="31"/>
        <v>10</v>
      </c>
      <c r="AF77" s="35">
        <f t="shared" si="31"/>
        <v>10</v>
      </c>
      <c r="AG77" s="35">
        <f t="shared" si="31"/>
        <v>10</v>
      </c>
      <c r="AH77" s="35">
        <f t="shared" si="31"/>
        <v>10</v>
      </c>
      <c r="AI77" s="35">
        <f t="shared" si="31"/>
        <v>10</v>
      </c>
      <c r="AJ77" s="35">
        <f t="shared" si="31"/>
        <v>10</v>
      </c>
      <c r="AK77" s="35">
        <f t="shared" si="31"/>
        <v>10</v>
      </c>
      <c r="AL77" s="35">
        <f t="shared" si="31"/>
        <v>10</v>
      </c>
      <c r="AM77" s="35">
        <f t="shared" si="31"/>
        <v>10</v>
      </c>
      <c r="AN77" s="35">
        <f t="shared" si="31"/>
        <v>10</v>
      </c>
      <c r="AO77" s="35">
        <f t="shared" si="31"/>
        <v>10</v>
      </c>
      <c r="AP77" s="35">
        <f t="shared" si="31"/>
        <v>10</v>
      </c>
      <c r="AQ77" s="35">
        <f t="shared" si="31"/>
        <v>10</v>
      </c>
      <c r="AR77" s="35">
        <f t="shared" si="31"/>
        <v>10</v>
      </c>
      <c r="AS77" s="35">
        <f t="shared" si="31"/>
        <v>10</v>
      </c>
      <c r="AT77" s="35">
        <f t="shared" si="31"/>
        <v>10</v>
      </c>
      <c r="AU77" s="35">
        <f t="shared" si="31"/>
        <v>10</v>
      </c>
      <c r="AV77" s="35">
        <f t="shared" si="31"/>
        <v>10</v>
      </c>
      <c r="AW77" s="35">
        <f t="shared" si="31"/>
        <v>10</v>
      </c>
      <c r="AX77" s="35">
        <f t="shared" si="31"/>
        <v>10</v>
      </c>
      <c r="AY77" s="35">
        <f t="shared" si="31"/>
        <v>10</v>
      </c>
      <c r="AZ77" s="35">
        <f t="shared" si="31"/>
        <v>10</v>
      </c>
      <c r="BA77" s="35">
        <f t="shared" si="31"/>
        <v>10</v>
      </c>
    </row>
    <row r="78" spans="2:53" x14ac:dyDescent="0.35">
      <c r="C78" s="34" t="s">
        <v>77</v>
      </c>
      <c r="N78" s="47">
        <v>1</v>
      </c>
      <c r="O78" s="47">
        <v>1</v>
      </c>
      <c r="P78" s="47">
        <v>1</v>
      </c>
      <c r="Q78" s="47">
        <v>1</v>
      </c>
      <c r="R78" s="47">
        <v>1</v>
      </c>
      <c r="S78" s="47">
        <v>1</v>
      </c>
      <c r="T78" s="47">
        <v>1</v>
      </c>
      <c r="U78" s="40">
        <v>1.5</v>
      </c>
      <c r="V78" s="47">
        <v>1.5</v>
      </c>
      <c r="W78" s="40">
        <f t="shared" ref="W78:BA78" si="32">MIN(2,MAX(V78,(SUM(W6:W7,W11:W12,W16:W17)/(W74*60*W75*W76*(W80*W1))+W79)/W77))</f>
        <v>1.5</v>
      </c>
      <c r="X78" s="48">
        <f t="shared" si="32"/>
        <v>1.5</v>
      </c>
      <c r="Y78" s="48">
        <v>1.7</v>
      </c>
      <c r="Z78" s="48">
        <f t="shared" si="32"/>
        <v>1.9127180026693253</v>
      </c>
      <c r="AA78" s="48">
        <f t="shared" si="32"/>
        <v>1.9127180026693253</v>
      </c>
      <c r="AB78" s="48">
        <f t="shared" si="32"/>
        <v>1.9127180026693253</v>
      </c>
      <c r="AC78" s="48">
        <f t="shared" si="32"/>
        <v>1.9127180026693253</v>
      </c>
      <c r="AD78" s="48">
        <f t="shared" si="32"/>
        <v>1.9127180026693253</v>
      </c>
      <c r="AE78" s="48">
        <f t="shared" si="32"/>
        <v>1.9127180026693253</v>
      </c>
      <c r="AF78" s="48">
        <f t="shared" si="32"/>
        <v>1.9127180026693253</v>
      </c>
      <c r="AG78" s="48">
        <f t="shared" si="32"/>
        <v>2</v>
      </c>
      <c r="AH78" s="48">
        <f t="shared" si="32"/>
        <v>2</v>
      </c>
      <c r="AI78" s="48">
        <f t="shared" si="32"/>
        <v>2</v>
      </c>
      <c r="AJ78" s="48">
        <f t="shared" si="32"/>
        <v>2</v>
      </c>
      <c r="AK78" s="48">
        <f t="shared" si="32"/>
        <v>2</v>
      </c>
      <c r="AL78" s="48">
        <f t="shared" si="32"/>
        <v>2</v>
      </c>
      <c r="AM78" s="48">
        <f t="shared" si="32"/>
        <v>2</v>
      </c>
      <c r="AN78" s="48">
        <f t="shared" si="32"/>
        <v>2</v>
      </c>
      <c r="AO78" s="48">
        <f t="shared" si="32"/>
        <v>2</v>
      </c>
      <c r="AP78" s="48">
        <f t="shared" si="32"/>
        <v>2</v>
      </c>
      <c r="AQ78" s="48">
        <f t="shared" si="32"/>
        <v>2</v>
      </c>
      <c r="AR78" s="48">
        <f t="shared" si="32"/>
        <v>2</v>
      </c>
      <c r="AS78" s="48">
        <v>1.8</v>
      </c>
      <c r="AT78" s="48">
        <f t="shared" si="32"/>
        <v>1.8</v>
      </c>
      <c r="AU78" s="48">
        <f t="shared" si="32"/>
        <v>1.8599253364599044</v>
      </c>
      <c r="AV78" s="48">
        <f t="shared" si="32"/>
        <v>2</v>
      </c>
      <c r="AW78" s="48">
        <f t="shared" si="32"/>
        <v>2</v>
      </c>
      <c r="AX78" s="48">
        <f t="shared" si="32"/>
        <v>2</v>
      </c>
      <c r="AY78" s="48">
        <f t="shared" si="32"/>
        <v>2</v>
      </c>
      <c r="AZ78" s="48">
        <f t="shared" si="32"/>
        <v>2</v>
      </c>
      <c r="BA78" s="48">
        <f t="shared" si="32"/>
        <v>2</v>
      </c>
    </row>
    <row r="79" spans="2:53" x14ac:dyDescent="0.35">
      <c r="B79" s="44">
        <v>2</v>
      </c>
      <c r="C79" s="34" t="s">
        <v>78</v>
      </c>
      <c r="N79" s="35">
        <f>$B79</f>
        <v>2</v>
      </c>
      <c r="O79" s="35">
        <f t="shared" ref="O79:BA79" si="33">$B79</f>
        <v>2</v>
      </c>
      <c r="P79" s="35">
        <f t="shared" si="33"/>
        <v>2</v>
      </c>
      <c r="Q79" s="35">
        <f t="shared" si="33"/>
        <v>2</v>
      </c>
      <c r="R79" s="35">
        <f t="shared" si="33"/>
        <v>2</v>
      </c>
      <c r="S79" s="35">
        <f t="shared" si="33"/>
        <v>2</v>
      </c>
      <c r="T79" s="35">
        <f t="shared" si="33"/>
        <v>2</v>
      </c>
      <c r="U79" s="35">
        <f t="shared" si="33"/>
        <v>2</v>
      </c>
      <c r="V79" s="35">
        <f t="shared" si="33"/>
        <v>2</v>
      </c>
      <c r="W79" s="35">
        <f t="shared" si="33"/>
        <v>2</v>
      </c>
      <c r="X79" s="35">
        <f t="shared" si="33"/>
        <v>2</v>
      </c>
      <c r="Y79" s="35">
        <f t="shared" si="33"/>
        <v>2</v>
      </c>
      <c r="Z79" s="35">
        <f t="shared" si="33"/>
        <v>2</v>
      </c>
      <c r="AA79" s="35">
        <f t="shared" si="33"/>
        <v>2</v>
      </c>
      <c r="AB79" s="35">
        <f t="shared" si="33"/>
        <v>2</v>
      </c>
      <c r="AC79" s="35">
        <f t="shared" si="33"/>
        <v>2</v>
      </c>
      <c r="AD79" s="35">
        <f t="shared" si="33"/>
        <v>2</v>
      </c>
      <c r="AE79" s="35">
        <f t="shared" si="33"/>
        <v>2</v>
      </c>
      <c r="AF79" s="35">
        <f t="shared" si="33"/>
        <v>2</v>
      </c>
      <c r="AG79" s="35">
        <f t="shared" si="33"/>
        <v>2</v>
      </c>
      <c r="AH79" s="35">
        <f t="shared" si="33"/>
        <v>2</v>
      </c>
      <c r="AI79" s="35">
        <f t="shared" si="33"/>
        <v>2</v>
      </c>
      <c r="AJ79" s="35">
        <f t="shared" si="33"/>
        <v>2</v>
      </c>
      <c r="AK79" s="35">
        <f t="shared" si="33"/>
        <v>2</v>
      </c>
      <c r="AL79" s="35">
        <f t="shared" si="33"/>
        <v>2</v>
      </c>
      <c r="AM79" s="35">
        <f t="shared" si="33"/>
        <v>2</v>
      </c>
      <c r="AN79" s="35">
        <f t="shared" si="33"/>
        <v>2</v>
      </c>
      <c r="AO79" s="35">
        <f t="shared" si="33"/>
        <v>2</v>
      </c>
      <c r="AP79" s="35">
        <f t="shared" si="33"/>
        <v>2</v>
      </c>
      <c r="AQ79" s="35">
        <f t="shared" si="33"/>
        <v>2</v>
      </c>
      <c r="AR79" s="35">
        <f t="shared" si="33"/>
        <v>2</v>
      </c>
      <c r="AS79" s="35">
        <f t="shared" si="33"/>
        <v>2</v>
      </c>
      <c r="AT79" s="35">
        <f t="shared" si="33"/>
        <v>2</v>
      </c>
      <c r="AU79" s="35">
        <f t="shared" si="33"/>
        <v>2</v>
      </c>
      <c r="AV79" s="35">
        <f t="shared" si="33"/>
        <v>2</v>
      </c>
      <c r="AW79" s="35">
        <f t="shared" si="33"/>
        <v>2</v>
      </c>
      <c r="AX79" s="35">
        <f t="shared" si="33"/>
        <v>2</v>
      </c>
      <c r="AY79" s="35">
        <f t="shared" si="33"/>
        <v>2</v>
      </c>
      <c r="AZ79" s="35">
        <f t="shared" si="33"/>
        <v>2</v>
      </c>
      <c r="BA79" s="35">
        <f t="shared" si="33"/>
        <v>2</v>
      </c>
    </row>
    <row r="80" spans="2:53" x14ac:dyDescent="0.35">
      <c r="C80" s="34" t="s">
        <v>79</v>
      </c>
      <c r="N80" s="47">
        <v>4</v>
      </c>
      <c r="O80" s="47">
        <v>4</v>
      </c>
      <c r="P80" s="47">
        <v>4</v>
      </c>
      <c r="Q80" s="47">
        <v>4</v>
      </c>
      <c r="R80" s="47">
        <v>4</v>
      </c>
      <c r="S80" s="47">
        <v>4</v>
      </c>
      <c r="T80" s="47">
        <v>4</v>
      </c>
      <c r="U80" s="47">
        <v>4</v>
      </c>
      <c r="V80" s="47">
        <v>4</v>
      </c>
      <c r="W80" s="47">
        <v>4</v>
      </c>
      <c r="X80" s="47">
        <v>4</v>
      </c>
      <c r="Y80" s="47">
        <v>4</v>
      </c>
      <c r="Z80" s="47">
        <v>4</v>
      </c>
      <c r="AA80" s="47">
        <v>4</v>
      </c>
      <c r="AB80" s="47">
        <v>4</v>
      </c>
      <c r="AC80" s="47">
        <v>4</v>
      </c>
      <c r="AD80" s="47">
        <v>4</v>
      </c>
      <c r="AE80" s="47">
        <v>4</v>
      </c>
      <c r="AF80" s="47">
        <v>4</v>
      </c>
      <c r="AG80" s="47">
        <v>4</v>
      </c>
      <c r="AH80" s="47">
        <v>4</v>
      </c>
      <c r="AI80" s="47">
        <v>4</v>
      </c>
      <c r="AJ80" s="47">
        <v>4</v>
      </c>
      <c r="AK80" s="47">
        <v>4</v>
      </c>
      <c r="AL80" s="47">
        <v>4</v>
      </c>
      <c r="AM80" s="47">
        <v>4</v>
      </c>
      <c r="AN80" s="47">
        <v>4</v>
      </c>
      <c r="AO80" s="47">
        <v>4</v>
      </c>
      <c r="AP80" s="47">
        <v>4</v>
      </c>
      <c r="AQ80" s="47">
        <v>4</v>
      </c>
      <c r="AR80" s="47">
        <v>4</v>
      </c>
      <c r="AS80" s="47">
        <v>5</v>
      </c>
      <c r="AT80" s="47">
        <v>5</v>
      </c>
      <c r="AU80" s="47">
        <v>5</v>
      </c>
      <c r="AV80" s="47">
        <v>5</v>
      </c>
      <c r="AW80" s="47">
        <v>5</v>
      </c>
      <c r="AX80" s="47">
        <v>5</v>
      </c>
      <c r="AY80" s="47">
        <v>5</v>
      </c>
      <c r="AZ80" s="47">
        <v>5</v>
      </c>
      <c r="BA80" s="47">
        <v>5</v>
      </c>
    </row>
    <row r="81" spans="2:53" x14ac:dyDescent="0.35">
      <c r="C81" s="34" t="s">
        <v>80</v>
      </c>
      <c r="N81" s="43">
        <v>1</v>
      </c>
      <c r="O81" s="43">
        <v>1</v>
      </c>
      <c r="P81" s="43">
        <v>0</v>
      </c>
      <c r="R81" s="43">
        <v>1</v>
      </c>
      <c r="T81" s="43">
        <v>1</v>
      </c>
      <c r="V81" s="43">
        <v>1</v>
      </c>
      <c r="X81" s="43">
        <v>1</v>
      </c>
      <c r="Z81" s="43">
        <v>1</v>
      </c>
      <c r="AA81" s="43">
        <v>1</v>
      </c>
      <c r="AB81" s="43">
        <f>P81</f>
        <v>0</v>
      </c>
      <c r="AC81" s="43">
        <f t="shared" ref="AC81:BA81" si="34">Q81</f>
        <v>0</v>
      </c>
      <c r="AD81" s="43">
        <f t="shared" si="34"/>
        <v>1</v>
      </c>
      <c r="AE81" s="43">
        <f t="shared" si="34"/>
        <v>0</v>
      </c>
      <c r="AF81" s="43">
        <f t="shared" si="34"/>
        <v>1</v>
      </c>
      <c r="AG81" s="43">
        <f t="shared" si="34"/>
        <v>0</v>
      </c>
      <c r="AH81" s="43">
        <f t="shared" si="34"/>
        <v>1</v>
      </c>
      <c r="AI81" s="43">
        <f t="shared" si="34"/>
        <v>0</v>
      </c>
      <c r="AJ81" s="43">
        <f t="shared" si="34"/>
        <v>1</v>
      </c>
      <c r="AK81" s="43">
        <f t="shared" si="34"/>
        <v>0</v>
      </c>
      <c r="AL81" s="43">
        <f t="shared" si="34"/>
        <v>1</v>
      </c>
      <c r="AM81" s="43">
        <f t="shared" si="34"/>
        <v>1</v>
      </c>
      <c r="AN81" s="43">
        <f t="shared" si="34"/>
        <v>0</v>
      </c>
      <c r="AO81" s="43">
        <f t="shared" si="34"/>
        <v>0</v>
      </c>
      <c r="AP81" s="43">
        <f t="shared" si="34"/>
        <v>1</v>
      </c>
      <c r="AQ81" s="43">
        <f t="shared" si="34"/>
        <v>0</v>
      </c>
      <c r="AR81" s="43">
        <f t="shared" si="34"/>
        <v>1</v>
      </c>
      <c r="AS81" s="43">
        <f t="shared" si="34"/>
        <v>0</v>
      </c>
      <c r="AT81" s="43">
        <f t="shared" si="34"/>
        <v>1</v>
      </c>
      <c r="AU81" s="43">
        <f t="shared" si="34"/>
        <v>0</v>
      </c>
      <c r="AV81" s="43">
        <f t="shared" si="34"/>
        <v>1</v>
      </c>
      <c r="AW81" s="43">
        <f t="shared" si="34"/>
        <v>0</v>
      </c>
      <c r="AX81" s="43">
        <f t="shared" si="34"/>
        <v>1</v>
      </c>
      <c r="AY81" s="43">
        <f t="shared" si="34"/>
        <v>1</v>
      </c>
      <c r="AZ81" s="43">
        <f t="shared" si="34"/>
        <v>0</v>
      </c>
      <c r="BA81" s="43">
        <f t="shared" si="34"/>
        <v>0</v>
      </c>
    </row>
    <row r="82" spans="2:53" x14ac:dyDescent="0.35">
      <c r="C82" s="34" t="s">
        <v>81</v>
      </c>
      <c r="N82" s="35">
        <f t="shared" ref="N82:AY82" si="35">(N74*60*N75*N76*(N77*N78-N79)*(N80*N$1-N81))</f>
        <v>0</v>
      </c>
      <c r="O82" s="35">
        <f t="shared" si="35"/>
        <v>0</v>
      </c>
      <c r="P82" s="35">
        <f t="shared" si="35"/>
        <v>0</v>
      </c>
      <c r="Q82" s="35">
        <f t="shared" si="35"/>
        <v>0</v>
      </c>
      <c r="R82" s="35">
        <f t="shared" si="35"/>
        <v>0</v>
      </c>
      <c r="S82" s="35">
        <f t="shared" si="35"/>
        <v>237600</v>
      </c>
      <c r="T82" s="35">
        <f t="shared" si="35"/>
        <v>415800</v>
      </c>
      <c r="U82" s="35">
        <f>(U74*60*U75*U76*(U77*U78-U79)*(U80*U$1-U81))</f>
        <v>1029600</v>
      </c>
      <c r="V82" s="35">
        <f t="shared" si="35"/>
        <v>1833975</v>
      </c>
      <c r="W82" s="35">
        <f t="shared" si="35"/>
        <v>1853280</v>
      </c>
      <c r="X82" s="35">
        <f t="shared" si="35"/>
        <v>1737450</v>
      </c>
      <c r="Y82" s="35">
        <f t="shared" si="35"/>
        <v>2673000</v>
      </c>
      <c r="Z82" s="35">
        <f t="shared" si="35"/>
        <v>2289047.610567553</v>
      </c>
      <c r="AA82" s="35">
        <f t="shared" si="35"/>
        <v>2289047.610567553</v>
      </c>
      <c r="AB82" s="35">
        <f t="shared" si="35"/>
        <v>3052063.4807567373</v>
      </c>
      <c r="AC82" s="35">
        <f t="shared" si="35"/>
        <v>2441650.7846053899</v>
      </c>
      <c r="AD82" s="35">
        <f t="shared" si="35"/>
        <v>2289047.610567553</v>
      </c>
      <c r="AE82" s="35">
        <f t="shared" si="35"/>
        <v>3052063.4807567373</v>
      </c>
      <c r="AF82" s="35">
        <f t="shared" si="35"/>
        <v>2289047.610567553</v>
      </c>
      <c r="AG82" s="35">
        <f>(AG74*60*AG75*AG76*(AG77*AG78-AG79)*(AG80*AG$1-AG81))</f>
        <v>2566080</v>
      </c>
      <c r="AH82" s="35">
        <f t="shared" si="35"/>
        <v>3047220</v>
      </c>
      <c r="AI82" s="35">
        <f t="shared" si="35"/>
        <v>3421440</v>
      </c>
      <c r="AJ82" s="35">
        <f t="shared" si="35"/>
        <v>3207600</v>
      </c>
      <c r="AK82" s="35">
        <f t="shared" si="35"/>
        <v>5346000</v>
      </c>
      <c r="AL82" s="35">
        <f t="shared" si="35"/>
        <v>4009500</v>
      </c>
      <c r="AM82" s="35">
        <f t="shared" si="35"/>
        <v>4009500</v>
      </c>
      <c r="AN82" s="35">
        <f t="shared" si="35"/>
        <v>5346000</v>
      </c>
      <c r="AO82" s="35">
        <f t="shared" si="35"/>
        <v>4276800</v>
      </c>
      <c r="AP82" s="35">
        <f t="shared" si="35"/>
        <v>4009500</v>
      </c>
      <c r="AQ82" s="35">
        <f t="shared" si="35"/>
        <v>5346000</v>
      </c>
      <c r="AR82" s="35">
        <f t="shared" si="35"/>
        <v>4009500</v>
      </c>
      <c r="AS82" s="35">
        <f t="shared" si="35"/>
        <v>4752000</v>
      </c>
      <c r="AT82" s="35">
        <f t="shared" si="35"/>
        <v>5702400</v>
      </c>
      <c r="AU82" s="35">
        <f t="shared" si="35"/>
        <v>4929978.2492859159</v>
      </c>
      <c r="AV82" s="35">
        <f t="shared" si="35"/>
        <v>5078700</v>
      </c>
      <c r="AW82" s="35">
        <f t="shared" si="35"/>
        <v>6682500</v>
      </c>
      <c r="AX82" s="35">
        <f t="shared" si="35"/>
        <v>5078700</v>
      </c>
      <c r="AY82" s="35">
        <f t="shared" si="35"/>
        <v>5078700</v>
      </c>
      <c r="AZ82" s="35">
        <f>(AZ74*60*AZ75*AZ76*(AZ77*AZ78-AZ79)*(AZ80*AZ$1-AZ81))</f>
        <v>6682500</v>
      </c>
      <c r="BA82" s="35">
        <f>(BA74*60*BA75*BA76*(BA77*BA78-BA79)*(BA80*BA$1-BA81))</f>
        <v>5346000</v>
      </c>
    </row>
    <row r="83" spans="2:53" x14ac:dyDescent="0.35">
      <c r="C83" s="34" t="s">
        <v>82</v>
      </c>
      <c r="N83" s="35">
        <f t="shared" ref="N83:AY83" si="36">N82/N$1</f>
        <v>0</v>
      </c>
      <c r="O83" s="35">
        <f t="shared" si="36"/>
        <v>0</v>
      </c>
      <c r="P83" s="35">
        <f t="shared" si="36"/>
        <v>0</v>
      </c>
      <c r="Q83" s="35">
        <f t="shared" si="36"/>
        <v>0</v>
      </c>
      <c r="R83" s="35">
        <f t="shared" si="36"/>
        <v>0</v>
      </c>
      <c r="S83" s="35">
        <f t="shared" si="36"/>
        <v>47520</v>
      </c>
      <c r="T83" s="35">
        <f t="shared" si="36"/>
        <v>103950</v>
      </c>
      <c r="U83" s="35">
        <f t="shared" si="36"/>
        <v>257400</v>
      </c>
      <c r="V83" s="35">
        <f t="shared" si="36"/>
        <v>366795</v>
      </c>
      <c r="W83" s="35">
        <f t="shared" si="36"/>
        <v>463320</v>
      </c>
      <c r="X83" s="35">
        <f t="shared" si="36"/>
        <v>434362.5</v>
      </c>
      <c r="Y83" s="35">
        <f t="shared" si="36"/>
        <v>534600</v>
      </c>
      <c r="Z83" s="35">
        <f t="shared" si="36"/>
        <v>572261.90264188824</v>
      </c>
      <c r="AA83" s="35">
        <f t="shared" si="36"/>
        <v>572261.90264188824</v>
      </c>
      <c r="AB83" s="35">
        <f t="shared" si="36"/>
        <v>610412.69615134748</v>
      </c>
      <c r="AC83" s="35">
        <f t="shared" si="36"/>
        <v>610412.69615134748</v>
      </c>
      <c r="AD83" s="35">
        <f t="shared" si="36"/>
        <v>572261.90264188824</v>
      </c>
      <c r="AE83" s="35">
        <f t="shared" si="36"/>
        <v>610412.69615134748</v>
      </c>
      <c r="AF83" s="35">
        <f t="shared" si="36"/>
        <v>572261.90264188824</v>
      </c>
      <c r="AG83" s="35">
        <f t="shared" si="36"/>
        <v>641520</v>
      </c>
      <c r="AH83" s="35">
        <f t="shared" si="36"/>
        <v>609444</v>
      </c>
      <c r="AI83" s="35">
        <f t="shared" si="36"/>
        <v>855360</v>
      </c>
      <c r="AJ83" s="35">
        <f t="shared" si="36"/>
        <v>801900</v>
      </c>
      <c r="AK83" s="35">
        <f t="shared" si="36"/>
        <v>1069200</v>
      </c>
      <c r="AL83" s="35">
        <f t="shared" si="36"/>
        <v>1002375</v>
      </c>
      <c r="AM83" s="35">
        <f t="shared" si="36"/>
        <v>1002375</v>
      </c>
      <c r="AN83" s="35">
        <f t="shared" si="36"/>
        <v>1069200</v>
      </c>
      <c r="AO83" s="35">
        <f t="shared" si="36"/>
        <v>1069200</v>
      </c>
      <c r="AP83" s="35">
        <f t="shared" si="36"/>
        <v>1002375</v>
      </c>
      <c r="AQ83" s="35">
        <f t="shared" si="36"/>
        <v>1069200</v>
      </c>
      <c r="AR83" s="35">
        <f t="shared" si="36"/>
        <v>1002375</v>
      </c>
      <c r="AS83" s="35">
        <f t="shared" si="36"/>
        <v>1188000</v>
      </c>
      <c r="AT83" s="35">
        <f t="shared" si="36"/>
        <v>1140480</v>
      </c>
      <c r="AU83" s="35">
        <f t="shared" si="36"/>
        <v>1232494.562321479</v>
      </c>
      <c r="AV83" s="35">
        <f t="shared" si="36"/>
        <v>1269675</v>
      </c>
      <c r="AW83" s="35">
        <f t="shared" si="36"/>
        <v>1336500</v>
      </c>
      <c r="AX83" s="35">
        <f t="shared" si="36"/>
        <v>1269675</v>
      </c>
      <c r="AY83" s="35">
        <f t="shared" si="36"/>
        <v>1269675</v>
      </c>
      <c r="AZ83" s="35">
        <f>AZ82/AZ$1</f>
        <v>1336500</v>
      </c>
      <c r="BA83" s="35">
        <f>BA82/BA$1</f>
        <v>1336500</v>
      </c>
    </row>
    <row r="84" spans="2:53" x14ac:dyDescent="0.35">
      <c r="R84" s="48">
        <f>+R83/R80</f>
        <v>0</v>
      </c>
      <c r="S84" s="48">
        <f>+S83/S80</f>
        <v>11880</v>
      </c>
      <c r="T84" s="48">
        <f t="shared" ref="T84:AC84" si="37">+T83/T80</f>
        <v>25987.5</v>
      </c>
      <c r="U84" s="48">
        <f t="shared" si="37"/>
        <v>64350</v>
      </c>
      <c r="V84" s="48">
        <f t="shared" si="37"/>
        <v>91698.75</v>
      </c>
      <c r="W84" s="48">
        <f t="shared" si="37"/>
        <v>115830</v>
      </c>
      <c r="X84" s="48">
        <f t="shared" si="37"/>
        <v>108590.625</v>
      </c>
      <c r="Y84" s="48">
        <f t="shared" si="37"/>
        <v>133650</v>
      </c>
      <c r="Z84" s="48">
        <f t="shared" si="37"/>
        <v>143065.47566047206</v>
      </c>
      <c r="AA84" s="48">
        <f t="shared" si="37"/>
        <v>143065.47566047206</v>
      </c>
      <c r="AB84" s="48">
        <f t="shared" si="37"/>
        <v>152603.17403783687</v>
      </c>
      <c r="AC84" s="48">
        <f t="shared" si="37"/>
        <v>152603.17403783687</v>
      </c>
    </row>
    <row r="85" spans="2:53" x14ac:dyDescent="0.35">
      <c r="C85" t="s">
        <v>48</v>
      </c>
    </row>
    <row r="86" spans="2:53" x14ac:dyDescent="0.35">
      <c r="B86" s="44">
        <v>80</v>
      </c>
      <c r="C86" s="34" t="s">
        <v>83</v>
      </c>
      <c r="N86" s="35">
        <f>$B86</f>
        <v>80</v>
      </c>
      <c r="O86" s="35">
        <f t="shared" ref="O86:BA86" si="38">$B86</f>
        <v>80</v>
      </c>
      <c r="P86" s="35">
        <f t="shared" si="38"/>
        <v>80</v>
      </c>
      <c r="Q86" s="35">
        <f t="shared" si="38"/>
        <v>80</v>
      </c>
      <c r="R86" s="35">
        <f t="shared" si="38"/>
        <v>80</v>
      </c>
      <c r="S86" s="35">
        <f t="shared" si="38"/>
        <v>80</v>
      </c>
      <c r="T86" s="35">
        <f t="shared" si="38"/>
        <v>80</v>
      </c>
      <c r="U86" s="35">
        <f t="shared" si="38"/>
        <v>80</v>
      </c>
      <c r="V86" s="35">
        <f t="shared" si="38"/>
        <v>80</v>
      </c>
      <c r="W86" s="35">
        <f t="shared" si="38"/>
        <v>80</v>
      </c>
      <c r="X86" s="35">
        <f t="shared" si="38"/>
        <v>80</v>
      </c>
      <c r="Y86" s="35">
        <f t="shared" si="38"/>
        <v>80</v>
      </c>
      <c r="Z86" s="35">
        <f t="shared" si="38"/>
        <v>80</v>
      </c>
      <c r="AA86" s="35">
        <f t="shared" si="38"/>
        <v>80</v>
      </c>
      <c r="AB86" s="35">
        <f t="shared" si="38"/>
        <v>80</v>
      </c>
      <c r="AC86" s="35">
        <f t="shared" si="38"/>
        <v>80</v>
      </c>
      <c r="AD86" s="35">
        <f t="shared" si="38"/>
        <v>80</v>
      </c>
      <c r="AE86" s="35">
        <f t="shared" si="38"/>
        <v>80</v>
      </c>
      <c r="AF86" s="35">
        <f t="shared" si="38"/>
        <v>80</v>
      </c>
      <c r="AG86" s="35">
        <f t="shared" si="38"/>
        <v>80</v>
      </c>
      <c r="AH86" s="35">
        <f t="shared" si="38"/>
        <v>80</v>
      </c>
      <c r="AI86" s="35">
        <f t="shared" si="38"/>
        <v>80</v>
      </c>
      <c r="AJ86" s="35">
        <f t="shared" si="38"/>
        <v>80</v>
      </c>
      <c r="AK86" s="35">
        <f t="shared" si="38"/>
        <v>80</v>
      </c>
      <c r="AL86" s="35">
        <f t="shared" si="38"/>
        <v>80</v>
      </c>
      <c r="AM86" s="35">
        <f t="shared" si="38"/>
        <v>80</v>
      </c>
      <c r="AN86" s="35">
        <f t="shared" si="38"/>
        <v>80</v>
      </c>
      <c r="AO86" s="35">
        <f t="shared" si="38"/>
        <v>80</v>
      </c>
      <c r="AP86" s="35">
        <f t="shared" si="38"/>
        <v>80</v>
      </c>
      <c r="AQ86" s="35">
        <f t="shared" si="38"/>
        <v>80</v>
      </c>
      <c r="AR86" s="35">
        <f t="shared" si="38"/>
        <v>80</v>
      </c>
      <c r="AS86" s="35">
        <f t="shared" si="38"/>
        <v>80</v>
      </c>
      <c r="AT86" s="35">
        <f t="shared" si="38"/>
        <v>80</v>
      </c>
      <c r="AU86" s="35">
        <f t="shared" si="38"/>
        <v>80</v>
      </c>
      <c r="AV86" s="35">
        <f t="shared" si="38"/>
        <v>80</v>
      </c>
      <c r="AW86" s="35">
        <f t="shared" si="38"/>
        <v>80</v>
      </c>
      <c r="AX86" s="35">
        <f t="shared" si="38"/>
        <v>80</v>
      </c>
      <c r="AY86" s="35">
        <f t="shared" si="38"/>
        <v>80</v>
      </c>
      <c r="AZ86" s="35">
        <f t="shared" si="38"/>
        <v>80</v>
      </c>
      <c r="BA86" s="35">
        <f t="shared" si="38"/>
        <v>80</v>
      </c>
    </row>
    <row r="87" spans="2:53" x14ac:dyDescent="0.35">
      <c r="C87" s="34" t="s">
        <v>74</v>
      </c>
      <c r="N87" s="45">
        <v>0</v>
      </c>
      <c r="O87" s="45">
        <v>0</v>
      </c>
      <c r="P87" s="45">
        <v>0</v>
      </c>
      <c r="Q87" s="45">
        <v>0</v>
      </c>
      <c r="R87" s="45">
        <v>0</v>
      </c>
      <c r="S87" s="45">
        <v>0.15</v>
      </c>
      <c r="T87" s="45">
        <v>0.5</v>
      </c>
      <c r="U87" s="45">
        <v>0.75</v>
      </c>
      <c r="V87" s="45">
        <v>0.9</v>
      </c>
      <c r="W87" s="45">
        <v>0.9</v>
      </c>
      <c r="X87" s="45">
        <v>0.9</v>
      </c>
      <c r="Y87" s="45">
        <v>0.9</v>
      </c>
      <c r="Z87" s="45">
        <v>0.9</v>
      </c>
      <c r="AA87" s="45">
        <v>0.9</v>
      </c>
      <c r="AB87" s="45">
        <v>0.9</v>
      </c>
      <c r="AC87" s="45">
        <v>0.9</v>
      </c>
      <c r="AD87" s="45">
        <v>0.9</v>
      </c>
      <c r="AE87" s="45">
        <v>0.9</v>
      </c>
      <c r="AF87" s="45">
        <v>0.9</v>
      </c>
      <c r="AG87" s="45">
        <v>0.9</v>
      </c>
      <c r="AH87" s="45">
        <v>0.9</v>
      </c>
      <c r="AI87" s="45">
        <v>0.9</v>
      </c>
      <c r="AJ87" s="45">
        <v>0.9</v>
      </c>
      <c r="AK87" s="45">
        <v>0.9</v>
      </c>
      <c r="AL87" s="45">
        <v>0.9</v>
      </c>
      <c r="AM87" s="45">
        <v>0.9</v>
      </c>
      <c r="AN87" s="45">
        <v>0.9</v>
      </c>
      <c r="AO87" s="45">
        <v>0.9</v>
      </c>
      <c r="AP87" s="45">
        <v>0.9</v>
      </c>
      <c r="AQ87" s="45">
        <v>0.9</v>
      </c>
      <c r="AR87" s="45">
        <v>0.9</v>
      </c>
      <c r="AS87" s="45">
        <v>0.9</v>
      </c>
      <c r="AT87" s="45">
        <v>0.9</v>
      </c>
      <c r="AU87" s="45">
        <v>0.9</v>
      </c>
      <c r="AV87" s="45">
        <v>0.9</v>
      </c>
      <c r="AW87" s="45">
        <v>0.9</v>
      </c>
      <c r="AX87" s="45">
        <v>0.9</v>
      </c>
      <c r="AY87" s="45">
        <v>0.9</v>
      </c>
      <c r="AZ87" s="45">
        <v>0.9</v>
      </c>
      <c r="BA87" s="45">
        <v>0.9</v>
      </c>
    </row>
    <row r="88" spans="2:53" x14ac:dyDescent="0.35">
      <c r="C88" s="34" t="s">
        <v>84</v>
      </c>
      <c r="N88" s="43">
        <v>2</v>
      </c>
      <c r="O88" s="43">
        <v>2</v>
      </c>
      <c r="P88" s="43">
        <v>2</v>
      </c>
      <c r="Q88" s="43">
        <v>2</v>
      </c>
      <c r="R88" s="43">
        <v>2</v>
      </c>
      <c r="S88" s="43">
        <v>2</v>
      </c>
      <c r="T88" s="43">
        <v>2</v>
      </c>
      <c r="U88" s="43">
        <v>2</v>
      </c>
      <c r="V88" s="43">
        <v>2</v>
      </c>
      <c r="W88" s="43">
        <v>2</v>
      </c>
      <c r="X88" s="43">
        <v>3</v>
      </c>
      <c r="Y88" s="43">
        <v>3</v>
      </c>
      <c r="Z88" s="43">
        <v>3</v>
      </c>
      <c r="AA88" s="43">
        <v>3</v>
      </c>
      <c r="AB88" s="43">
        <v>3</v>
      </c>
      <c r="AC88" s="43">
        <v>3</v>
      </c>
      <c r="AD88" s="43">
        <v>3</v>
      </c>
      <c r="AE88" s="43">
        <v>3</v>
      </c>
      <c r="AF88" s="43">
        <v>3</v>
      </c>
      <c r="AG88" s="43">
        <v>3</v>
      </c>
      <c r="AH88" s="43">
        <v>3</v>
      </c>
      <c r="AI88" s="43">
        <v>3</v>
      </c>
      <c r="AJ88" s="43">
        <v>3</v>
      </c>
      <c r="AK88" s="43">
        <v>3</v>
      </c>
      <c r="AL88" s="43">
        <v>3</v>
      </c>
      <c r="AM88" s="43">
        <v>3</v>
      </c>
      <c r="AN88" s="43">
        <v>3</v>
      </c>
      <c r="AO88" s="43">
        <v>3</v>
      </c>
      <c r="AP88" s="43">
        <v>3</v>
      </c>
      <c r="AQ88" s="43">
        <v>3</v>
      </c>
      <c r="AR88" s="43">
        <v>3</v>
      </c>
      <c r="AS88" s="43">
        <v>3</v>
      </c>
      <c r="AT88" s="43">
        <v>3</v>
      </c>
      <c r="AU88" s="43">
        <v>3</v>
      </c>
      <c r="AV88" s="43">
        <v>3</v>
      </c>
      <c r="AW88" s="43">
        <v>3</v>
      </c>
      <c r="AX88" s="43">
        <v>3</v>
      </c>
      <c r="AY88" s="43">
        <v>3</v>
      </c>
      <c r="AZ88" s="43">
        <v>3</v>
      </c>
      <c r="BA88" s="43">
        <v>3</v>
      </c>
    </row>
    <row r="89" spans="2:53" x14ac:dyDescent="0.35">
      <c r="B89" s="44">
        <v>10</v>
      </c>
      <c r="C89" s="34" t="s">
        <v>76</v>
      </c>
      <c r="N89" s="35">
        <f>$B89</f>
        <v>10</v>
      </c>
      <c r="O89" s="35">
        <f t="shared" ref="O89:BA89" si="39">$B89</f>
        <v>10</v>
      </c>
      <c r="P89" s="35">
        <f t="shared" si="39"/>
        <v>10</v>
      </c>
      <c r="Q89" s="35">
        <f t="shared" si="39"/>
        <v>10</v>
      </c>
      <c r="R89" s="35">
        <f t="shared" si="39"/>
        <v>10</v>
      </c>
      <c r="S89" s="35">
        <f t="shared" si="39"/>
        <v>10</v>
      </c>
      <c r="T89" s="35">
        <f t="shared" si="39"/>
        <v>10</v>
      </c>
      <c r="U89" s="35">
        <f t="shared" si="39"/>
        <v>10</v>
      </c>
      <c r="V89" s="35">
        <f t="shared" si="39"/>
        <v>10</v>
      </c>
      <c r="W89" s="35">
        <f t="shared" si="39"/>
        <v>10</v>
      </c>
      <c r="X89" s="35">
        <f t="shared" si="39"/>
        <v>10</v>
      </c>
      <c r="Y89" s="35">
        <f t="shared" si="39"/>
        <v>10</v>
      </c>
      <c r="Z89" s="35">
        <f t="shared" si="39"/>
        <v>10</v>
      </c>
      <c r="AA89" s="35">
        <f t="shared" si="39"/>
        <v>10</v>
      </c>
      <c r="AB89" s="35">
        <f t="shared" si="39"/>
        <v>10</v>
      </c>
      <c r="AC89" s="35">
        <f t="shared" si="39"/>
        <v>10</v>
      </c>
      <c r="AD89" s="35">
        <f t="shared" si="39"/>
        <v>10</v>
      </c>
      <c r="AE89" s="35">
        <f t="shared" si="39"/>
        <v>10</v>
      </c>
      <c r="AF89" s="35">
        <f t="shared" si="39"/>
        <v>10</v>
      </c>
      <c r="AG89" s="35">
        <f t="shared" si="39"/>
        <v>10</v>
      </c>
      <c r="AH89" s="35">
        <f t="shared" si="39"/>
        <v>10</v>
      </c>
      <c r="AI89" s="35">
        <f t="shared" si="39"/>
        <v>10</v>
      </c>
      <c r="AJ89" s="35">
        <f t="shared" si="39"/>
        <v>10</v>
      </c>
      <c r="AK89" s="35">
        <f t="shared" si="39"/>
        <v>10</v>
      </c>
      <c r="AL89" s="35">
        <f t="shared" si="39"/>
        <v>10</v>
      </c>
      <c r="AM89" s="35">
        <f t="shared" si="39"/>
        <v>10</v>
      </c>
      <c r="AN89" s="35">
        <f t="shared" si="39"/>
        <v>10</v>
      </c>
      <c r="AO89" s="35">
        <f t="shared" si="39"/>
        <v>10</v>
      </c>
      <c r="AP89" s="35">
        <f t="shared" si="39"/>
        <v>10</v>
      </c>
      <c r="AQ89" s="35">
        <f t="shared" si="39"/>
        <v>10</v>
      </c>
      <c r="AR89" s="35">
        <f t="shared" si="39"/>
        <v>10</v>
      </c>
      <c r="AS89" s="35">
        <f t="shared" si="39"/>
        <v>10</v>
      </c>
      <c r="AT89" s="35">
        <f t="shared" si="39"/>
        <v>10</v>
      </c>
      <c r="AU89" s="35">
        <f t="shared" si="39"/>
        <v>10</v>
      </c>
      <c r="AV89" s="35">
        <f t="shared" si="39"/>
        <v>10</v>
      </c>
      <c r="AW89" s="35">
        <f t="shared" si="39"/>
        <v>10</v>
      </c>
      <c r="AX89" s="35">
        <f t="shared" si="39"/>
        <v>10</v>
      </c>
      <c r="AY89" s="35">
        <f t="shared" si="39"/>
        <v>10</v>
      </c>
      <c r="AZ89" s="35">
        <f t="shared" si="39"/>
        <v>10</v>
      </c>
      <c r="BA89" s="35">
        <f t="shared" si="39"/>
        <v>10</v>
      </c>
    </row>
    <row r="90" spans="2:53" x14ac:dyDescent="0.35">
      <c r="C90" s="34" t="s">
        <v>77</v>
      </c>
      <c r="N90" s="47">
        <v>1</v>
      </c>
      <c r="O90" s="47">
        <v>1</v>
      </c>
      <c r="P90" s="47">
        <v>1</v>
      </c>
      <c r="Q90" s="47">
        <v>1</v>
      </c>
      <c r="R90" s="47">
        <v>1</v>
      </c>
      <c r="S90" s="40">
        <v>1</v>
      </c>
      <c r="T90" s="40">
        <v>1</v>
      </c>
      <c r="U90" s="40">
        <v>1</v>
      </c>
      <c r="V90" s="48">
        <v>1</v>
      </c>
      <c r="W90" s="48">
        <v>1.2</v>
      </c>
      <c r="X90" s="48">
        <v>1</v>
      </c>
      <c r="Y90" s="48">
        <v>1</v>
      </c>
      <c r="Z90" s="48">
        <v>1</v>
      </c>
      <c r="AA90" s="48">
        <v>1</v>
      </c>
      <c r="AB90" s="48">
        <v>1</v>
      </c>
      <c r="AC90" s="48">
        <v>1</v>
      </c>
      <c r="AD90" s="48">
        <v>1</v>
      </c>
      <c r="AE90" s="48">
        <v>1</v>
      </c>
      <c r="AF90" s="48">
        <v>1</v>
      </c>
      <c r="AG90" s="48">
        <v>1</v>
      </c>
      <c r="AH90" s="48">
        <f t="shared" ref="AH90:BA90" si="40">MIN(2,MAX(AG90,(SUM(AH8,AH13,AH18)/(AH86*60*AH87*AH88*(AH92*AH1))+AH91)/AH89))</f>
        <v>1.0715297352915072</v>
      </c>
      <c r="AI90" s="48">
        <f t="shared" si="40"/>
        <v>1.0854743699631206</v>
      </c>
      <c r="AJ90" s="48">
        <f t="shared" si="40"/>
        <v>1.1097261459536205</v>
      </c>
      <c r="AK90" s="48">
        <f t="shared" si="40"/>
        <v>1.1177408320525895</v>
      </c>
      <c r="AL90" s="48">
        <f t="shared" si="40"/>
        <v>1.1177408320525895</v>
      </c>
      <c r="AM90" s="48">
        <f t="shared" si="40"/>
        <v>1.1177408320525895</v>
      </c>
      <c r="AN90" s="48">
        <f t="shared" si="40"/>
        <v>1.1221343186078736</v>
      </c>
      <c r="AO90" s="48">
        <f t="shared" si="40"/>
        <v>1.1221343186078736</v>
      </c>
      <c r="AP90" s="48">
        <f t="shared" si="40"/>
        <v>1.1366327721354463</v>
      </c>
      <c r="AQ90" s="48">
        <f t="shared" si="40"/>
        <v>1.1366327721354463</v>
      </c>
      <c r="AR90" s="48">
        <f t="shared" si="40"/>
        <v>1.1366327721354463</v>
      </c>
      <c r="AS90" s="48">
        <f t="shared" si="40"/>
        <v>1.1366327721354463</v>
      </c>
      <c r="AT90" s="48">
        <f t="shared" si="40"/>
        <v>1.1366327721354463</v>
      </c>
      <c r="AU90" s="48">
        <f t="shared" si="40"/>
        <v>1.1366327721354463</v>
      </c>
      <c r="AV90" s="48">
        <f t="shared" si="40"/>
        <v>1.1366327721354463</v>
      </c>
      <c r="AW90" s="48">
        <f t="shared" si="40"/>
        <v>1.1366327721354463</v>
      </c>
      <c r="AX90" s="48">
        <f t="shared" si="40"/>
        <v>1.1366327721354463</v>
      </c>
      <c r="AY90" s="48">
        <f t="shared" si="40"/>
        <v>1.1366327721354463</v>
      </c>
      <c r="AZ90" s="48">
        <f t="shared" si="40"/>
        <v>1.1366327721354463</v>
      </c>
      <c r="BA90" s="48">
        <f t="shared" si="40"/>
        <v>1.1366327721354463</v>
      </c>
    </row>
    <row r="91" spans="2:53" x14ac:dyDescent="0.35">
      <c r="B91" s="44">
        <v>2</v>
      </c>
      <c r="C91" s="34" t="s">
        <v>78</v>
      </c>
      <c r="N91" s="35">
        <f>$B91</f>
        <v>2</v>
      </c>
      <c r="O91" s="35">
        <f t="shared" ref="O91:BA91" si="41">$B91</f>
        <v>2</v>
      </c>
      <c r="P91" s="35">
        <f t="shared" si="41"/>
        <v>2</v>
      </c>
      <c r="Q91" s="35">
        <f t="shared" si="41"/>
        <v>2</v>
      </c>
      <c r="R91" s="35">
        <f t="shared" si="41"/>
        <v>2</v>
      </c>
      <c r="S91" s="35">
        <f t="shared" si="41"/>
        <v>2</v>
      </c>
      <c r="T91" s="35">
        <f t="shared" si="41"/>
        <v>2</v>
      </c>
      <c r="U91" s="35">
        <f t="shared" si="41"/>
        <v>2</v>
      </c>
      <c r="V91" s="35">
        <f t="shared" si="41"/>
        <v>2</v>
      </c>
      <c r="W91" s="35">
        <f t="shared" si="41"/>
        <v>2</v>
      </c>
      <c r="X91" s="35">
        <f t="shared" si="41"/>
        <v>2</v>
      </c>
      <c r="Y91" s="35">
        <f t="shared" si="41"/>
        <v>2</v>
      </c>
      <c r="Z91" s="35">
        <f t="shared" si="41"/>
        <v>2</v>
      </c>
      <c r="AA91" s="35">
        <f t="shared" si="41"/>
        <v>2</v>
      </c>
      <c r="AB91" s="35">
        <f t="shared" si="41"/>
        <v>2</v>
      </c>
      <c r="AC91" s="35">
        <f t="shared" si="41"/>
        <v>2</v>
      </c>
      <c r="AD91" s="35">
        <f t="shared" si="41"/>
        <v>2</v>
      </c>
      <c r="AE91" s="35">
        <f t="shared" si="41"/>
        <v>2</v>
      </c>
      <c r="AF91" s="35">
        <f t="shared" si="41"/>
        <v>2</v>
      </c>
      <c r="AG91" s="35">
        <f t="shared" si="41"/>
        <v>2</v>
      </c>
      <c r="AH91" s="35">
        <f t="shared" si="41"/>
        <v>2</v>
      </c>
      <c r="AI91" s="35">
        <f t="shared" si="41"/>
        <v>2</v>
      </c>
      <c r="AJ91" s="35">
        <f t="shared" si="41"/>
        <v>2</v>
      </c>
      <c r="AK91" s="35">
        <f t="shared" si="41"/>
        <v>2</v>
      </c>
      <c r="AL91" s="35">
        <f t="shared" si="41"/>
        <v>2</v>
      </c>
      <c r="AM91" s="35">
        <f t="shared" si="41"/>
        <v>2</v>
      </c>
      <c r="AN91" s="35">
        <f t="shared" si="41"/>
        <v>2</v>
      </c>
      <c r="AO91" s="35">
        <f t="shared" si="41"/>
        <v>2</v>
      </c>
      <c r="AP91" s="35">
        <f t="shared" si="41"/>
        <v>2</v>
      </c>
      <c r="AQ91" s="35">
        <f t="shared" si="41"/>
        <v>2</v>
      </c>
      <c r="AR91" s="35">
        <f t="shared" si="41"/>
        <v>2</v>
      </c>
      <c r="AS91" s="35">
        <f t="shared" si="41"/>
        <v>2</v>
      </c>
      <c r="AT91" s="35">
        <f t="shared" si="41"/>
        <v>2</v>
      </c>
      <c r="AU91" s="35">
        <f t="shared" si="41"/>
        <v>2</v>
      </c>
      <c r="AV91" s="35">
        <f t="shared" si="41"/>
        <v>2</v>
      </c>
      <c r="AW91" s="35">
        <f t="shared" si="41"/>
        <v>2</v>
      </c>
      <c r="AX91" s="35">
        <f t="shared" si="41"/>
        <v>2</v>
      </c>
      <c r="AY91" s="35">
        <f t="shared" si="41"/>
        <v>2</v>
      </c>
      <c r="AZ91" s="35">
        <f t="shared" si="41"/>
        <v>2</v>
      </c>
      <c r="BA91" s="35">
        <f t="shared" si="41"/>
        <v>2</v>
      </c>
    </row>
    <row r="92" spans="2:53" x14ac:dyDescent="0.35">
      <c r="C92" s="34" t="s">
        <v>79</v>
      </c>
      <c r="N92" s="43">
        <v>4</v>
      </c>
      <c r="O92" s="47">
        <v>4</v>
      </c>
      <c r="P92" s="47">
        <v>4</v>
      </c>
      <c r="Q92" s="47">
        <v>4</v>
      </c>
      <c r="R92" s="47">
        <v>4</v>
      </c>
      <c r="S92" s="47">
        <v>4</v>
      </c>
      <c r="T92" s="47">
        <v>4</v>
      </c>
      <c r="U92" s="47">
        <v>5</v>
      </c>
      <c r="V92" s="47">
        <v>5</v>
      </c>
      <c r="W92" s="47">
        <v>5</v>
      </c>
      <c r="X92" s="47">
        <v>5</v>
      </c>
      <c r="Y92" s="47">
        <f>X92</f>
        <v>5</v>
      </c>
      <c r="Z92" s="47">
        <f t="shared" ref="Z92:BA92" si="42">Y92</f>
        <v>5</v>
      </c>
      <c r="AA92" s="47">
        <f t="shared" si="42"/>
        <v>5</v>
      </c>
      <c r="AB92" s="47">
        <f t="shared" si="42"/>
        <v>5</v>
      </c>
      <c r="AC92" s="47">
        <f t="shared" si="42"/>
        <v>5</v>
      </c>
      <c r="AD92" s="47">
        <f t="shared" si="42"/>
        <v>5</v>
      </c>
      <c r="AE92" s="47">
        <f t="shared" si="42"/>
        <v>5</v>
      </c>
      <c r="AF92" s="47">
        <f t="shared" si="42"/>
        <v>5</v>
      </c>
      <c r="AG92" s="47">
        <f t="shared" si="42"/>
        <v>5</v>
      </c>
      <c r="AH92" s="47">
        <f t="shared" si="42"/>
        <v>5</v>
      </c>
      <c r="AI92" s="47">
        <f t="shared" si="42"/>
        <v>5</v>
      </c>
      <c r="AJ92" s="47">
        <f t="shared" si="42"/>
        <v>5</v>
      </c>
      <c r="AK92" s="47">
        <f t="shared" si="42"/>
        <v>5</v>
      </c>
      <c r="AL92" s="47">
        <f t="shared" si="42"/>
        <v>5</v>
      </c>
      <c r="AM92" s="47">
        <f t="shared" si="42"/>
        <v>5</v>
      </c>
      <c r="AN92" s="47">
        <f t="shared" si="42"/>
        <v>5</v>
      </c>
      <c r="AO92" s="47">
        <f t="shared" si="42"/>
        <v>5</v>
      </c>
      <c r="AP92" s="47">
        <f t="shared" si="42"/>
        <v>5</v>
      </c>
      <c r="AQ92" s="47">
        <f t="shared" si="42"/>
        <v>5</v>
      </c>
      <c r="AR92" s="47">
        <f t="shared" si="42"/>
        <v>5</v>
      </c>
      <c r="AS92" s="47">
        <f t="shared" si="42"/>
        <v>5</v>
      </c>
      <c r="AT92" s="47">
        <f t="shared" si="42"/>
        <v>5</v>
      </c>
      <c r="AU92" s="47">
        <f t="shared" si="42"/>
        <v>5</v>
      </c>
      <c r="AV92" s="47">
        <f t="shared" si="42"/>
        <v>5</v>
      </c>
      <c r="AW92" s="47">
        <f t="shared" si="42"/>
        <v>5</v>
      </c>
      <c r="AX92" s="47">
        <f t="shared" si="42"/>
        <v>5</v>
      </c>
      <c r="AY92" s="47">
        <f t="shared" si="42"/>
        <v>5</v>
      </c>
      <c r="AZ92" s="47">
        <f t="shared" si="42"/>
        <v>5</v>
      </c>
      <c r="BA92" s="47">
        <f t="shared" si="42"/>
        <v>5</v>
      </c>
    </row>
    <row r="93" spans="2:53" x14ac:dyDescent="0.35">
      <c r="C93" s="34" t="s">
        <v>80</v>
      </c>
      <c r="N93" s="43">
        <v>1</v>
      </c>
      <c r="O93" s="43">
        <v>1</v>
      </c>
      <c r="P93" s="43">
        <v>0</v>
      </c>
      <c r="R93" s="43">
        <v>1</v>
      </c>
      <c r="T93" s="43">
        <v>1</v>
      </c>
      <c r="V93" s="43">
        <v>1</v>
      </c>
      <c r="X93" s="43">
        <v>1</v>
      </c>
      <c r="Z93" s="43">
        <v>1</v>
      </c>
      <c r="AA93" s="43">
        <v>1</v>
      </c>
      <c r="AB93" s="43">
        <f t="shared" ref="AB93:BA93" si="43">P93</f>
        <v>0</v>
      </c>
      <c r="AC93" s="43">
        <f t="shared" si="43"/>
        <v>0</v>
      </c>
      <c r="AD93" s="43">
        <f t="shared" si="43"/>
        <v>1</v>
      </c>
      <c r="AE93" s="43">
        <f t="shared" si="43"/>
        <v>0</v>
      </c>
      <c r="AF93" s="43">
        <f t="shared" si="43"/>
        <v>1</v>
      </c>
      <c r="AG93" s="43">
        <f t="shared" si="43"/>
        <v>0</v>
      </c>
      <c r="AH93" s="43">
        <f t="shared" si="43"/>
        <v>1</v>
      </c>
      <c r="AI93" s="43">
        <f t="shared" si="43"/>
        <v>0</v>
      </c>
      <c r="AJ93" s="43">
        <f t="shared" si="43"/>
        <v>1</v>
      </c>
      <c r="AK93" s="43">
        <f t="shared" si="43"/>
        <v>0</v>
      </c>
      <c r="AL93" s="43">
        <f t="shared" si="43"/>
        <v>1</v>
      </c>
      <c r="AM93" s="43">
        <f t="shared" si="43"/>
        <v>1</v>
      </c>
      <c r="AN93" s="43">
        <f t="shared" si="43"/>
        <v>0</v>
      </c>
      <c r="AO93" s="43">
        <f t="shared" si="43"/>
        <v>0</v>
      </c>
      <c r="AP93" s="43">
        <f t="shared" si="43"/>
        <v>1</v>
      </c>
      <c r="AQ93" s="43">
        <f t="shared" si="43"/>
        <v>0</v>
      </c>
      <c r="AR93" s="43">
        <f t="shared" si="43"/>
        <v>1</v>
      </c>
      <c r="AS93" s="43">
        <f t="shared" si="43"/>
        <v>0</v>
      </c>
      <c r="AT93" s="43">
        <f t="shared" si="43"/>
        <v>1</v>
      </c>
      <c r="AU93" s="43">
        <f t="shared" si="43"/>
        <v>0</v>
      </c>
      <c r="AV93" s="43">
        <f t="shared" si="43"/>
        <v>1</v>
      </c>
      <c r="AW93" s="43">
        <f t="shared" si="43"/>
        <v>0</v>
      </c>
      <c r="AX93" s="43">
        <f t="shared" si="43"/>
        <v>1</v>
      </c>
      <c r="AY93" s="43">
        <f t="shared" si="43"/>
        <v>1</v>
      </c>
      <c r="AZ93" s="43">
        <f t="shared" si="43"/>
        <v>0</v>
      </c>
      <c r="BA93" s="43">
        <f t="shared" si="43"/>
        <v>0</v>
      </c>
    </row>
    <row r="94" spans="2:53" x14ac:dyDescent="0.35">
      <c r="C94" s="34" t="s">
        <v>81</v>
      </c>
      <c r="N94" s="35">
        <f t="shared" ref="N94:AY94" si="44">(N86*60*N87*N88*(N89*N90-N91)*(N92*N$1-N93))</f>
        <v>0</v>
      </c>
      <c r="O94" s="35">
        <f t="shared" si="44"/>
        <v>0</v>
      </c>
      <c r="P94" s="35">
        <f t="shared" si="44"/>
        <v>0</v>
      </c>
      <c r="Q94" s="35">
        <f t="shared" si="44"/>
        <v>0</v>
      </c>
      <c r="R94" s="35">
        <f>(R86*60*R87*R88*(R89*R90-R91)*(R92*R$1-R93))</f>
        <v>0</v>
      </c>
      <c r="S94" s="35">
        <f t="shared" si="44"/>
        <v>230400</v>
      </c>
      <c r="T94" s="35">
        <f t="shared" si="44"/>
        <v>576000</v>
      </c>
      <c r="U94" s="35">
        <f t="shared" si="44"/>
        <v>1152000</v>
      </c>
      <c r="V94" s="35">
        <f>(V86*60*V87*V88*(V89*V90-V91)*(V92*V$1-V93))</f>
        <v>1658880</v>
      </c>
      <c r="W94" s="35">
        <f t="shared" si="44"/>
        <v>1728000</v>
      </c>
      <c r="X94" s="35">
        <f t="shared" si="44"/>
        <v>1969920</v>
      </c>
      <c r="Y94" s="35">
        <f>(Y86*60*Y87*Y88*(Y89*Y90-Y91)*(Y92*Y$1-Y93))</f>
        <v>2592000</v>
      </c>
      <c r="Z94" s="35">
        <f t="shared" si="44"/>
        <v>1969920</v>
      </c>
      <c r="AA94" s="35">
        <f t="shared" si="44"/>
        <v>1969920</v>
      </c>
      <c r="AB94" s="35">
        <f t="shared" si="44"/>
        <v>2592000</v>
      </c>
      <c r="AC94" s="35">
        <f t="shared" si="44"/>
        <v>2073600</v>
      </c>
      <c r="AD94" s="35">
        <f t="shared" si="44"/>
        <v>1969920</v>
      </c>
      <c r="AE94" s="35">
        <f t="shared" si="44"/>
        <v>2592000</v>
      </c>
      <c r="AF94" s="35">
        <f t="shared" si="44"/>
        <v>1969920</v>
      </c>
      <c r="AG94" s="35">
        <f t="shared" si="44"/>
        <v>2073600</v>
      </c>
      <c r="AH94" s="35">
        <f t="shared" si="44"/>
        <v>2710806.0886507044</v>
      </c>
      <c r="AI94" s="35">
        <f t="shared" si="44"/>
        <v>2295149.5669444087</v>
      </c>
      <c r="AJ94" s="35">
        <f t="shared" si="44"/>
        <v>2240109.6617961954</v>
      </c>
      <c r="AK94" s="35">
        <f t="shared" si="44"/>
        <v>2973480.2958503901</v>
      </c>
      <c r="AL94" s="35">
        <f t="shared" si="44"/>
        <v>2259845.0248462963</v>
      </c>
      <c r="AM94" s="35">
        <f t="shared" si="44"/>
        <v>2259845.0248462963</v>
      </c>
      <c r="AN94" s="35">
        <f t="shared" si="44"/>
        <v>2987715.1922895103</v>
      </c>
      <c r="AO94" s="35">
        <f t="shared" si="44"/>
        <v>2390172.1538316081</v>
      </c>
      <c r="AP94" s="35">
        <f t="shared" si="44"/>
        <v>2306364.5381063228</v>
      </c>
      <c r="AQ94" s="35">
        <f t="shared" si="44"/>
        <v>3034690.1817188459</v>
      </c>
      <c r="AR94" s="35">
        <f t="shared" si="44"/>
        <v>2306364.5381063228</v>
      </c>
      <c r="AS94" s="35">
        <f t="shared" si="44"/>
        <v>2427752.1453750767</v>
      </c>
      <c r="AT94" s="35">
        <f t="shared" si="44"/>
        <v>2913302.5744500924</v>
      </c>
      <c r="AU94" s="35">
        <f t="shared" si="44"/>
        <v>2427752.1453750767</v>
      </c>
      <c r="AV94" s="35">
        <f t="shared" si="44"/>
        <v>2306364.5381063228</v>
      </c>
      <c r="AW94" s="35">
        <f t="shared" si="44"/>
        <v>3034690.1817188459</v>
      </c>
      <c r="AX94" s="35">
        <f t="shared" si="44"/>
        <v>2306364.5381063228</v>
      </c>
      <c r="AY94" s="35">
        <f t="shared" si="44"/>
        <v>2306364.5381063228</v>
      </c>
      <c r="AZ94" s="35">
        <f>(AZ86*60*AZ87*AZ88*(AZ89*AZ90-AZ91)*(AZ92*AZ$1-AZ93))</f>
        <v>3034690.1817188459</v>
      </c>
      <c r="BA94" s="35">
        <f>(BA86*60*BA87*BA88*(BA89*BA90-BA91)*(BA92*BA$1-BA93))</f>
        <v>2427752.1453750767</v>
      </c>
    </row>
    <row r="95" spans="2:53" x14ac:dyDescent="0.35">
      <c r="C95" s="34" t="s">
        <v>85</v>
      </c>
      <c r="N95" s="35">
        <f>N94/N$1</f>
        <v>0</v>
      </c>
      <c r="O95" s="35">
        <f t="shared" ref="O95:AY95" si="45">O94/O$1</f>
        <v>0</v>
      </c>
      <c r="P95" s="35">
        <f t="shared" si="45"/>
        <v>0</v>
      </c>
      <c r="Q95" s="35">
        <f t="shared" si="45"/>
        <v>0</v>
      </c>
      <c r="R95" s="35">
        <f t="shared" si="45"/>
        <v>0</v>
      </c>
      <c r="S95" s="35">
        <f t="shared" si="45"/>
        <v>46080</v>
      </c>
      <c r="T95" s="35">
        <f t="shared" si="45"/>
        <v>144000</v>
      </c>
      <c r="U95" s="35">
        <f t="shared" si="45"/>
        <v>288000</v>
      </c>
      <c r="V95" s="35">
        <f t="shared" si="45"/>
        <v>331776</v>
      </c>
      <c r="W95" s="35">
        <f t="shared" si="45"/>
        <v>432000</v>
      </c>
      <c r="X95" s="35">
        <f t="shared" si="45"/>
        <v>492480</v>
      </c>
      <c r="Y95" s="35">
        <f t="shared" si="45"/>
        <v>518400</v>
      </c>
      <c r="Z95" s="35">
        <f t="shared" si="45"/>
        <v>492480</v>
      </c>
      <c r="AA95" s="35">
        <f t="shared" si="45"/>
        <v>492480</v>
      </c>
      <c r="AB95" s="35">
        <f t="shared" si="45"/>
        <v>518400</v>
      </c>
      <c r="AC95" s="35">
        <f t="shared" si="45"/>
        <v>518400</v>
      </c>
      <c r="AD95" s="35">
        <f t="shared" si="45"/>
        <v>492480</v>
      </c>
      <c r="AE95" s="35">
        <f t="shared" si="45"/>
        <v>518400</v>
      </c>
      <c r="AF95" s="35">
        <f t="shared" si="45"/>
        <v>492480</v>
      </c>
      <c r="AG95" s="35">
        <f t="shared" si="45"/>
        <v>518400</v>
      </c>
      <c r="AH95" s="35">
        <f t="shared" si="45"/>
        <v>542161.2177301409</v>
      </c>
      <c r="AI95" s="35">
        <f t="shared" si="45"/>
        <v>573787.39173610217</v>
      </c>
      <c r="AJ95" s="35">
        <f t="shared" si="45"/>
        <v>560027.41544904886</v>
      </c>
      <c r="AK95" s="35">
        <f t="shared" si="45"/>
        <v>594696.05917007802</v>
      </c>
      <c r="AL95" s="35">
        <f t="shared" si="45"/>
        <v>564961.25621157407</v>
      </c>
      <c r="AM95" s="35">
        <f t="shared" si="45"/>
        <v>564961.25621157407</v>
      </c>
      <c r="AN95" s="35">
        <f t="shared" si="45"/>
        <v>597543.03845790203</v>
      </c>
      <c r="AO95" s="35">
        <f t="shared" si="45"/>
        <v>597543.03845790203</v>
      </c>
      <c r="AP95" s="35">
        <f t="shared" si="45"/>
        <v>576591.13452658069</v>
      </c>
      <c r="AQ95" s="35">
        <f t="shared" si="45"/>
        <v>606938.03634376917</v>
      </c>
      <c r="AR95" s="35">
        <f t="shared" si="45"/>
        <v>576591.13452658069</v>
      </c>
      <c r="AS95" s="35">
        <f t="shared" si="45"/>
        <v>606938.03634376917</v>
      </c>
      <c r="AT95" s="35">
        <f t="shared" si="45"/>
        <v>582660.5148900185</v>
      </c>
      <c r="AU95" s="35">
        <f t="shared" si="45"/>
        <v>606938.03634376917</v>
      </c>
      <c r="AV95" s="35">
        <f t="shared" si="45"/>
        <v>576591.13452658069</v>
      </c>
      <c r="AW95" s="35">
        <f t="shared" si="45"/>
        <v>606938.03634376917</v>
      </c>
      <c r="AX95" s="35">
        <f t="shared" si="45"/>
        <v>576591.13452658069</v>
      </c>
      <c r="AY95" s="35">
        <f t="shared" si="45"/>
        <v>576591.13452658069</v>
      </c>
      <c r="AZ95" s="35">
        <f>AZ94/AZ$1</f>
        <v>606938.03634376917</v>
      </c>
      <c r="BA95" s="35">
        <f>BA94/BA$1</f>
        <v>606938.03634376917</v>
      </c>
    </row>
    <row r="96" spans="2:53" x14ac:dyDescent="0.35">
      <c r="R96" s="48">
        <f>+R95/R92</f>
        <v>0</v>
      </c>
      <c r="S96" s="48">
        <f>+S95/S92</f>
        <v>11520</v>
      </c>
      <c r="T96" s="48">
        <f t="shared" ref="T96:AC96" si="46">+T95/T92</f>
        <v>36000</v>
      </c>
      <c r="U96" s="48">
        <f t="shared" si="46"/>
        <v>57600</v>
      </c>
      <c r="V96" s="48">
        <f t="shared" si="46"/>
        <v>66355.199999999997</v>
      </c>
      <c r="W96" s="48">
        <f t="shared" si="46"/>
        <v>86400</v>
      </c>
      <c r="X96" s="48">
        <f t="shared" si="46"/>
        <v>98496</v>
      </c>
      <c r="Y96" s="48">
        <f t="shared" si="46"/>
        <v>103680</v>
      </c>
      <c r="Z96" s="48">
        <f t="shared" si="46"/>
        <v>98496</v>
      </c>
      <c r="AA96" s="48">
        <f t="shared" si="46"/>
        <v>98496</v>
      </c>
      <c r="AB96" s="48">
        <f t="shared" si="46"/>
        <v>103680</v>
      </c>
      <c r="AC96" s="48">
        <f t="shared" si="46"/>
        <v>103680</v>
      </c>
    </row>
    <row r="98" spans="2:53" x14ac:dyDescent="0.35">
      <c r="C98" t="s">
        <v>86</v>
      </c>
    </row>
    <row r="99" spans="2:53" x14ac:dyDescent="0.35">
      <c r="C99" t="s">
        <v>87</v>
      </c>
      <c r="N99" s="49">
        <f>IFERROR(N82/SUM(N6:N7,N11:N12,N16:N17),0)</f>
        <v>0</v>
      </c>
      <c r="O99" s="49">
        <f t="shared" ref="O99:AY99" si="47">IFERROR(O82/SUM(O6:O7,O11:O12,O16:O17),0)</f>
        <v>0</v>
      </c>
      <c r="P99" s="49">
        <f t="shared" si="47"/>
        <v>0</v>
      </c>
      <c r="Q99" s="49">
        <f>IFERROR(Q82/SUM(Q6:Q7,Q11:Q12,Q16:Q17),0)</f>
        <v>0</v>
      </c>
      <c r="R99" s="49">
        <f t="shared" si="47"/>
        <v>0</v>
      </c>
      <c r="S99" s="49">
        <f t="shared" si="47"/>
        <v>0.14766490856384723</v>
      </c>
      <c r="T99" s="49">
        <f>IFERROR(T82/SUM(T6:T7,T11:T12,T16:T17),0)</f>
        <v>0.26009740837097428</v>
      </c>
      <c r="U99" s="49">
        <f t="shared" si="47"/>
        <v>0.65514714323965406</v>
      </c>
      <c r="V99" s="49">
        <f t="shared" si="47"/>
        <v>1.0049770655503998</v>
      </c>
      <c r="W99" s="49">
        <f t="shared" si="47"/>
        <v>1.1637518076090001</v>
      </c>
      <c r="X99" s="49">
        <f t="shared" si="47"/>
        <v>1.200554710460761</v>
      </c>
      <c r="Y99" s="49">
        <f t="shared" si="47"/>
        <v>0.91726937598256253</v>
      </c>
      <c r="Z99" s="49">
        <f t="shared" si="47"/>
        <v>0.93749999999999978</v>
      </c>
      <c r="AA99" s="49">
        <f t="shared" si="47"/>
        <v>0.99098558901798539</v>
      </c>
      <c r="AB99" s="49">
        <f t="shared" si="47"/>
        <v>1.0981104732311653</v>
      </c>
      <c r="AC99" s="49">
        <f t="shared" si="47"/>
        <v>1.0976493043314541</v>
      </c>
      <c r="AD99" s="49">
        <f t="shared" si="47"/>
        <v>1.0489930644000101</v>
      </c>
      <c r="AE99" s="49">
        <f t="shared" si="47"/>
        <v>1.2039866483442674</v>
      </c>
      <c r="AF99" s="49">
        <f t="shared" si="47"/>
        <v>1.0504897403185405</v>
      </c>
      <c r="AG99" s="49">
        <f t="shared" si="47"/>
        <v>0.94325271324957871</v>
      </c>
      <c r="AH99" s="49">
        <f t="shared" si="47"/>
        <v>0.88702059055034943</v>
      </c>
      <c r="AI99" s="49">
        <f t="shared" si="47"/>
        <v>1.1301763769310256</v>
      </c>
      <c r="AJ99" s="49">
        <f t="shared" si="47"/>
        <v>0.87815316898465168</v>
      </c>
      <c r="AK99" s="49">
        <f t="shared" si="47"/>
        <v>1.2181339135494442</v>
      </c>
      <c r="AL99" s="49">
        <f t="shared" si="47"/>
        <v>1.119649393689637</v>
      </c>
      <c r="AM99" s="49">
        <f t="shared" si="47"/>
        <v>1.1556679478107525</v>
      </c>
      <c r="AN99" s="49">
        <f t="shared" si="47"/>
        <v>1.1287389211941383</v>
      </c>
      <c r="AO99" s="49">
        <f t="shared" si="47"/>
        <v>1.0858942100026387</v>
      </c>
      <c r="AP99" s="49">
        <f t="shared" si="47"/>
        <v>0.97821056756307845</v>
      </c>
      <c r="AQ99" s="49">
        <f t="shared" si="47"/>
        <v>1.1200309206463446</v>
      </c>
      <c r="AR99" s="49">
        <f t="shared" si="47"/>
        <v>0.99869157527201213</v>
      </c>
      <c r="AS99" s="49">
        <f t="shared" si="47"/>
        <v>1.0711912421569381</v>
      </c>
      <c r="AT99" s="49">
        <f t="shared" si="47"/>
        <v>0.99480584333327615</v>
      </c>
      <c r="AU99" s="49">
        <f t="shared" si="47"/>
        <v>1</v>
      </c>
      <c r="AV99" s="49">
        <f t="shared" si="47"/>
        <v>0.90045863749890065</v>
      </c>
      <c r="AW99" s="49">
        <f t="shared" si="47"/>
        <v>0.97903622167779181</v>
      </c>
      <c r="AX99" s="49">
        <f t="shared" si="47"/>
        <v>0.91168644666568355</v>
      </c>
      <c r="AY99" s="49">
        <f t="shared" si="47"/>
        <v>0.93045055552229239</v>
      </c>
      <c r="AZ99" s="49">
        <f>IFERROR(AZ82/SUM(AZ6:AZ7,AZ11:AZ12,AZ16:AZ17),0)</f>
        <v>1.2242770467398585</v>
      </c>
      <c r="BA99" s="49">
        <f>IFERROR(BA82/SUM(BA6:BA7,BA11:BA12,BA16:BA17),0)</f>
        <v>0.9794216373918867</v>
      </c>
    </row>
    <row r="100" spans="2:53" x14ac:dyDescent="0.35">
      <c r="C100" t="s">
        <v>48</v>
      </c>
      <c r="N100" s="49">
        <f>IFERROR(N94/SUM(N8,N13,N18),0)</f>
        <v>0</v>
      </c>
      <c r="O100" s="49">
        <f t="shared" ref="O100:AY100" si="48">IFERROR(O94/SUM(O8,O13,O18),0)</f>
        <v>0</v>
      </c>
      <c r="P100" s="49">
        <f t="shared" si="48"/>
        <v>0</v>
      </c>
      <c r="Q100" s="49">
        <f t="shared" si="48"/>
        <v>0</v>
      </c>
      <c r="R100" s="49">
        <f t="shared" si="48"/>
        <v>0</v>
      </c>
      <c r="S100" s="49">
        <f t="shared" si="48"/>
        <v>0.11253982614963949</v>
      </c>
      <c r="T100" s="49">
        <f t="shared" si="48"/>
        <v>0.3381554991182692</v>
      </c>
      <c r="U100" s="49">
        <f t="shared" si="48"/>
        <v>0.66369539003028355</v>
      </c>
      <c r="V100" s="49">
        <f t="shared" si="48"/>
        <v>0.85455385243758897</v>
      </c>
      <c r="W100" s="49">
        <f t="shared" si="48"/>
        <v>0.69855566440766248</v>
      </c>
      <c r="X100" s="49">
        <f t="shared" si="48"/>
        <v>0.71293818217756555</v>
      </c>
      <c r="Y100" s="49">
        <f t="shared" si="48"/>
        <v>0.79220302099959539</v>
      </c>
      <c r="Z100" s="49">
        <f t="shared" si="48"/>
        <v>0.76255820814657005</v>
      </c>
      <c r="AA100" s="49">
        <f t="shared" si="48"/>
        <v>0.75579186570095347</v>
      </c>
      <c r="AB100" s="49">
        <f t="shared" si="48"/>
        <v>1.0103111019780495</v>
      </c>
      <c r="AC100" s="49">
        <f t="shared" si="48"/>
        <v>1.0246870718633654</v>
      </c>
      <c r="AD100" s="49">
        <f t="shared" si="48"/>
        <v>0.94534937770133265</v>
      </c>
      <c r="AE100" s="49">
        <f t="shared" si="48"/>
        <v>1.0241409840579012</v>
      </c>
      <c r="AF100" s="49">
        <f t="shared" si="48"/>
        <v>0.93763468471334499</v>
      </c>
      <c r="AG100" s="49">
        <f t="shared" si="48"/>
        <v>0.99668217844374596</v>
      </c>
      <c r="AH100" s="49">
        <f t="shared" si="48"/>
        <v>0.96</v>
      </c>
      <c r="AI100" s="49">
        <f t="shared" si="48"/>
        <v>1.0000000000000002</v>
      </c>
      <c r="AJ100" s="49">
        <f t="shared" si="48"/>
        <v>0.95000000000000007</v>
      </c>
      <c r="AK100" s="49">
        <f t="shared" si="48"/>
        <v>1.0000000000000002</v>
      </c>
      <c r="AL100" s="49">
        <f t="shared" si="48"/>
        <v>0.95836949869791765</v>
      </c>
      <c r="AM100" s="49">
        <f t="shared" si="48"/>
        <v>0.97071243038041455</v>
      </c>
      <c r="AN100" s="49">
        <f t="shared" si="48"/>
        <v>1</v>
      </c>
      <c r="AO100" s="49">
        <f t="shared" si="48"/>
        <v>1.0197957886475533</v>
      </c>
      <c r="AP100" s="49">
        <f t="shared" si="48"/>
        <v>0.95</v>
      </c>
      <c r="AQ100" s="49">
        <f t="shared" si="48"/>
        <v>1.0301724305513142</v>
      </c>
      <c r="AR100" s="49">
        <f t="shared" si="48"/>
        <v>0.9780977907323305</v>
      </c>
      <c r="AS100" s="49">
        <f t="shared" si="48"/>
        <v>1.0385808914569679</v>
      </c>
      <c r="AT100" s="49">
        <f t="shared" si="48"/>
        <v>0.99384793630335577</v>
      </c>
      <c r="AU100" s="49">
        <f t="shared" si="48"/>
        <v>1.0125044910428671</v>
      </c>
      <c r="AV100" s="49">
        <f t="shared" si="48"/>
        <v>0.9780977907323305</v>
      </c>
      <c r="AW100" s="49">
        <f t="shared" si="48"/>
        <v>1.0205852670198881</v>
      </c>
      <c r="AX100" s="49">
        <f t="shared" si="48"/>
        <v>0.9780977907323305</v>
      </c>
      <c r="AY100" s="49">
        <f t="shared" si="48"/>
        <v>0.99069480495931983</v>
      </c>
      <c r="AZ100" s="49">
        <f>IFERROR(AZ94/SUM(AZ8,AZ13,AZ18),0)</f>
        <v>1.303545795999105</v>
      </c>
      <c r="BA100" s="49">
        <f>IFERROR(BA94/SUM(BA8,BA13,BA18),0)</f>
        <v>1.0428366367992841</v>
      </c>
    </row>
    <row r="102" spans="2:53" x14ac:dyDescent="0.35">
      <c r="B102" s="3" t="s">
        <v>88</v>
      </c>
      <c r="N102" s="35">
        <f>SUM(N103:N106)</f>
        <v>271872</v>
      </c>
      <c r="O102" s="35">
        <f>SUM(O103:O106)</f>
        <v>271872</v>
      </c>
      <c r="P102" s="50">
        <f>SUM(P103:P106)</f>
        <v>196320</v>
      </c>
      <c r="Q102" s="50">
        <f>SUM(Q103:Q106)</f>
        <v>157056</v>
      </c>
      <c r="R102" s="50">
        <f t="shared" ref="R102:BA102" si="49">SUM(R103:R106)</f>
        <v>203712</v>
      </c>
      <c r="S102" s="50">
        <f t="shared" si="49"/>
        <v>261360</v>
      </c>
      <c r="T102" s="50">
        <f t="shared" si="49"/>
        <v>209088</v>
      </c>
      <c r="U102" s="50">
        <f t="shared" si="49"/>
        <v>258777.60000000001</v>
      </c>
      <c r="V102" s="50">
        <f t="shared" si="49"/>
        <v>378192</v>
      </c>
      <c r="W102" s="50">
        <f t="shared" si="49"/>
        <v>314976</v>
      </c>
      <c r="X102" s="50">
        <f t="shared" si="49"/>
        <v>333609.59999999998</v>
      </c>
      <c r="Y102" s="50">
        <f t="shared" si="49"/>
        <v>435645.59999999992</v>
      </c>
      <c r="Z102" s="50">
        <f t="shared" si="49"/>
        <v>382589.8531330644</v>
      </c>
      <c r="AA102" s="50">
        <f t="shared" si="49"/>
        <v>382589.8531330644</v>
      </c>
      <c r="AB102" s="50">
        <f t="shared" si="49"/>
        <v>478237.31641633046</v>
      </c>
      <c r="AC102" s="50">
        <f t="shared" si="49"/>
        <v>382589.8531330644</v>
      </c>
      <c r="AD102" s="50">
        <f t="shared" si="49"/>
        <v>382589.8531330644</v>
      </c>
      <c r="AE102" s="50">
        <f t="shared" si="49"/>
        <v>478237.31641633046</v>
      </c>
      <c r="AF102" s="50">
        <f t="shared" si="49"/>
        <v>382589.8531330644</v>
      </c>
      <c r="AG102" s="50">
        <f t="shared" si="49"/>
        <v>389420.64</v>
      </c>
      <c r="AH102" s="50">
        <f t="shared" si="49"/>
        <v>495522.67062065139</v>
      </c>
      <c r="AI102" s="50">
        <f t="shared" si="49"/>
        <v>449956.36990576022</v>
      </c>
      <c r="AJ102" s="50">
        <f t="shared" si="49"/>
        <v>452328.83384451724</v>
      </c>
      <c r="AK102" s="50">
        <f t="shared" si="49"/>
        <v>631608.70216588676</v>
      </c>
      <c r="AL102" s="50">
        <f t="shared" si="49"/>
        <v>530551.30981934501</v>
      </c>
      <c r="AM102" s="50">
        <f t="shared" si="49"/>
        <v>530551.30981934501</v>
      </c>
      <c r="AN102" s="50">
        <f t="shared" si="49"/>
        <v>663753.24842644297</v>
      </c>
      <c r="AO102" s="50">
        <f t="shared" si="49"/>
        <v>531002.59874115442</v>
      </c>
      <c r="AP102" s="50">
        <f t="shared" si="49"/>
        <v>532491.84683103254</v>
      </c>
      <c r="AQ102" s="50">
        <f t="shared" si="49"/>
        <v>665614.80853879079</v>
      </c>
      <c r="AR102" s="50">
        <f t="shared" si="49"/>
        <v>532491.84683103254</v>
      </c>
      <c r="AS102" s="50">
        <f t="shared" si="49"/>
        <v>566731.08683103265</v>
      </c>
      <c r="AT102" s="50">
        <f t="shared" si="49"/>
        <v>708413.85853879072</v>
      </c>
      <c r="AU102" s="50">
        <f t="shared" si="49"/>
        <v>576990.07671668963</v>
      </c>
      <c r="AV102" s="50">
        <f t="shared" si="49"/>
        <v>600970.32683103252</v>
      </c>
      <c r="AW102" s="50">
        <f t="shared" si="49"/>
        <v>751212.90853879077</v>
      </c>
      <c r="AX102" s="50">
        <f t="shared" si="49"/>
        <v>631018.84317258431</v>
      </c>
      <c r="AY102" s="50">
        <f t="shared" si="49"/>
        <v>631018.84317258431</v>
      </c>
      <c r="AZ102" s="50">
        <f t="shared" si="49"/>
        <v>788773.55396573048</v>
      </c>
      <c r="BA102" s="50">
        <f t="shared" si="49"/>
        <v>631018.84317258431</v>
      </c>
    </row>
    <row r="103" spans="2:53" x14ac:dyDescent="0.35">
      <c r="B103" t="s">
        <v>57</v>
      </c>
      <c r="C103" t="s">
        <v>89</v>
      </c>
      <c r="D103" s="51"/>
      <c r="E103" s="51"/>
      <c r="F103" s="51"/>
      <c r="G103" s="51"/>
      <c r="H103" s="51"/>
      <c r="I103" s="51"/>
      <c r="J103" s="51"/>
      <c r="K103" s="51"/>
      <c r="L103" s="51"/>
      <c r="M103" s="52" cm="1">
        <f t="array" ref="M103">SUMPRODUCT(M$45:M$56,M$59:M$70,--($B$45:$B$56=$B103))*40*M$1</f>
        <v>27400</v>
      </c>
      <c r="N103" s="52" cm="1">
        <f t="array" ref="N103">SUMPRODUCT(N$45:N$56,N$59:N$70,--($B$45:$B$56=$B103))*40*N$1</f>
        <v>131360</v>
      </c>
      <c r="O103" s="35" cm="1">
        <f t="array" ref="O103">SUMPRODUCT(O$45:O$56,O$59:O$70,--($B$45:$B$56=$B103))*40*O$1</f>
        <v>131360</v>
      </c>
      <c r="P103" s="35" cm="1">
        <f t="array" ref="P103">SUMPRODUCT(P$45:P$56,P$59:P$70,--($B$45:$B$56=$B103))*40*P$1</f>
        <v>125400</v>
      </c>
      <c r="Q103" s="35" cm="1">
        <f t="array" ref="Q103">SUMPRODUCT(Q$45:Q$56,Q$59:Q$70,--($B$45:$B$56=$B103))*40*Q$1</f>
        <v>100320</v>
      </c>
      <c r="R103" s="35" cm="1">
        <f t="array" ref="R103">SUMPRODUCT(R$45:R$56,R$59:R$70,--($B$45:$B$56=$B103))*40*R$1</f>
        <v>122400</v>
      </c>
      <c r="S103" s="35" cm="1">
        <f t="array" ref="S103">SUMPRODUCT(S$45:S$56,S$59:S$70,--($B$45:$B$56=$B103))*40*S$1</f>
        <v>153000</v>
      </c>
      <c r="T103" s="35" cm="1">
        <f t="array" ref="T103">SUMPRODUCT(T$45:T$56,T$59:T$70,--($B$45:$B$56=$B103))*40*T$1</f>
        <v>122400</v>
      </c>
      <c r="U103" s="35" cm="1">
        <f t="array" ref="U103">SUMPRODUCT(U$45:U$56,U$59:U$70,--($B$45:$B$56=$B103))*40*U$1</f>
        <v>163808</v>
      </c>
      <c r="V103" s="35" cm="1">
        <f t="array" ref="V103">SUMPRODUCT(V$45:V$56,V$59:V$70,--($B$45:$B$56=$B103))*40*V$1</f>
        <v>228360</v>
      </c>
      <c r="W103" s="35" cm="1">
        <f t="array" ref="W103">SUMPRODUCT(W$45:W$56,W$59:W$70,--($B$45:$B$56=$B103))*40*W$1</f>
        <v>193040</v>
      </c>
      <c r="X103" s="35" cm="1">
        <f t="array" ref="X103">SUMPRODUCT(X$45:X$56,X$59:X$70,--($B$45:$B$56=$B103))*40*X$1</f>
        <v>208568</v>
      </c>
      <c r="Y103" s="35" cm="1">
        <f t="array" ref="Y103">SUMPRODUCT(Y$45:Y$56,Y$59:Y$70,--($B$45:$B$56=$B103))*40*Y$1</f>
        <v>276237.99999999994</v>
      </c>
      <c r="Z103" s="35" cm="1">
        <f t="array" ref="Z103">SUMPRODUCT(Z$45:Z$56,Z$59:Z$70,--($B$45:$B$56=$B103))*40*Z$1</f>
        <v>245912.87761088699</v>
      </c>
      <c r="AA103" s="35" cm="1">
        <f t="array" ref="AA103">SUMPRODUCT(AA$45:AA$56,AA$59:AA$70,--($B$45:$B$56=$B103))*40*AA$1</f>
        <v>245912.87761088699</v>
      </c>
      <c r="AB103" s="35" cm="1">
        <f t="array" ref="AB103">SUMPRODUCT(AB$45:AB$56,AB$59:AB$70,--($B$45:$B$56=$B103))*40*AB$1</f>
        <v>307391.09701360873</v>
      </c>
      <c r="AC103" s="35" cm="1">
        <f t="array" ref="AC103">SUMPRODUCT(AC$45:AC$56,AC$59:AC$70,--($B$45:$B$56=$B103))*40*AC$1</f>
        <v>245912.87761088699</v>
      </c>
      <c r="AD103" s="35" cm="1">
        <f t="array" ref="AD103">SUMPRODUCT(AD$45:AD$56,AD$59:AD$70,--($B$45:$B$56=$B103))*40*AD$1</f>
        <v>245912.87761088699</v>
      </c>
      <c r="AE103" s="35" cm="1">
        <f t="array" ref="AE103">SUMPRODUCT(AE$45:AE$56,AE$59:AE$70,--($B$45:$B$56=$B103))*40*AE$1</f>
        <v>307391.09701360873</v>
      </c>
      <c r="AF103" s="35" cm="1">
        <f t="array" ref="AF103">SUMPRODUCT(AF$45:AF$56,AF$59:AF$70,--($B$45:$B$56=$B103))*40*AF$1</f>
        <v>245912.87761088699</v>
      </c>
      <c r="AG103" s="35" cm="1">
        <f t="array" ref="AG103">SUMPRODUCT(AG$45:AG$56,AG$59:AG$70,--($B$45:$B$56=$B103))*40*AG$1</f>
        <v>251605.2</v>
      </c>
      <c r="AH103" s="35" cm="1">
        <f t="array" ref="AH103">SUMPRODUCT(AH$45:AH$56,AH$59:AH$70,--($B$45:$B$56=$B103))*40*AH$1</f>
        <v>321795.55885054282</v>
      </c>
      <c r="AI103" s="35" cm="1">
        <f t="array" ref="AI103">SUMPRODUCT(AI$45:AI$56,AI$59:AI$70,--($B$45:$B$56=$B103))*40*AI$1</f>
        <v>302051.64158813353</v>
      </c>
      <c r="AJ103" s="35" cm="1">
        <f t="array" ref="AJ103">SUMPRODUCT(AJ$45:AJ$56,AJ$59:AJ$70,--($B$45:$B$56=$B103))*40*AJ$1</f>
        <v>304028.69487043103</v>
      </c>
      <c r="AK103" s="35" cm="1">
        <f t="array" ref="AK103">SUMPRODUCT(AK$45:AK$56,AK$59:AK$70,--($B$45:$B$56=$B103))*40*AK$1</f>
        <v>435200.58513823897</v>
      </c>
      <c r="AL103" s="35" cm="1">
        <f t="array" ref="AL103">SUMPRODUCT(AL$45:AL$56,AL$59:AL$70,--($B$45:$B$56=$B103))*40*AL$1</f>
        <v>365568.49151612079</v>
      </c>
      <c r="AM103" s="35" cm="1">
        <f t="array" ref="AM103">SUMPRODUCT(AM$45:AM$56,AM$59:AM$70,--($B$45:$B$56=$B103))*40*AM$1</f>
        <v>365568.49151612079</v>
      </c>
      <c r="AN103" s="35" cm="1">
        <f t="array" ref="AN103">SUMPRODUCT(AN$45:AN$56,AN$59:AN$70,--($B$45:$B$56=$B103))*40*AN$1</f>
        <v>457430.70702203584</v>
      </c>
      <c r="AO103" s="35" cm="1">
        <f t="array" ref="AO103">SUMPRODUCT(AO$45:AO$56,AO$59:AO$70,--($B$45:$B$56=$B103))*40*AO$1</f>
        <v>365944.56561762869</v>
      </c>
      <c r="AP103" s="35" cm="1">
        <f t="array" ref="AP103">SUMPRODUCT(AP$45:AP$56,AP$59:AP$70,--($B$45:$B$56=$B103))*40*AP$1</f>
        <v>367185.60569252714</v>
      </c>
      <c r="AQ103" s="35" cm="1">
        <f t="array" ref="AQ103">SUMPRODUCT(AQ$45:AQ$56,AQ$59:AQ$70,--($B$45:$B$56=$B103))*40*AQ$1</f>
        <v>458982.00711565895</v>
      </c>
      <c r="AR103" s="35" cm="1">
        <f t="array" ref="AR103">SUMPRODUCT(AR$45:AR$56,AR$59:AR$70,--($B$45:$B$56=$B103))*40*AR$1</f>
        <v>367185.60569252714</v>
      </c>
      <c r="AS103" s="35" cm="1">
        <f t="array" ref="AS103">SUMPRODUCT(AS$45:AS$56,AS$59:AS$70,--($B$45:$B$56=$B103))*40*AS$1</f>
        <v>395718.30569252715</v>
      </c>
      <c r="AT103" s="35" cm="1">
        <f t="array" ref="AT103">SUMPRODUCT(AT$45:AT$56,AT$59:AT$70,--($B$45:$B$56=$B103))*40*AT$1</f>
        <v>494647.88211565895</v>
      </c>
      <c r="AU103" s="35" cm="1">
        <f t="array" ref="AU103">SUMPRODUCT(AU$45:AU$56,AU$59:AU$70,--($B$45:$B$56=$B103))*40*AU$1</f>
        <v>404267.46393057471</v>
      </c>
      <c r="AV103" s="35" cm="1">
        <f t="array" ref="AV103">SUMPRODUCT(AV$45:AV$56,AV$59:AV$70,--($B$45:$B$56=$B103))*40*AV$1</f>
        <v>424251.00569252716</v>
      </c>
      <c r="AW103" s="35" cm="1">
        <f t="array" ref="AW103">SUMPRODUCT(AW$45:AW$56,AW$59:AW$70,--($B$45:$B$56=$B103))*40*AW$1</f>
        <v>530313.75711565895</v>
      </c>
      <c r="AX103" s="35" cm="1">
        <f t="array" ref="AX103">SUMPRODUCT(AX$45:AX$56,AX$59:AX$70,--($B$45:$B$56=$B103))*40*AX$1</f>
        <v>445463.55597715359</v>
      </c>
      <c r="AY103" s="35" cm="1">
        <f t="array" ref="AY103">SUMPRODUCT(AY$45:AY$56,AY$59:AY$70,--($B$45:$B$56=$B103))*40*AY$1</f>
        <v>445463.55597715359</v>
      </c>
      <c r="AZ103" s="35" cm="1">
        <f t="array" ref="AZ103">SUMPRODUCT(AZ$45:AZ$56,AZ$59:AZ$70,--($B$45:$B$56=$B103))*40*AZ$1</f>
        <v>556829.44497144199</v>
      </c>
      <c r="BA103" s="35" cm="1">
        <f t="array" ref="BA103">SUMPRODUCT(BA$45:BA$56,BA$59:BA$70,--($B$45:$B$56=$B103))*40*BA$1</f>
        <v>445463.55597715359</v>
      </c>
    </row>
    <row r="104" spans="2:53" x14ac:dyDescent="0.35">
      <c r="B104" t="s">
        <v>61</v>
      </c>
      <c r="C104" t="s">
        <v>90</v>
      </c>
      <c r="D104" s="51"/>
      <c r="E104" s="51"/>
      <c r="F104" s="51"/>
      <c r="G104" s="51"/>
      <c r="H104" s="51"/>
      <c r="I104" s="51"/>
      <c r="J104" s="51"/>
      <c r="K104" s="51"/>
      <c r="L104" s="51"/>
      <c r="M104" s="52" cm="1">
        <f t="array" ref="M104">SUMPRODUCT(M$45:M$56,M$59:M$70,--($B$45:$B$56=$B104))*40*M$1</f>
        <v>34000</v>
      </c>
      <c r="N104" s="52" cm="1">
        <f t="array" ref="N104">SUMPRODUCT(N$45:N$56,N$59:N$70,--($B$45:$B$56=$B104))*40*N$1</f>
        <v>95200</v>
      </c>
      <c r="O104" s="35" cm="1">
        <f t="array" ref="O104">SUMPRODUCT(O$45:O$56,O$59:O$70,--($B$45:$B$56=$B104))*40*O$1</f>
        <v>95200</v>
      </c>
      <c r="P104" s="35" cm="1">
        <f t="array" ref="P104">SUMPRODUCT(P$45:P$56,P$59:P$70,--($B$45:$B$56=$B104))*40*P$1</f>
        <v>38200</v>
      </c>
      <c r="Q104" s="35" cm="1">
        <f t="array" ref="Q104">SUMPRODUCT(Q$45:Q$56,Q$59:Q$70,--($B$45:$B$56=$B104))*40*Q$1</f>
        <v>30560</v>
      </c>
      <c r="R104" s="35" cm="1">
        <f t="array" ref="R104">SUMPRODUCT(R$45:R$56,R$59:R$70,--($B$45:$B$56=$B104))*40*R$1</f>
        <v>47360</v>
      </c>
      <c r="S104" s="35" cm="1">
        <f t="array" ref="S104">SUMPRODUCT(S$45:S$56,S$59:S$70,--($B$45:$B$56=$B104))*40*S$1</f>
        <v>64800</v>
      </c>
      <c r="T104" s="35" cm="1">
        <f t="array" ref="T104">SUMPRODUCT(T$45:T$56,T$59:T$70,--($B$45:$B$56=$B104))*40*T$1</f>
        <v>51840</v>
      </c>
      <c r="U104" s="35" cm="1">
        <f t="array" ref="U104">SUMPRODUCT(U$45:U$56,U$59:U$70,--($B$45:$B$56=$B104))*40*U$1</f>
        <v>51840</v>
      </c>
      <c r="V104" s="35" cm="1">
        <f t="array" ref="V104">SUMPRODUCT(V$45:V$56,V$59:V$70,--($B$45:$B$56=$B104))*40*V$1</f>
        <v>86800</v>
      </c>
      <c r="W104" s="35" cm="1">
        <f t="array" ref="W104">SUMPRODUCT(W$45:W$56,W$59:W$70,--($B$45:$B$56=$B104))*40*W$1</f>
        <v>69440</v>
      </c>
      <c r="X104" s="35" cm="1">
        <f t="array" ref="X104">SUMPRODUCT(X$45:X$56,X$59:X$70,--($B$45:$B$56=$B104))*40*X$1</f>
        <v>69440</v>
      </c>
      <c r="Y104" s="35" cm="1">
        <f t="array" ref="Y104">SUMPRODUCT(Y$45:Y$56,Y$59:Y$70,--($B$45:$B$56=$B104))*40*Y$1</f>
        <v>86800</v>
      </c>
      <c r="Z104" s="35" cm="1">
        <f t="array" ref="Z104">SUMPRODUCT(Z$45:Z$56,Z$59:Z$70,--($B$45:$B$56=$B104))*40*Z$1</f>
        <v>72912</v>
      </c>
      <c r="AA104" s="35" cm="1">
        <f t="array" ref="AA104">SUMPRODUCT(AA$45:AA$56,AA$59:AA$70,--($B$45:$B$56=$B104))*40*AA$1</f>
        <v>72912</v>
      </c>
      <c r="AB104" s="35" cm="1">
        <f t="array" ref="AB104">SUMPRODUCT(AB$45:AB$56,AB$59:AB$70,--($B$45:$B$56=$B104))*40*AB$1</f>
        <v>91140</v>
      </c>
      <c r="AC104" s="35" cm="1">
        <f t="array" ref="AC104">SUMPRODUCT(AC$45:AC$56,AC$59:AC$70,--($B$45:$B$56=$B104))*40*AC$1</f>
        <v>72912</v>
      </c>
      <c r="AD104" s="35" cm="1">
        <f t="array" ref="AD104">SUMPRODUCT(AD$45:AD$56,AD$59:AD$70,--($B$45:$B$56=$B104))*40*AD$1</f>
        <v>72912</v>
      </c>
      <c r="AE104" s="35" cm="1">
        <f t="array" ref="AE104">SUMPRODUCT(AE$45:AE$56,AE$59:AE$70,--($B$45:$B$56=$B104))*40*AE$1</f>
        <v>91140</v>
      </c>
      <c r="AF104" s="35" cm="1">
        <f t="array" ref="AF104">SUMPRODUCT(AF$45:AF$56,AF$59:AF$70,--($B$45:$B$56=$B104))*40*AF$1</f>
        <v>72912</v>
      </c>
      <c r="AG104" s="35" cm="1">
        <f t="array" ref="AG104">SUMPRODUCT(AG$45:AG$56,AG$59:AG$70,--($B$45:$B$56=$B104))*40*AG$1</f>
        <v>72912</v>
      </c>
      <c r="AH104" s="35" cm="1">
        <f t="array" ref="AH104">SUMPRODUCT(AH$45:AH$56,AH$59:AH$70,--($B$45:$B$56=$B104))*40*AH$1</f>
        <v>91140</v>
      </c>
      <c r="AI104" s="35" cm="1">
        <f t="array" ref="AI104">SUMPRODUCT(AI$45:AI$56,AI$59:AI$70,--($B$45:$B$56=$B104))*40*AI$1</f>
        <v>72912</v>
      </c>
      <c r="AJ104" s="35" cm="1">
        <f t="array" ref="AJ104">SUMPRODUCT(AJ$45:AJ$56,AJ$59:AJ$70,--($B$45:$B$56=$B104))*40*AJ$1</f>
        <v>72912</v>
      </c>
      <c r="AK104" s="35" cm="1">
        <f t="array" ref="AK104">SUMPRODUCT(AK$45:AK$56,AK$59:AK$70,--($B$45:$B$56=$B104))*40*AK$1</f>
        <v>91140</v>
      </c>
      <c r="AL104" s="35" cm="1">
        <f t="array" ref="AL104">SUMPRODUCT(AL$45:AL$56,AL$59:AL$70,--($B$45:$B$56=$B104))*40*AL$1</f>
        <v>76557.600000000006</v>
      </c>
      <c r="AM104" s="35" cm="1">
        <f t="array" ref="AM104">SUMPRODUCT(AM$45:AM$56,AM$59:AM$70,--($B$45:$B$56=$B104))*40*AM$1</f>
        <v>76557.600000000006</v>
      </c>
      <c r="AN104" s="35" cm="1">
        <f t="array" ref="AN104">SUMPRODUCT(AN$45:AN$56,AN$59:AN$70,--($B$45:$B$56=$B104))*40*AN$1</f>
        <v>95697</v>
      </c>
      <c r="AO104" s="35" cm="1">
        <f t="array" ref="AO104">SUMPRODUCT(AO$45:AO$56,AO$59:AO$70,--($B$45:$B$56=$B104))*40*AO$1</f>
        <v>76557.600000000006</v>
      </c>
      <c r="AP104" s="35" cm="1">
        <f t="array" ref="AP104">SUMPRODUCT(AP$45:AP$56,AP$59:AP$70,--($B$45:$B$56=$B104))*40*AP$1</f>
        <v>76557.600000000006</v>
      </c>
      <c r="AQ104" s="35" cm="1">
        <f t="array" ref="AQ104">SUMPRODUCT(AQ$45:AQ$56,AQ$59:AQ$70,--($B$45:$B$56=$B104))*40*AQ$1</f>
        <v>95697</v>
      </c>
      <c r="AR104" s="35" cm="1">
        <f t="array" ref="AR104">SUMPRODUCT(AR$45:AR$56,AR$59:AR$70,--($B$45:$B$56=$B104))*40*AR$1</f>
        <v>76557.600000000006</v>
      </c>
      <c r="AS104" s="35" cm="1">
        <f t="array" ref="AS104">SUMPRODUCT(AS$45:AS$56,AS$59:AS$70,--($B$45:$B$56=$B104))*40*AS$1</f>
        <v>76557.600000000006</v>
      </c>
      <c r="AT104" s="35" cm="1">
        <f t="array" ref="AT104">SUMPRODUCT(AT$45:AT$56,AT$59:AT$70,--($B$45:$B$56=$B104))*40*AT$1</f>
        <v>95697</v>
      </c>
      <c r="AU104" s="35" cm="1">
        <f t="array" ref="AU104">SUMPRODUCT(AU$45:AU$56,AU$59:AU$70,--($B$45:$B$56=$B104))*40*AU$1</f>
        <v>76557.600000000006</v>
      </c>
      <c r="AV104" s="35" cm="1">
        <f t="array" ref="AV104">SUMPRODUCT(AV$45:AV$56,AV$59:AV$70,--($B$45:$B$56=$B104))*40*AV$1</f>
        <v>76557.600000000006</v>
      </c>
      <c r="AW104" s="35" cm="1">
        <f t="array" ref="AW104">SUMPRODUCT(AW$45:AW$56,AW$59:AW$70,--($B$45:$B$56=$B104))*40*AW$1</f>
        <v>95697</v>
      </c>
      <c r="AX104" s="35" cm="1">
        <f t="array" ref="AX104">SUMPRODUCT(AX$45:AX$56,AX$59:AX$70,--($B$45:$B$56=$B104))*40*AX$1</f>
        <v>80385.480000000025</v>
      </c>
      <c r="AY104" s="35" cm="1">
        <f t="array" ref="AY104">SUMPRODUCT(AY$45:AY$56,AY$59:AY$70,--($B$45:$B$56=$B104))*40*AY$1</f>
        <v>80385.480000000025</v>
      </c>
      <c r="AZ104" s="35" cm="1">
        <f t="array" ref="AZ104">SUMPRODUCT(AZ$45:AZ$56,AZ$59:AZ$70,--($B$45:$B$56=$B104))*40*AZ$1</f>
        <v>100481.85000000003</v>
      </c>
      <c r="BA104" s="35" cm="1">
        <f t="array" ref="BA104">SUMPRODUCT(BA$45:BA$56,BA$59:BA$70,--($B$45:$B$56=$B104))*40*BA$1</f>
        <v>80385.480000000025</v>
      </c>
    </row>
    <row r="105" spans="2:53" x14ac:dyDescent="0.35">
      <c r="D105" s="51"/>
      <c r="E105" s="51"/>
      <c r="F105" s="51"/>
      <c r="G105" s="51"/>
      <c r="H105" s="51"/>
      <c r="I105" s="51"/>
      <c r="J105" s="51"/>
      <c r="K105" s="51"/>
      <c r="L105" s="51"/>
      <c r="M105" s="52"/>
      <c r="N105" s="52"/>
    </row>
    <row r="106" spans="2:53" x14ac:dyDescent="0.35">
      <c r="B106" s="53">
        <v>0.2</v>
      </c>
      <c r="C106" t="s">
        <v>91</v>
      </c>
      <c r="D106" s="51"/>
      <c r="E106" s="51"/>
      <c r="F106" s="51"/>
      <c r="G106" s="51"/>
      <c r="H106" s="51"/>
      <c r="I106" s="51"/>
      <c r="J106" s="51"/>
      <c r="K106" s="51"/>
      <c r="L106" s="51"/>
      <c r="M106" s="52">
        <f>$B106*SUM(M103:M104)</f>
        <v>12280</v>
      </c>
      <c r="N106" s="52">
        <f>$B106*SUM(N103:N104)</f>
        <v>45312</v>
      </c>
      <c r="O106" s="35">
        <f t="shared" ref="O106:AY106" si="50">$B106*SUM(O103:O104)</f>
        <v>45312</v>
      </c>
      <c r="P106" s="35">
        <f t="shared" si="50"/>
        <v>32720</v>
      </c>
      <c r="Q106" s="35">
        <f t="shared" si="50"/>
        <v>26176</v>
      </c>
      <c r="R106" s="35">
        <f t="shared" si="50"/>
        <v>33952</v>
      </c>
      <c r="S106" s="35">
        <f t="shared" si="50"/>
        <v>43560</v>
      </c>
      <c r="T106" s="35">
        <f t="shared" si="50"/>
        <v>34848</v>
      </c>
      <c r="U106" s="35">
        <f t="shared" si="50"/>
        <v>43129.600000000006</v>
      </c>
      <c r="V106" s="35">
        <f t="shared" si="50"/>
        <v>63032</v>
      </c>
      <c r="W106" s="35">
        <f t="shared" si="50"/>
        <v>52496</v>
      </c>
      <c r="X106" s="35">
        <f t="shared" si="50"/>
        <v>55601.600000000006</v>
      </c>
      <c r="Y106" s="35">
        <f t="shared" si="50"/>
        <v>72607.599999999991</v>
      </c>
      <c r="Z106" s="35">
        <f t="shared" si="50"/>
        <v>63764.975522177403</v>
      </c>
      <c r="AA106" s="35">
        <f t="shared" si="50"/>
        <v>63764.975522177403</v>
      </c>
      <c r="AB106" s="35">
        <f t="shared" si="50"/>
        <v>79706.219402721748</v>
      </c>
      <c r="AC106" s="35">
        <f t="shared" si="50"/>
        <v>63764.975522177403</v>
      </c>
      <c r="AD106" s="35">
        <f t="shared" si="50"/>
        <v>63764.975522177403</v>
      </c>
      <c r="AE106" s="35">
        <f t="shared" si="50"/>
        <v>79706.219402721748</v>
      </c>
      <c r="AF106" s="35">
        <f t="shared" si="50"/>
        <v>63764.975522177403</v>
      </c>
      <c r="AG106" s="35">
        <f t="shared" si="50"/>
        <v>64903.44</v>
      </c>
      <c r="AH106" s="35">
        <f t="shared" si="50"/>
        <v>82587.111770108575</v>
      </c>
      <c r="AI106" s="35">
        <f t="shared" si="50"/>
        <v>74992.728317626708</v>
      </c>
      <c r="AJ106" s="35">
        <f t="shared" si="50"/>
        <v>75388.138974086207</v>
      </c>
      <c r="AK106" s="35">
        <f t="shared" si="50"/>
        <v>105268.11702764779</v>
      </c>
      <c r="AL106" s="35">
        <f t="shared" si="50"/>
        <v>88425.218303224174</v>
      </c>
      <c r="AM106" s="35">
        <f t="shared" si="50"/>
        <v>88425.218303224174</v>
      </c>
      <c r="AN106" s="35">
        <f t="shared" si="50"/>
        <v>110625.54140440718</v>
      </c>
      <c r="AO106" s="35">
        <f t="shared" si="50"/>
        <v>88500.433123525756</v>
      </c>
      <c r="AP106" s="35">
        <f t="shared" si="50"/>
        <v>88748.641138505423</v>
      </c>
      <c r="AQ106" s="35">
        <f t="shared" si="50"/>
        <v>110935.80142313179</v>
      </c>
      <c r="AR106" s="35">
        <f t="shared" si="50"/>
        <v>88748.641138505423</v>
      </c>
      <c r="AS106" s="35">
        <f t="shared" si="50"/>
        <v>94455.181138505446</v>
      </c>
      <c r="AT106" s="35">
        <f t="shared" si="50"/>
        <v>118068.9764231318</v>
      </c>
      <c r="AU106" s="35">
        <f t="shared" si="50"/>
        <v>96165.012786114938</v>
      </c>
      <c r="AV106" s="35">
        <f t="shared" si="50"/>
        <v>100161.72113850544</v>
      </c>
      <c r="AW106" s="35">
        <f t="shared" si="50"/>
        <v>125202.1514231318</v>
      </c>
      <c r="AX106" s="35">
        <f t="shared" si="50"/>
        <v>105169.80719543072</v>
      </c>
      <c r="AY106" s="35">
        <f t="shared" si="50"/>
        <v>105169.80719543072</v>
      </c>
      <c r="AZ106" s="35">
        <f>$B106*SUM(AZ103:AZ104)</f>
        <v>131462.25899428842</v>
      </c>
      <c r="BA106" s="35">
        <f>$B106*SUM(BA103:BA104)</f>
        <v>105169.80719543072</v>
      </c>
    </row>
    <row r="107" spans="2:53" x14ac:dyDescent="0.35">
      <c r="D107" s="51"/>
      <c r="E107" s="51"/>
      <c r="F107" s="51"/>
      <c r="G107" s="51"/>
      <c r="H107" s="51"/>
      <c r="I107" s="51"/>
      <c r="J107" s="51"/>
      <c r="K107" s="51"/>
      <c r="L107" s="51"/>
      <c r="M107" s="51"/>
      <c r="N107" s="51"/>
    </row>
    <row r="108" spans="2:53" x14ac:dyDescent="0.35">
      <c r="C108" t="s">
        <v>92</v>
      </c>
      <c r="D108" s="51"/>
      <c r="E108" s="51"/>
      <c r="F108" s="51"/>
      <c r="G108" s="51"/>
      <c r="H108" s="51"/>
      <c r="I108" s="51"/>
      <c r="J108" s="51"/>
      <c r="K108" s="51"/>
      <c r="L108" s="51"/>
      <c r="M108" s="52">
        <v>68846.129166666666</v>
      </c>
      <c r="N108" s="52">
        <v>68553.81280701753</v>
      </c>
      <c r="O108" s="35">
        <v>68553.81280701753</v>
      </c>
      <c r="P108" s="35">
        <v>86153.821474358963</v>
      </c>
      <c r="Q108" s="35">
        <v>70990.748894871795</v>
      </c>
      <c r="R108" s="35">
        <v>78467.658368556004</v>
      </c>
      <c r="S108" s="35">
        <v>98084.572960695004</v>
      </c>
      <c r="T108" s="35">
        <v>78467.658368556004</v>
      </c>
      <c r="U108" s="35">
        <v>98313.812214709833</v>
      </c>
      <c r="V108" s="35">
        <v>122892.26526838733</v>
      </c>
      <c r="W108" s="35">
        <v>98313.812214709833</v>
      </c>
      <c r="X108" s="35">
        <v>98313.812214709833</v>
      </c>
      <c r="Y108" s="35">
        <v>122892.26526838733</v>
      </c>
      <c r="Z108" s="35">
        <v>98313.812214709833</v>
      </c>
      <c r="AA108" s="35">
        <v>98313.812214709833</v>
      </c>
      <c r="AB108" s="35">
        <v>122892.26526838733</v>
      </c>
      <c r="AC108" s="35">
        <v>101263.22658115115</v>
      </c>
      <c r="AD108" s="35">
        <v>101263.22658115115</v>
      </c>
      <c r="AE108" s="35">
        <v>126579.03322643896</v>
      </c>
      <c r="AF108" s="35">
        <v>101263.22658115115</v>
      </c>
      <c r="AG108" s="35">
        <v>101263.22658115115</v>
      </c>
      <c r="AH108" s="35">
        <v>126579.03322643896</v>
      </c>
      <c r="AI108" s="35">
        <v>101263.22658115115</v>
      </c>
      <c r="AJ108" s="35">
        <v>101263.22658115115</v>
      </c>
      <c r="AK108" s="35">
        <v>126579.03322643896</v>
      </c>
      <c r="AL108" s="35">
        <v>101263.22658115115</v>
      </c>
      <c r="AM108" s="35">
        <v>101263.22658115115</v>
      </c>
      <c r="AN108" s="35">
        <v>126579.03322643896</v>
      </c>
      <c r="AO108" s="35">
        <v>104301.1233785857</v>
      </c>
      <c r="AP108" s="35">
        <v>104301.1233785857</v>
      </c>
      <c r="AQ108" s="35">
        <v>130376.40422323214</v>
      </c>
      <c r="AR108" s="35">
        <v>104301.1233785857</v>
      </c>
      <c r="AS108" s="35">
        <v>104301.1233785857</v>
      </c>
      <c r="AT108" s="35">
        <v>130376.40422323214</v>
      </c>
      <c r="AU108" s="35">
        <v>104301.1233785857</v>
      </c>
      <c r="AV108" s="35">
        <v>104301.1233785857</v>
      </c>
      <c r="AW108" s="35">
        <v>130376.40422323214</v>
      </c>
      <c r="AX108" s="35">
        <v>104301.1233785857</v>
      </c>
      <c r="AY108" s="35">
        <v>104301.1233785857</v>
      </c>
      <c r="AZ108" s="35">
        <v>0</v>
      </c>
      <c r="BA108" s="35">
        <v>0</v>
      </c>
    </row>
    <row r="110" spans="2:53" x14ac:dyDescent="0.35">
      <c r="B110" t="s">
        <v>93</v>
      </c>
    </row>
    <row r="111" spans="2:53" x14ac:dyDescent="0.35">
      <c r="B111" s="44">
        <v>600000</v>
      </c>
      <c r="C111" t="s">
        <v>94</v>
      </c>
      <c r="P111" s="35">
        <f>$B111/12</f>
        <v>50000</v>
      </c>
      <c r="Q111" s="35">
        <f t="shared" ref="Q111:Y114" si="51">$B111/12</f>
        <v>50000</v>
      </c>
      <c r="R111" s="35">
        <f t="shared" si="51"/>
        <v>50000</v>
      </c>
      <c r="S111" s="35">
        <f t="shared" si="51"/>
        <v>50000</v>
      </c>
      <c r="T111" s="35">
        <f t="shared" si="51"/>
        <v>50000</v>
      </c>
      <c r="U111" s="35">
        <f t="shared" si="51"/>
        <v>50000</v>
      </c>
      <c r="V111" s="35">
        <f t="shared" si="51"/>
        <v>50000</v>
      </c>
      <c r="W111" s="35">
        <f t="shared" si="51"/>
        <v>50000</v>
      </c>
      <c r="X111" s="35">
        <f t="shared" si="51"/>
        <v>50000</v>
      </c>
      <c r="Y111" s="35">
        <f t="shared" si="51"/>
        <v>50000</v>
      </c>
      <c r="Z111" s="36">
        <f t="shared" ref="Z111:AO112" si="52">1.03*P111</f>
        <v>51500</v>
      </c>
      <c r="AA111" s="35">
        <f t="shared" si="52"/>
        <v>51500</v>
      </c>
      <c r="AB111" s="35">
        <f t="shared" si="52"/>
        <v>51500</v>
      </c>
      <c r="AC111" s="35">
        <f t="shared" si="52"/>
        <v>51500</v>
      </c>
      <c r="AD111" s="35">
        <f t="shared" si="52"/>
        <v>51500</v>
      </c>
      <c r="AE111" s="35">
        <f t="shared" si="52"/>
        <v>51500</v>
      </c>
      <c r="AF111" s="35">
        <f t="shared" si="52"/>
        <v>51500</v>
      </c>
      <c r="AG111" s="35">
        <f t="shared" si="52"/>
        <v>51500</v>
      </c>
      <c r="AH111" s="35">
        <f t="shared" si="52"/>
        <v>51500</v>
      </c>
      <c r="AI111" s="35">
        <f t="shared" si="52"/>
        <v>51500</v>
      </c>
      <c r="AJ111" s="35">
        <f t="shared" si="52"/>
        <v>53045</v>
      </c>
      <c r="AK111" s="35">
        <f t="shared" si="52"/>
        <v>53045</v>
      </c>
      <c r="AL111" s="35">
        <f t="shared" si="52"/>
        <v>53045</v>
      </c>
      <c r="AM111" s="35">
        <f t="shared" si="52"/>
        <v>53045</v>
      </c>
      <c r="AN111" s="35">
        <f t="shared" si="52"/>
        <v>53045</v>
      </c>
      <c r="AO111" s="35">
        <f t="shared" si="52"/>
        <v>53045</v>
      </c>
      <c r="AP111" s="35">
        <f t="shared" ref="AP111:BA112" si="53">1.03*AF111</f>
        <v>53045</v>
      </c>
      <c r="AQ111" s="35">
        <f t="shared" si="53"/>
        <v>53045</v>
      </c>
      <c r="AR111" s="35">
        <f t="shared" si="53"/>
        <v>53045</v>
      </c>
      <c r="AS111" s="35">
        <f t="shared" si="53"/>
        <v>53045</v>
      </c>
      <c r="AT111" s="35">
        <f t="shared" si="53"/>
        <v>54636.35</v>
      </c>
      <c r="AU111" s="35">
        <f t="shared" si="53"/>
        <v>54636.35</v>
      </c>
      <c r="AV111" s="35">
        <f t="shared" si="53"/>
        <v>54636.35</v>
      </c>
      <c r="AW111" s="35">
        <f t="shared" si="53"/>
        <v>54636.35</v>
      </c>
      <c r="AX111" s="35">
        <f t="shared" si="53"/>
        <v>54636.35</v>
      </c>
      <c r="AY111" s="35">
        <f t="shared" si="53"/>
        <v>54636.35</v>
      </c>
      <c r="AZ111" s="35">
        <f t="shared" si="53"/>
        <v>54636.35</v>
      </c>
      <c r="BA111" s="35">
        <f t="shared" si="53"/>
        <v>54636.35</v>
      </c>
    </row>
    <row r="112" spans="2:53" x14ac:dyDescent="0.35">
      <c r="B112" s="54">
        <v>508817.29411764705</v>
      </c>
      <c r="C112" t="s">
        <v>95</v>
      </c>
      <c r="O112" s="35">
        <f>$B112/12</f>
        <v>42401.441176470587</v>
      </c>
      <c r="P112" s="35">
        <f>$B112/12</f>
        <v>42401.441176470587</v>
      </c>
      <c r="Q112" s="35">
        <f t="shared" si="51"/>
        <v>42401.441176470587</v>
      </c>
      <c r="R112" s="35">
        <f t="shared" si="51"/>
        <v>42401.441176470587</v>
      </c>
      <c r="S112" s="35">
        <f t="shared" si="51"/>
        <v>42401.441176470587</v>
      </c>
      <c r="T112" s="35">
        <f t="shared" si="51"/>
        <v>42401.441176470587</v>
      </c>
      <c r="U112" s="35">
        <f t="shared" si="51"/>
        <v>42401.441176470587</v>
      </c>
      <c r="V112" s="35">
        <f t="shared" si="51"/>
        <v>42401.441176470587</v>
      </c>
      <c r="W112" s="35">
        <f t="shared" si="51"/>
        <v>42401.441176470587</v>
      </c>
      <c r="X112" s="35">
        <f t="shared" si="51"/>
        <v>42401.441176470587</v>
      </c>
      <c r="Y112" s="35">
        <f t="shared" si="51"/>
        <v>42401.441176470587</v>
      </c>
      <c r="Z112" s="36">
        <f t="shared" si="52"/>
        <v>43673.484411764708</v>
      </c>
      <c r="AA112" s="35">
        <f t="shared" si="52"/>
        <v>43673.484411764708</v>
      </c>
      <c r="AB112" s="35">
        <f t="shared" si="52"/>
        <v>43673.484411764708</v>
      </c>
      <c r="AC112" s="35">
        <f t="shared" si="52"/>
        <v>43673.484411764708</v>
      </c>
      <c r="AD112" s="35">
        <f t="shared" si="52"/>
        <v>43673.484411764708</v>
      </c>
      <c r="AE112" s="35">
        <f t="shared" si="52"/>
        <v>43673.484411764708</v>
      </c>
      <c r="AF112" s="35">
        <f t="shared" si="52"/>
        <v>43673.484411764708</v>
      </c>
      <c r="AG112" s="35">
        <f t="shared" si="52"/>
        <v>43673.484411764708</v>
      </c>
      <c r="AH112" s="35">
        <f t="shared" si="52"/>
        <v>43673.484411764708</v>
      </c>
      <c r="AI112" s="35">
        <f t="shared" si="52"/>
        <v>43673.484411764708</v>
      </c>
      <c r="AJ112" s="35">
        <f t="shared" si="52"/>
        <v>44983.688944117654</v>
      </c>
      <c r="AK112" s="35">
        <f t="shared" si="52"/>
        <v>44983.688944117654</v>
      </c>
      <c r="AL112" s="35">
        <f t="shared" si="52"/>
        <v>44983.688944117654</v>
      </c>
      <c r="AM112" s="35">
        <f t="shared" si="52"/>
        <v>44983.688944117654</v>
      </c>
      <c r="AN112" s="35">
        <f t="shared" si="52"/>
        <v>44983.688944117654</v>
      </c>
      <c r="AO112" s="35">
        <f t="shared" si="52"/>
        <v>44983.688944117654</v>
      </c>
      <c r="AP112" s="35">
        <f t="shared" si="53"/>
        <v>44983.688944117654</v>
      </c>
      <c r="AQ112" s="35">
        <f t="shared" si="53"/>
        <v>44983.688944117654</v>
      </c>
      <c r="AR112" s="35">
        <f t="shared" si="53"/>
        <v>44983.688944117654</v>
      </c>
      <c r="AS112" s="35">
        <f t="shared" si="53"/>
        <v>44983.688944117654</v>
      </c>
      <c r="AT112" s="35">
        <f t="shared" si="53"/>
        <v>46333.199612441182</v>
      </c>
      <c r="AU112" s="35">
        <f t="shared" si="53"/>
        <v>46333.199612441182</v>
      </c>
      <c r="AV112" s="35">
        <f t="shared" si="53"/>
        <v>46333.199612441182</v>
      </c>
      <c r="AW112" s="35">
        <f t="shared" si="53"/>
        <v>46333.199612441182</v>
      </c>
      <c r="AX112" s="35">
        <f t="shared" si="53"/>
        <v>46333.199612441182</v>
      </c>
      <c r="AY112" s="35">
        <f t="shared" si="53"/>
        <v>46333.199612441182</v>
      </c>
      <c r="AZ112" s="35">
        <f t="shared" si="53"/>
        <v>46333.199612441182</v>
      </c>
      <c r="BA112" s="35">
        <f t="shared" si="53"/>
        <v>46333.199612441182</v>
      </c>
    </row>
    <row r="113" spans="2:53" x14ac:dyDescent="0.35">
      <c r="C113" t="s">
        <v>96</v>
      </c>
      <c r="O113" s="43"/>
      <c r="P113" s="43"/>
      <c r="Q113" s="43"/>
      <c r="R113" s="43">
        <v>15000</v>
      </c>
      <c r="S113" s="43">
        <v>15000</v>
      </c>
      <c r="T113" s="43">
        <v>15000</v>
      </c>
      <c r="U113" s="43">
        <v>10000</v>
      </c>
      <c r="V113" s="43">
        <v>10000</v>
      </c>
      <c r="W113" s="43">
        <v>10000</v>
      </c>
      <c r="X113" s="43">
        <v>7500</v>
      </c>
      <c r="Y113" s="43">
        <v>7500</v>
      </c>
      <c r="Z113" s="43">
        <v>7500</v>
      </c>
      <c r="AA113" s="43">
        <v>7500</v>
      </c>
      <c r="AB113" s="43">
        <v>7500</v>
      </c>
      <c r="AC113" s="43">
        <v>7500</v>
      </c>
      <c r="AD113" s="43">
        <v>7500</v>
      </c>
      <c r="AE113" s="43">
        <v>7500</v>
      </c>
      <c r="AF113" s="43">
        <v>7500</v>
      </c>
      <c r="AG113" s="43">
        <v>7500</v>
      </c>
      <c r="AH113" s="43">
        <v>7500</v>
      </c>
      <c r="AI113" s="43">
        <v>7500</v>
      </c>
      <c r="AJ113" s="43">
        <v>7500</v>
      </c>
      <c r="AK113" s="43">
        <v>7500</v>
      </c>
      <c r="AL113" s="43">
        <v>7500</v>
      </c>
      <c r="AM113" s="43">
        <v>7500</v>
      </c>
      <c r="AN113" s="43">
        <v>7500</v>
      </c>
      <c r="AO113" s="43">
        <v>7500</v>
      </c>
      <c r="AP113" s="43">
        <v>7500</v>
      </c>
      <c r="AQ113" s="43">
        <v>7500</v>
      </c>
      <c r="AR113" s="43">
        <v>7500</v>
      </c>
      <c r="AS113" s="43">
        <v>7500</v>
      </c>
      <c r="AT113" s="43">
        <v>7500</v>
      </c>
      <c r="AU113" s="43">
        <v>7500</v>
      </c>
      <c r="AV113" s="43">
        <v>7500</v>
      </c>
      <c r="AW113" s="43">
        <v>7500</v>
      </c>
      <c r="AX113" s="43">
        <v>7500</v>
      </c>
      <c r="AY113" s="43">
        <v>7500</v>
      </c>
      <c r="AZ113" s="43">
        <v>7500</v>
      </c>
      <c r="BA113" s="43">
        <v>7500</v>
      </c>
    </row>
    <row r="114" spans="2:53" x14ac:dyDescent="0.35">
      <c r="B114" s="54">
        <v>547147.01414160396</v>
      </c>
      <c r="C114" t="s">
        <v>97</v>
      </c>
      <c r="O114" s="35">
        <f>$B114/12</f>
        <v>45595.584511800327</v>
      </c>
      <c r="P114" s="35">
        <f>$B114/12</f>
        <v>45595.584511800327</v>
      </c>
      <c r="Q114" s="35">
        <f t="shared" si="51"/>
        <v>45595.584511800327</v>
      </c>
      <c r="R114" s="35">
        <f t="shared" si="51"/>
        <v>45595.584511800327</v>
      </c>
      <c r="S114" s="35">
        <f t="shared" si="51"/>
        <v>45595.584511800327</v>
      </c>
      <c r="T114" s="35">
        <f t="shared" si="51"/>
        <v>45595.584511800327</v>
      </c>
      <c r="U114" s="35">
        <f t="shared" si="51"/>
        <v>45595.584511800327</v>
      </c>
      <c r="V114" s="35">
        <f t="shared" si="51"/>
        <v>45595.584511800327</v>
      </c>
      <c r="W114" s="35">
        <f t="shared" si="51"/>
        <v>45595.584511800327</v>
      </c>
      <c r="X114" s="35">
        <f t="shared" si="51"/>
        <v>45595.584511800327</v>
      </c>
      <c r="Y114" s="35">
        <f t="shared" si="51"/>
        <v>45595.584511800327</v>
      </c>
      <c r="Z114" s="36">
        <f>1.03*P114</f>
        <v>46963.452047154336</v>
      </c>
      <c r="AA114" s="35">
        <f>1.03*Q114</f>
        <v>46963.452047154336</v>
      </c>
      <c r="AB114" s="35">
        <f>1.03*R114</f>
        <v>46963.452047154336</v>
      </c>
      <c r="AC114" s="35">
        <f t="shared" ref="AC114:BA114" si="54">1.03*S114</f>
        <v>46963.452047154336</v>
      </c>
      <c r="AD114" s="35">
        <f t="shared" si="54"/>
        <v>46963.452047154336</v>
      </c>
      <c r="AE114" s="35">
        <f t="shared" si="54"/>
        <v>46963.452047154336</v>
      </c>
      <c r="AF114" s="35">
        <f t="shared" si="54"/>
        <v>46963.452047154336</v>
      </c>
      <c r="AG114" s="35">
        <f t="shared" si="54"/>
        <v>46963.452047154336</v>
      </c>
      <c r="AH114" s="35">
        <f t="shared" si="54"/>
        <v>46963.452047154336</v>
      </c>
      <c r="AI114" s="35">
        <f t="shared" si="54"/>
        <v>46963.452047154336</v>
      </c>
      <c r="AJ114" s="35">
        <f t="shared" si="54"/>
        <v>48372.355608568971</v>
      </c>
      <c r="AK114" s="35">
        <f t="shared" si="54"/>
        <v>48372.355608568971</v>
      </c>
      <c r="AL114" s="35">
        <f t="shared" si="54"/>
        <v>48372.355608568971</v>
      </c>
      <c r="AM114" s="35">
        <f t="shared" si="54"/>
        <v>48372.355608568971</v>
      </c>
      <c r="AN114" s="35">
        <f t="shared" si="54"/>
        <v>48372.355608568971</v>
      </c>
      <c r="AO114" s="35">
        <f t="shared" si="54"/>
        <v>48372.355608568971</v>
      </c>
      <c r="AP114" s="35">
        <f t="shared" si="54"/>
        <v>48372.355608568971</v>
      </c>
      <c r="AQ114" s="35">
        <f t="shared" si="54"/>
        <v>48372.355608568971</v>
      </c>
      <c r="AR114" s="35">
        <f t="shared" si="54"/>
        <v>48372.355608568971</v>
      </c>
      <c r="AS114" s="35">
        <f t="shared" si="54"/>
        <v>48372.355608568971</v>
      </c>
      <c r="AT114" s="35">
        <f t="shared" si="54"/>
        <v>49823.526276826044</v>
      </c>
      <c r="AU114" s="35">
        <f t="shared" si="54"/>
        <v>49823.526276826044</v>
      </c>
      <c r="AV114" s="35">
        <f t="shared" si="54"/>
        <v>49823.526276826044</v>
      </c>
      <c r="AW114" s="35">
        <f t="shared" si="54"/>
        <v>49823.526276826044</v>
      </c>
      <c r="AX114" s="35">
        <f t="shared" si="54"/>
        <v>49823.526276826044</v>
      </c>
      <c r="AY114" s="35">
        <f t="shared" si="54"/>
        <v>49823.526276826044</v>
      </c>
      <c r="AZ114" s="35">
        <f t="shared" si="54"/>
        <v>49823.526276826044</v>
      </c>
      <c r="BA114" s="35">
        <f t="shared" si="54"/>
        <v>49823.526276826044</v>
      </c>
    </row>
    <row r="116" spans="2:53" x14ac:dyDescent="0.35">
      <c r="B116" s="3" t="s">
        <v>98</v>
      </c>
    </row>
    <row r="117" spans="2:53" x14ac:dyDescent="0.35">
      <c r="C117" t="s">
        <v>99</v>
      </c>
      <c r="D117" s="43">
        <v>0</v>
      </c>
      <c r="E117" s="43">
        <v>3788.1499999999996</v>
      </c>
      <c r="F117" s="43">
        <v>962.74</v>
      </c>
      <c r="G117" s="43">
        <v>3982.2700000000004</v>
      </c>
      <c r="H117" s="43">
        <v>5002.75</v>
      </c>
      <c r="I117" s="43">
        <v>4117.8599999999997</v>
      </c>
      <c r="J117" s="43">
        <v>13799.41</v>
      </c>
      <c r="K117" s="43">
        <v>19037.690000000002</v>
      </c>
      <c r="L117" s="43">
        <v>26325.989999999998</v>
      </c>
      <c r="M117" s="43">
        <v>30000</v>
      </c>
      <c r="N117" s="43">
        <v>30000</v>
      </c>
      <c r="O117" s="43">
        <v>30000</v>
      </c>
      <c r="P117" s="43">
        <v>20000</v>
      </c>
      <c r="Q117" s="43">
        <v>20000</v>
      </c>
      <c r="R117" s="43">
        <v>20000</v>
      </c>
    </row>
    <row r="118" spans="2:53" x14ac:dyDescent="0.35">
      <c r="C118" t="s">
        <v>100</v>
      </c>
      <c r="D118" s="43">
        <v>0</v>
      </c>
      <c r="E118" s="43">
        <v>0</v>
      </c>
      <c r="F118" s="43">
        <v>0</v>
      </c>
      <c r="G118" s="43">
        <v>5000</v>
      </c>
      <c r="H118" s="43">
        <v>1170</v>
      </c>
      <c r="I118" s="43">
        <v>4090.8900000000008</v>
      </c>
      <c r="J118" s="43">
        <v>29338.47</v>
      </c>
      <c r="K118" s="43">
        <v>6786.0899999999992</v>
      </c>
      <c r="L118" s="43">
        <v>28838.86</v>
      </c>
      <c r="M118" s="43">
        <v>10000</v>
      </c>
      <c r="N118" s="43">
        <v>10000</v>
      </c>
      <c r="O118" s="43">
        <v>10000</v>
      </c>
      <c r="P118" s="43">
        <v>15000</v>
      </c>
      <c r="Q118" s="43">
        <v>15000</v>
      </c>
      <c r="R118" s="43">
        <v>15000</v>
      </c>
    </row>
    <row r="119" spans="2:53" x14ac:dyDescent="0.35">
      <c r="C119" t="s">
        <v>101</v>
      </c>
      <c r="D119" s="43">
        <v>0</v>
      </c>
      <c r="E119" s="43">
        <v>0</v>
      </c>
      <c r="F119" s="43">
        <v>0</v>
      </c>
      <c r="G119" s="43">
        <v>0</v>
      </c>
      <c r="H119" s="43">
        <v>0</v>
      </c>
      <c r="I119" s="43">
        <v>0</v>
      </c>
      <c r="J119" s="43">
        <v>1157.44</v>
      </c>
      <c r="K119" s="43">
        <v>445.86</v>
      </c>
      <c r="L119" s="43">
        <v>1990.3500000000001</v>
      </c>
      <c r="M119" s="43">
        <v>10000</v>
      </c>
      <c r="N119" s="43">
        <v>70000</v>
      </c>
    </row>
    <row r="120" spans="2:53" x14ac:dyDescent="0.35">
      <c r="C120" t="s">
        <v>102</v>
      </c>
      <c r="D120" s="43">
        <v>0</v>
      </c>
      <c r="E120" s="43">
        <v>0</v>
      </c>
      <c r="F120" s="43">
        <v>0</v>
      </c>
      <c r="G120" s="43">
        <v>0</v>
      </c>
      <c r="H120" s="43">
        <v>0</v>
      </c>
      <c r="I120" s="43">
        <v>0</v>
      </c>
      <c r="J120" s="43">
        <v>26269.46</v>
      </c>
      <c r="K120" s="43">
        <v>44647.41</v>
      </c>
      <c r="L120" s="43">
        <v>61685.740000000005</v>
      </c>
      <c r="M120" s="35">
        <f t="shared" ref="M120:R120" si="55">SUM(M103:M108)</f>
        <v>142526.12916666665</v>
      </c>
      <c r="N120" s="35">
        <f t="shared" si="55"/>
        <v>340425.81280701753</v>
      </c>
      <c r="O120" s="35">
        <f t="shared" si="55"/>
        <v>340425.81280701753</v>
      </c>
      <c r="P120" s="35">
        <f t="shared" si="55"/>
        <v>282473.82147435896</v>
      </c>
      <c r="Q120" s="35">
        <f t="shared" si="55"/>
        <v>228046.74889487179</v>
      </c>
      <c r="R120" s="35">
        <f t="shared" si="55"/>
        <v>282179.658368556</v>
      </c>
    </row>
    <row r="121" spans="2:53" x14ac:dyDescent="0.35">
      <c r="C121" t="s">
        <v>103</v>
      </c>
      <c r="D121" s="43">
        <v>0</v>
      </c>
      <c r="E121" s="43">
        <v>0</v>
      </c>
      <c r="F121" s="43">
        <v>0</v>
      </c>
      <c r="G121" s="43">
        <v>0</v>
      </c>
      <c r="H121" s="43">
        <v>0</v>
      </c>
      <c r="I121" s="43">
        <v>0</v>
      </c>
      <c r="J121" s="43">
        <v>0</v>
      </c>
      <c r="K121" s="43">
        <v>0</v>
      </c>
      <c r="L121" s="43">
        <v>10252.289999999999</v>
      </c>
      <c r="M121" s="43">
        <v>10000</v>
      </c>
      <c r="N121" s="43">
        <v>10000</v>
      </c>
      <c r="O121" s="43">
        <v>10000</v>
      </c>
      <c r="P121" s="43">
        <v>40000</v>
      </c>
      <c r="Q121" s="43">
        <v>40000</v>
      </c>
      <c r="R121" s="43">
        <v>40000</v>
      </c>
    </row>
    <row r="122" spans="2:53" x14ac:dyDescent="0.35">
      <c r="D122" s="43"/>
      <c r="E122" s="43"/>
      <c r="F122" s="43"/>
      <c r="G122" s="43"/>
      <c r="H122" s="43"/>
      <c r="I122" s="43"/>
      <c r="J122" s="43"/>
      <c r="K122" s="43"/>
      <c r="L122" s="43"/>
      <c r="M122" s="43"/>
      <c r="N122" s="43"/>
      <c r="O122" s="43"/>
      <c r="P122" s="43"/>
      <c r="Q122" s="43"/>
      <c r="R122" s="43"/>
    </row>
    <row r="123" spans="2:53" x14ac:dyDescent="0.35">
      <c r="C123" t="s">
        <v>104</v>
      </c>
      <c r="D123" s="43"/>
      <c r="E123" s="43"/>
      <c r="F123" s="43"/>
      <c r="G123" s="43"/>
      <c r="H123" s="43"/>
      <c r="I123" s="43"/>
      <c r="J123" s="43"/>
      <c r="K123" s="43"/>
      <c r="L123" s="43"/>
      <c r="M123" s="43"/>
      <c r="N123" s="43"/>
      <c r="O123" s="43"/>
      <c r="P123" s="43"/>
      <c r="Q123" s="43"/>
      <c r="R123" s="43"/>
      <c r="S123" s="35">
        <f>-S221</f>
        <v>448966.76022507646</v>
      </c>
      <c r="T123" s="35">
        <f>-T221</f>
        <v>294983.72127137339</v>
      </c>
      <c r="U123" s="35">
        <f>-U221</f>
        <v>163170.6415929622</v>
      </c>
      <c r="V123" s="35">
        <f>-V221</f>
        <v>101653.12610956025</v>
      </c>
      <c r="W123" s="35"/>
      <c r="X123" s="35"/>
    </row>
    <row r="125" spans="2:53" x14ac:dyDescent="0.35">
      <c r="B125" s="3" t="s">
        <v>105</v>
      </c>
    </row>
    <row r="126" spans="2:53" x14ac:dyDescent="0.35">
      <c r="B126" s="44">
        <v>275000</v>
      </c>
      <c r="C126" t="s">
        <v>29</v>
      </c>
      <c r="P126" s="35">
        <f t="shared" ref="P126:BA126" si="56">(P76-O76)</f>
        <v>0</v>
      </c>
      <c r="Q126" s="35">
        <f t="shared" si="56"/>
        <v>0</v>
      </c>
      <c r="R126" s="35">
        <f t="shared" si="56"/>
        <v>0</v>
      </c>
      <c r="S126" s="35">
        <f t="shared" si="56"/>
        <v>0</v>
      </c>
      <c r="T126" s="35">
        <f t="shared" si="56"/>
        <v>0</v>
      </c>
      <c r="U126" s="35">
        <f t="shared" si="56"/>
        <v>0</v>
      </c>
      <c r="V126" s="35">
        <f t="shared" si="56"/>
        <v>0</v>
      </c>
      <c r="W126" s="35">
        <f t="shared" si="56"/>
        <v>0</v>
      </c>
      <c r="X126" s="35">
        <f t="shared" si="56"/>
        <v>0</v>
      </c>
      <c r="Y126" s="35">
        <f t="shared" si="56"/>
        <v>0</v>
      </c>
      <c r="Z126" s="35">
        <f t="shared" si="56"/>
        <v>0</v>
      </c>
      <c r="AA126" s="35">
        <f t="shared" si="56"/>
        <v>0</v>
      </c>
      <c r="AB126" s="35">
        <f t="shared" si="56"/>
        <v>0</v>
      </c>
      <c r="AC126" s="35">
        <f t="shared" si="56"/>
        <v>0</v>
      </c>
      <c r="AD126" s="35">
        <f t="shared" si="56"/>
        <v>0</v>
      </c>
      <c r="AE126" s="35">
        <f t="shared" si="56"/>
        <v>0</v>
      </c>
      <c r="AF126" s="35">
        <f t="shared" si="56"/>
        <v>0</v>
      </c>
      <c r="AG126" s="35">
        <f t="shared" si="56"/>
        <v>0</v>
      </c>
      <c r="AH126" s="35">
        <f t="shared" si="56"/>
        <v>0</v>
      </c>
      <c r="AI126" s="35">
        <f t="shared" si="56"/>
        <v>1</v>
      </c>
      <c r="AJ126" s="35">
        <f t="shared" si="56"/>
        <v>0</v>
      </c>
      <c r="AK126" s="35">
        <f t="shared" si="56"/>
        <v>1</v>
      </c>
      <c r="AL126" s="35">
        <f t="shared" si="56"/>
        <v>0</v>
      </c>
      <c r="AM126" s="35">
        <f t="shared" si="56"/>
        <v>0</v>
      </c>
      <c r="AN126" s="35">
        <f t="shared" si="56"/>
        <v>0</v>
      </c>
      <c r="AO126" s="35">
        <f t="shared" si="56"/>
        <v>0</v>
      </c>
      <c r="AP126" s="35">
        <f t="shared" si="56"/>
        <v>0</v>
      </c>
      <c r="AQ126" s="35">
        <f t="shared" si="56"/>
        <v>0</v>
      </c>
      <c r="AR126" s="35">
        <f t="shared" si="56"/>
        <v>0</v>
      </c>
      <c r="AS126" s="35">
        <f t="shared" si="56"/>
        <v>0</v>
      </c>
      <c r="AT126" s="35">
        <f t="shared" si="56"/>
        <v>0</v>
      </c>
      <c r="AU126" s="35">
        <f t="shared" si="56"/>
        <v>0</v>
      </c>
      <c r="AV126" s="35">
        <f t="shared" si="56"/>
        <v>0</v>
      </c>
      <c r="AW126" s="35">
        <f t="shared" si="56"/>
        <v>0</v>
      </c>
      <c r="AX126" s="35">
        <f t="shared" si="56"/>
        <v>0</v>
      </c>
      <c r="AY126" s="35">
        <f t="shared" si="56"/>
        <v>0</v>
      </c>
      <c r="AZ126" s="35">
        <f t="shared" si="56"/>
        <v>0</v>
      </c>
      <c r="BA126" s="35">
        <f t="shared" si="56"/>
        <v>0</v>
      </c>
    </row>
    <row r="127" spans="2:53" x14ac:dyDescent="0.35">
      <c r="B127" s="44">
        <v>60000</v>
      </c>
      <c r="C127" t="s">
        <v>28</v>
      </c>
      <c r="P127" s="35">
        <f t="shared" ref="P127:BA127" si="57">P88-O88</f>
        <v>0</v>
      </c>
      <c r="Q127" s="35">
        <f t="shared" si="57"/>
        <v>0</v>
      </c>
      <c r="R127" s="35">
        <f t="shared" si="57"/>
        <v>0</v>
      </c>
      <c r="S127" s="35">
        <f t="shared" si="57"/>
        <v>0</v>
      </c>
      <c r="T127" s="35">
        <f t="shared" si="57"/>
        <v>0</v>
      </c>
      <c r="U127" s="35">
        <f t="shared" si="57"/>
        <v>0</v>
      </c>
      <c r="V127" s="35">
        <f t="shared" si="57"/>
        <v>0</v>
      </c>
      <c r="W127" s="35">
        <f t="shared" si="57"/>
        <v>0</v>
      </c>
      <c r="X127" s="35">
        <f t="shared" si="57"/>
        <v>1</v>
      </c>
      <c r="Y127" s="35">
        <f t="shared" si="57"/>
        <v>0</v>
      </c>
      <c r="Z127" s="35">
        <f t="shared" si="57"/>
        <v>0</v>
      </c>
      <c r="AA127" s="35">
        <f t="shared" si="57"/>
        <v>0</v>
      </c>
      <c r="AB127" s="35">
        <f t="shared" si="57"/>
        <v>0</v>
      </c>
      <c r="AC127" s="35">
        <f t="shared" si="57"/>
        <v>0</v>
      </c>
      <c r="AD127" s="35">
        <f t="shared" si="57"/>
        <v>0</v>
      </c>
      <c r="AE127" s="35">
        <f t="shared" si="57"/>
        <v>0</v>
      </c>
      <c r="AF127" s="35">
        <f t="shared" si="57"/>
        <v>0</v>
      </c>
      <c r="AG127" s="35">
        <f t="shared" si="57"/>
        <v>0</v>
      </c>
      <c r="AH127" s="35">
        <f t="shared" si="57"/>
        <v>0</v>
      </c>
      <c r="AI127" s="35">
        <f t="shared" si="57"/>
        <v>0</v>
      </c>
      <c r="AJ127" s="35">
        <f t="shared" si="57"/>
        <v>0</v>
      </c>
      <c r="AK127" s="35">
        <f t="shared" si="57"/>
        <v>0</v>
      </c>
      <c r="AL127" s="35">
        <f t="shared" si="57"/>
        <v>0</v>
      </c>
      <c r="AM127" s="35">
        <f t="shared" si="57"/>
        <v>0</v>
      </c>
      <c r="AN127" s="35">
        <f t="shared" si="57"/>
        <v>0</v>
      </c>
      <c r="AO127" s="35">
        <f t="shared" si="57"/>
        <v>0</v>
      </c>
      <c r="AP127" s="35">
        <f t="shared" si="57"/>
        <v>0</v>
      </c>
      <c r="AQ127" s="35">
        <f t="shared" si="57"/>
        <v>0</v>
      </c>
      <c r="AR127" s="35">
        <f t="shared" si="57"/>
        <v>0</v>
      </c>
      <c r="AS127" s="35">
        <f t="shared" si="57"/>
        <v>0</v>
      </c>
      <c r="AT127" s="35">
        <f t="shared" si="57"/>
        <v>0</v>
      </c>
      <c r="AU127" s="35">
        <f t="shared" si="57"/>
        <v>0</v>
      </c>
      <c r="AV127" s="35">
        <f t="shared" si="57"/>
        <v>0</v>
      </c>
      <c r="AW127" s="35">
        <f t="shared" si="57"/>
        <v>0</v>
      </c>
      <c r="AX127" s="35">
        <f t="shared" si="57"/>
        <v>0</v>
      </c>
      <c r="AY127" s="35">
        <f t="shared" si="57"/>
        <v>0</v>
      </c>
      <c r="AZ127" s="35">
        <f t="shared" si="57"/>
        <v>0</v>
      </c>
      <c r="BA127" s="35">
        <f t="shared" si="57"/>
        <v>0</v>
      </c>
    </row>
    <row r="128" spans="2:53" x14ac:dyDescent="0.35">
      <c r="B128" s="44">
        <v>30000</v>
      </c>
      <c r="C128" t="s">
        <v>106</v>
      </c>
      <c r="P128" s="36">
        <f>IF(AND(SUM(P126:P127)&gt;0,SUM($O128:O128)=0),1,0)</f>
        <v>0</v>
      </c>
      <c r="Q128" s="36">
        <f>IF(AND(SUM(Q126:Q127)&gt;0,SUM($O128:P128)=0),1,0)</f>
        <v>0</v>
      </c>
      <c r="R128" s="36">
        <f>IF(AND(SUM(R126:R127)&gt;0,SUM($O128:Q128)=0),1,0)</f>
        <v>0</v>
      </c>
      <c r="S128" s="36">
        <f>IF(AND(SUM(S126:S127)&gt;0,SUM($O128:R128)=0),1,0)</f>
        <v>0</v>
      </c>
      <c r="T128" s="36">
        <f>IF(AND(SUM(T126:T127)&gt;0,SUM($O128:S128)=0),1,0)</f>
        <v>0</v>
      </c>
      <c r="U128" s="36">
        <f>IF(AND(SUM(U126:U127)&gt;0,SUM($O128:T128)=0),1,0)</f>
        <v>0</v>
      </c>
      <c r="V128" s="36">
        <f>IF(AND(SUM(V126:V127)&gt;0,SUM($O128:U128)=0),1,0)</f>
        <v>0</v>
      </c>
      <c r="W128" s="36">
        <f>IF(AND(SUM(W126:W127)&gt;0,SUM($O128:V128)=0),1,0)</f>
        <v>0</v>
      </c>
      <c r="X128" s="36">
        <f>IF(AND(SUM(X126:X127)&gt;0,SUM($O128:W128)=0),1,0)</f>
        <v>1</v>
      </c>
      <c r="Y128" s="36">
        <f>IF(AND(SUM(Y126:Y127)&gt;0,SUM($O128:X128)=0),1,0)</f>
        <v>0</v>
      </c>
      <c r="Z128" s="36">
        <f>IF(AND(SUM(Z126:Z127)&gt;0,SUM($O128:Y128)=0),1,0)</f>
        <v>0</v>
      </c>
      <c r="AA128" s="36">
        <f>IF(AND(SUM(AA126:AA127)&gt;0,SUM($O128:Z128)=0),1,0)</f>
        <v>0</v>
      </c>
      <c r="AB128" s="36">
        <f>IF(AND(SUM(AB126:AB127)&gt;0,SUM($O128:AA128)=0),1,0)</f>
        <v>0</v>
      </c>
      <c r="AC128" s="36">
        <f>IF(AND(SUM(AC126:AC127)&gt;0,SUM($O128:AB128)=0),1,0)</f>
        <v>0</v>
      </c>
      <c r="AD128" s="36">
        <f>IF(AND(SUM(AD126:AD127)&gt;0,SUM($O128:AC128)=0),1,0)</f>
        <v>0</v>
      </c>
      <c r="AE128" s="36">
        <f>IF(AND(SUM(AE126:AE127)&gt;0,SUM($O128:AD128)=0),1,0)</f>
        <v>0</v>
      </c>
      <c r="AF128" s="36">
        <f>IF(AND(SUM(AF126:AF127)&gt;0,SUM($O128:AE128)=0),1,0)</f>
        <v>0</v>
      </c>
      <c r="AG128" s="36">
        <f>IF(AND(SUM(AG126:AG127)&gt;0,SUM($O128:AF128)=0),1,0)</f>
        <v>0</v>
      </c>
      <c r="AH128" s="36">
        <f>IF(AND(SUM(AH126:AH127)&gt;0,SUM($O128:AG128)=0),1,0)</f>
        <v>0</v>
      </c>
      <c r="AI128" s="36">
        <f>IF(AND(SUM(AI126:AI127)&gt;0,SUM($O128:AH128)=0),1,0)</f>
        <v>0</v>
      </c>
      <c r="AJ128" s="36">
        <f>IF(AND(SUM(AJ126:AJ127)&gt;0,SUM($O128:AI128)=0),1,0)</f>
        <v>0</v>
      </c>
      <c r="AK128" s="36">
        <f>IF(AND(SUM(AK126:AK127)&gt;0,SUM($O128:AJ128)=0),1,0)</f>
        <v>0</v>
      </c>
      <c r="AL128" s="36">
        <f>IF(AND(SUM(AL126:AL127)&gt;0,SUM($O128:AK128)=0),1,0)</f>
        <v>0</v>
      </c>
      <c r="AM128" s="36">
        <f>IF(AND(SUM(AM126:AM127)&gt;0,SUM($O128:AL128)=0),1,0)</f>
        <v>0</v>
      </c>
      <c r="AN128" s="36">
        <f>IF(AND(SUM(AN126:AN127)&gt;0,SUM($O128:AM128)=0),1,0)</f>
        <v>0</v>
      </c>
      <c r="AO128" s="36">
        <f>IF(AND(SUM(AO126:AO127)&gt;0,SUM($O128:AN128)=0),1,0)</f>
        <v>0</v>
      </c>
      <c r="AP128" s="36">
        <f>IF(AND(SUM(AP126:AP127)&gt;0,SUM($O128:AO128)=0),1,0)</f>
        <v>0</v>
      </c>
      <c r="AQ128" s="36">
        <f>IF(AND(SUM(AQ126:AQ127)&gt;0,SUM($O128:AP128)=0),1,0)</f>
        <v>0</v>
      </c>
      <c r="AR128" s="36">
        <f>IF(AND(SUM(AR126:AR127)&gt;0,SUM($O128:AQ128)=0),1,0)</f>
        <v>0</v>
      </c>
      <c r="AS128" s="36">
        <f>IF(AND(SUM(AS126:AS127)&gt;0,SUM($O128:AR128)=0),1,0)</f>
        <v>0</v>
      </c>
      <c r="AT128" s="36">
        <f>IF(AND(SUM(AT126:AT127)&gt;0,SUM($O128:AS128)=0),1,0)</f>
        <v>0</v>
      </c>
      <c r="AU128" s="36">
        <f>IF(AND(SUM(AU126:AU127)&gt;0,SUM($O128:AT128)=0),1,0)</f>
        <v>0</v>
      </c>
      <c r="AV128" s="36">
        <f>IF(AND(SUM(AV126:AV127)&gt;0,SUM($O128:AU128)=0),1,0)</f>
        <v>0</v>
      </c>
      <c r="AW128" s="36">
        <f>IF(AND(SUM(AW126:AW127)&gt;0,SUM($O128:AV128)=0),1,0)</f>
        <v>0</v>
      </c>
      <c r="AX128" s="36">
        <f>IF(AND(SUM(AX126:AX127)&gt;0,SUM($O128:AW128)=0),1,0)</f>
        <v>0</v>
      </c>
      <c r="AY128" s="36">
        <f>IF(AND(SUM(AY126:AY127)&gt;0,SUM($O128:AX128)=0),1,0)</f>
        <v>0</v>
      </c>
      <c r="AZ128" s="36">
        <f>IF(AND(SUM(AZ126:AZ127)&gt;0,SUM($O128:AY128)=0),1,0)</f>
        <v>0</v>
      </c>
      <c r="BA128" s="36">
        <f>IF(AND(SUM(BA126:BA127)&gt;0,SUM($O128:AZ128)=0),1,0)</f>
        <v>0</v>
      </c>
    </row>
    <row r="130" spans="2:53" x14ac:dyDescent="0.35">
      <c r="C130" t="s">
        <v>107</v>
      </c>
      <c r="P130" s="44"/>
      <c r="Q130" s="44"/>
      <c r="R130" s="44">
        <v>2000</v>
      </c>
      <c r="S130" s="44">
        <v>2000</v>
      </c>
      <c r="T130" s="44">
        <v>2000</v>
      </c>
      <c r="U130" s="44">
        <v>2000</v>
      </c>
      <c r="V130" s="44">
        <v>2000</v>
      </c>
      <c r="W130" s="44">
        <v>2000</v>
      </c>
      <c r="X130" s="44">
        <v>2000</v>
      </c>
      <c r="Y130" s="44">
        <v>2000</v>
      </c>
      <c r="Z130" s="44">
        <v>2000</v>
      </c>
      <c r="AA130" s="44">
        <v>2000</v>
      </c>
      <c r="AB130" s="44">
        <v>5000</v>
      </c>
      <c r="AC130" s="44">
        <v>5000</v>
      </c>
      <c r="AD130" s="44">
        <v>5000</v>
      </c>
      <c r="AE130" s="44">
        <v>5000</v>
      </c>
      <c r="AF130" s="44">
        <v>5000</v>
      </c>
      <c r="AG130" s="44">
        <v>5000</v>
      </c>
      <c r="AH130" s="44">
        <v>5000</v>
      </c>
      <c r="AI130" s="44">
        <v>5000</v>
      </c>
      <c r="AJ130" s="44">
        <v>5000</v>
      </c>
      <c r="AK130" s="44">
        <v>5000</v>
      </c>
      <c r="AL130" s="44">
        <v>5000</v>
      </c>
      <c r="AM130" s="44">
        <v>5000</v>
      </c>
      <c r="AN130" s="44">
        <v>7500</v>
      </c>
      <c r="AO130" s="44">
        <v>7500</v>
      </c>
      <c r="AP130" s="44">
        <v>7500</v>
      </c>
      <c r="AQ130" s="44">
        <v>7500</v>
      </c>
      <c r="AR130" s="44">
        <v>7500</v>
      </c>
      <c r="AS130" s="44">
        <v>7500</v>
      </c>
      <c r="AT130" s="44">
        <v>7500</v>
      </c>
      <c r="AU130" s="44">
        <v>7500</v>
      </c>
      <c r="AV130" s="44">
        <v>7500</v>
      </c>
      <c r="AW130" s="44">
        <v>7500</v>
      </c>
      <c r="AX130" s="44">
        <v>7500</v>
      </c>
      <c r="AY130" s="44">
        <v>7500</v>
      </c>
      <c r="AZ130" s="44">
        <v>10000</v>
      </c>
      <c r="BA130" s="44">
        <v>10000</v>
      </c>
    </row>
    <row r="131" spans="2:53" x14ac:dyDescent="0.35">
      <c r="C131" t="s">
        <v>108</v>
      </c>
      <c r="P131" s="44"/>
      <c r="Q131" s="44"/>
      <c r="R131" s="44"/>
      <c r="S131" s="44">
        <f>100000+150000+60000</f>
        <v>310000</v>
      </c>
      <c r="T131" s="44"/>
      <c r="U131" s="44">
        <v>100000</v>
      </c>
      <c r="V131" s="44"/>
      <c r="W131" s="44"/>
      <c r="X131" s="44"/>
      <c r="Y131" s="44"/>
      <c r="Z131" s="44"/>
      <c r="AA131" s="44"/>
      <c r="AB131" s="44"/>
      <c r="AC131" s="44"/>
      <c r="AD131" s="44"/>
      <c r="AE131" s="44"/>
      <c r="AF131" s="44"/>
      <c r="AG131" s="44"/>
      <c r="AH131" s="44"/>
      <c r="AI131" s="44"/>
      <c r="AJ131" s="44"/>
      <c r="AK131" s="44">
        <f>1250000/3</f>
        <v>416666.66666666669</v>
      </c>
      <c r="AL131" s="44">
        <f>AK131</f>
        <v>416666.66666666669</v>
      </c>
      <c r="AM131" s="44">
        <f>AL131</f>
        <v>416666.66666666669</v>
      </c>
      <c r="AN131" s="44"/>
      <c r="AO131" s="44"/>
      <c r="AP131" s="44"/>
      <c r="AQ131" s="44"/>
      <c r="AR131" s="44"/>
      <c r="AS131" s="44"/>
      <c r="AT131" s="44"/>
      <c r="AU131" s="44"/>
      <c r="AV131" s="44"/>
      <c r="AW131" s="44"/>
      <c r="AX131" s="44"/>
      <c r="AY131" s="44"/>
      <c r="AZ131" s="44"/>
      <c r="BA131" s="44"/>
    </row>
    <row r="133" spans="2:53" x14ac:dyDescent="0.35">
      <c r="B133" s="55">
        <f>1-B134</f>
        <v>0.5</v>
      </c>
      <c r="C133" t="s">
        <v>109</v>
      </c>
      <c r="N133" s="35">
        <f>SUMPRODUCT(N126:N128,$B$126:$B$128)*$B133</f>
        <v>0</v>
      </c>
      <c r="O133" s="35">
        <f>SUMPRODUCT(O126:O128,$B$126:$B$128)*$B133</f>
        <v>0</v>
      </c>
      <c r="P133" s="35">
        <f>SUMPRODUCT(P126:P128,$B$126:$B$128)*$B133</f>
        <v>0</v>
      </c>
      <c r="Q133" s="35">
        <f t="shared" ref="Q133:AY133" si="58">SUMPRODUCT(Q126:Q128,$B$126:$B$128)*$B133</f>
        <v>0</v>
      </c>
      <c r="R133" s="35">
        <f t="shared" si="58"/>
        <v>0</v>
      </c>
      <c r="S133" s="35">
        <f t="shared" si="58"/>
        <v>0</v>
      </c>
      <c r="T133" s="35">
        <f t="shared" si="58"/>
        <v>0</v>
      </c>
      <c r="U133" s="35">
        <f t="shared" si="58"/>
        <v>0</v>
      </c>
      <c r="V133" s="35">
        <f t="shared" si="58"/>
        <v>0</v>
      </c>
      <c r="W133" s="35">
        <f t="shared" si="58"/>
        <v>0</v>
      </c>
      <c r="X133" s="35">
        <f t="shared" si="58"/>
        <v>45000</v>
      </c>
      <c r="Y133" s="35">
        <f t="shared" si="58"/>
        <v>0</v>
      </c>
      <c r="Z133" s="35">
        <f t="shared" si="58"/>
        <v>0</v>
      </c>
      <c r="AA133" s="35">
        <f t="shared" si="58"/>
        <v>0</v>
      </c>
      <c r="AB133" s="35">
        <f t="shared" si="58"/>
        <v>0</v>
      </c>
      <c r="AC133" s="35">
        <f t="shared" si="58"/>
        <v>0</v>
      </c>
      <c r="AD133" s="35">
        <f t="shared" si="58"/>
        <v>0</v>
      </c>
      <c r="AE133" s="35">
        <f t="shared" si="58"/>
        <v>0</v>
      </c>
      <c r="AF133" s="35">
        <f t="shared" si="58"/>
        <v>0</v>
      </c>
      <c r="AG133" s="35">
        <f t="shared" si="58"/>
        <v>0</v>
      </c>
      <c r="AH133" s="35">
        <f t="shared" si="58"/>
        <v>0</v>
      </c>
      <c r="AI133" s="35">
        <f t="shared" si="58"/>
        <v>137500</v>
      </c>
      <c r="AJ133" s="35">
        <f t="shared" si="58"/>
        <v>0</v>
      </c>
      <c r="AK133" s="35">
        <f t="shared" si="58"/>
        <v>137500</v>
      </c>
      <c r="AL133" s="35">
        <f t="shared" si="58"/>
        <v>0</v>
      </c>
      <c r="AM133" s="35">
        <f t="shared" si="58"/>
        <v>0</v>
      </c>
      <c r="AN133" s="35">
        <f t="shared" si="58"/>
        <v>0</v>
      </c>
      <c r="AO133" s="35">
        <f t="shared" si="58"/>
        <v>0</v>
      </c>
      <c r="AP133" s="35">
        <f t="shared" si="58"/>
        <v>0</v>
      </c>
      <c r="AQ133" s="35">
        <f t="shared" si="58"/>
        <v>0</v>
      </c>
      <c r="AR133" s="35">
        <f t="shared" si="58"/>
        <v>0</v>
      </c>
      <c r="AS133" s="35">
        <f t="shared" si="58"/>
        <v>0</v>
      </c>
      <c r="AT133" s="35">
        <f t="shared" si="58"/>
        <v>0</v>
      </c>
      <c r="AU133" s="35">
        <f t="shared" si="58"/>
        <v>0</v>
      </c>
      <c r="AV133" s="35">
        <f t="shared" si="58"/>
        <v>0</v>
      </c>
      <c r="AW133" s="35">
        <f t="shared" si="58"/>
        <v>0</v>
      </c>
      <c r="AX133" s="35">
        <f t="shared" si="58"/>
        <v>0</v>
      </c>
      <c r="AY133" s="35">
        <f t="shared" si="58"/>
        <v>0</v>
      </c>
      <c r="AZ133" s="35">
        <f>SUMPRODUCT(AZ126:AZ128,$B$126:$B$128)*$B133</f>
        <v>0</v>
      </c>
      <c r="BA133" s="35">
        <f>SUMPRODUCT(BA126:BA128,$B$126:$B$128)*$B133</f>
        <v>0</v>
      </c>
    </row>
    <row r="134" spans="2:53" x14ac:dyDescent="0.35">
      <c r="B134" s="45">
        <v>0.5</v>
      </c>
      <c r="C134" t="s">
        <v>110</v>
      </c>
      <c r="N134" s="35">
        <f>SUMPRODUCT(Q126:Q128,$B$126:$B$128)*$B134</f>
        <v>0</v>
      </c>
      <c r="O134" s="35">
        <f t="shared" ref="O134:BA134" si="59">SUMPRODUCT(R126:R128,$B$126:$B$128)*$B134</f>
        <v>0</v>
      </c>
      <c r="P134" s="35">
        <f t="shared" si="59"/>
        <v>0</v>
      </c>
      <c r="Q134" s="35">
        <f t="shared" si="59"/>
        <v>0</v>
      </c>
      <c r="R134" s="35">
        <f t="shared" si="59"/>
        <v>0</v>
      </c>
      <c r="S134" s="35">
        <f t="shared" si="59"/>
        <v>0</v>
      </c>
      <c r="T134" s="35">
        <f t="shared" si="59"/>
        <v>0</v>
      </c>
      <c r="U134" s="35">
        <f t="shared" si="59"/>
        <v>45000</v>
      </c>
      <c r="V134" s="35">
        <f t="shared" si="59"/>
        <v>0</v>
      </c>
      <c r="W134" s="35">
        <f t="shared" si="59"/>
        <v>0</v>
      </c>
      <c r="X134" s="35">
        <f t="shared" si="59"/>
        <v>0</v>
      </c>
      <c r="Y134" s="35">
        <f t="shared" si="59"/>
        <v>0</v>
      </c>
      <c r="Z134" s="35">
        <f t="shared" si="59"/>
        <v>0</v>
      </c>
      <c r="AA134" s="35">
        <f t="shared" si="59"/>
        <v>0</v>
      </c>
      <c r="AB134" s="35">
        <f t="shared" si="59"/>
        <v>0</v>
      </c>
      <c r="AC134" s="35">
        <f t="shared" si="59"/>
        <v>0</v>
      </c>
      <c r="AD134" s="35">
        <f t="shared" si="59"/>
        <v>0</v>
      </c>
      <c r="AE134" s="35">
        <f t="shared" si="59"/>
        <v>0</v>
      </c>
      <c r="AF134" s="35">
        <f t="shared" si="59"/>
        <v>137500</v>
      </c>
      <c r="AG134" s="35">
        <f t="shared" si="59"/>
        <v>0</v>
      </c>
      <c r="AH134" s="35">
        <f t="shared" si="59"/>
        <v>137500</v>
      </c>
      <c r="AI134" s="35">
        <f t="shared" si="59"/>
        <v>0</v>
      </c>
      <c r="AJ134" s="35">
        <f t="shared" si="59"/>
        <v>0</v>
      </c>
      <c r="AK134" s="35">
        <f t="shared" si="59"/>
        <v>0</v>
      </c>
      <c r="AL134" s="35">
        <f t="shared" si="59"/>
        <v>0</v>
      </c>
      <c r="AM134" s="35">
        <f t="shared" si="59"/>
        <v>0</v>
      </c>
      <c r="AN134" s="35">
        <f t="shared" si="59"/>
        <v>0</v>
      </c>
      <c r="AO134" s="35">
        <f t="shared" si="59"/>
        <v>0</v>
      </c>
      <c r="AP134" s="35">
        <f t="shared" si="59"/>
        <v>0</v>
      </c>
      <c r="AQ134" s="35">
        <f t="shared" si="59"/>
        <v>0</v>
      </c>
      <c r="AR134" s="35">
        <f t="shared" si="59"/>
        <v>0</v>
      </c>
      <c r="AS134" s="35">
        <f t="shared" si="59"/>
        <v>0</v>
      </c>
      <c r="AT134" s="35">
        <f t="shared" si="59"/>
        <v>0</v>
      </c>
      <c r="AU134" s="35">
        <f t="shared" si="59"/>
        <v>0</v>
      </c>
      <c r="AV134" s="35">
        <f t="shared" si="59"/>
        <v>0</v>
      </c>
      <c r="AW134" s="35">
        <f t="shared" si="59"/>
        <v>0</v>
      </c>
      <c r="AX134" s="35">
        <f t="shared" si="59"/>
        <v>0</v>
      </c>
      <c r="AY134" s="35">
        <f t="shared" si="59"/>
        <v>0</v>
      </c>
      <c r="AZ134" s="35">
        <f t="shared" si="59"/>
        <v>0</v>
      </c>
      <c r="BA134" s="35">
        <f t="shared" si="59"/>
        <v>0</v>
      </c>
    </row>
    <row r="136" spans="2:53" x14ac:dyDescent="0.35">
      <c r="C136" s="3" t="s">
        <v>111</v>
      </c>
      <c r="N136" s="35">
        <f>SUM(N130:N134)</f>
        <v>0</v>
      </c>
      <c r="O136" s="35">
        <f t="shared" ref="O136:AY136" si="60">SUM(O130:O134)</f>
        <v>0</v>
      </c>
      <c r="P136" s="35">
        <f t="shared" si="60"/>
        <v>0</v>
      </c>
      <c r="Q136" s="35">
        <f t="shared" si="60"/>
        <v>0</v>
      </c>
      <c r="R136" s="35">
        <f t="shared" si="60"/>
        <v>2000</v>
      </c>
      <c r="S136" s="35">
        <f>SUM(S130:S134)</f>
        <v>312000</v>
      </c>
      <c r="T136" s="35">
        <f t="shared" si="60"/>
        <v>2000</v>
      </c>
      <c r="U136" s="35">
        <f t="shared" si="60"/>
        <v>147000</v>
      </c>
      <c r="V136" s="35">
        <f t="shared" si="60"/>
        <v>2000</v>
      </c>
      <c r="W136" s="35">
        <f t="shared" si="60"/>
        <v>2000</v>
      </c>
      <c r="X136" s="35">
        <f t="shared" si="60"/>
        <v>47000</v>
      </c>
      <c r="Y136" s="35">
        <f t="shared" si="60"/>
        <v>2000</v>
      </c>
      <c r="Z136" s="35">
        <f t="shared" si="60"/>
        <v>2000</v>
      </c>
      <c r="AA136" s="35">
        <f t="shared" si="60"/>
        <v>2000</v>
      </c>
      <c r="AB136" s="35">
        <f t="shared" si="60"/>
        <v>5000</v>
      </c>
      <c r="AC136" s="35">
        <f t="shared" si="60"/>
        <v>5000</v>
      </c>
      <c r="AD136" s="35">
        <f t="shared" si="60"/>
        <v>5000</v>
      </c>
      <c r="AE136" s="35">
        <f t="shared" si="60"/>
        <v>5000</v>
      </c>
      <c r="AF136" s="35">
        <f t="shared" si="60"/>
        <v>142500</v>
      </c>
      <c r="AG136" s="35">
        <f t="shared" si="60"/>
        <v>5000</v>
      </c>
      <c r="AH136" s="35">
        <f t="shared" si="60"/>
        <v>142500</v>
      </c>
      <c r="AI136" s="35">
        <f t="shared" si="60"/>
        <v>142500</v>
      </c>
      <c r="AJ136" s="35">
        <f t="shared" si="60"/>
        <v>5000</v>
      </c>
      <c r="AK136" s="35">
        <f t="shared" si="60"/>
        <v>559166.66666666674</v>
      </c>
      <c r="AL136" s="35">
        <f t="shared" si="60"/>
        <v>421666.66666666669</v>
      </c>
      <c r="AM136" s="35">
        <f t="shared" si="60"/>
        <v>421666.66666666669</v>
      </c>
      <c r="AN136" s="35">
        <f t="shared" si="60"/>
        <v>7500</v>
      </c>
      <c r="AO136" s="35">
        <f t="shared" si="60"/>
        <v>7500</v>
      </c>
      <c r="AP136" s="35">
        <f t="shared" si="60"/>
        <v>7500</v>
      </c>
      <c r="AQ136" s="35">
        <f t="shared" si="60"/>
        <v>7500</v>
      </c>
      <c r="AR136" s="35">
        <f t="shared" si="60"/>
        <v>7500</v>
      </c>
      <c r="AS136" s="35">
        <f t="shared" si="60"/>
        <v>7500</v>
      </c>
      <c r="AT136" s="35">
        <f t="shared" si="60"/>
        <v>7500</v>
      </c>
      <c r="AU136" s="35">
        <f t="shared" si="60"/>
        <v>7500</v>
      </c>
      <c r="AV136" s="35">
        <f t="shared" si="60"/>
        <v>7500</v>
      </c>
      <c r="AW136" s="35">
        <f t="shared" si="60"/>
        <v>7500</v>
      </c>
      <c r="AX136" s="35">
        <f t="shared" si="60"/>
        <v>7500</v>
      </c>
      <c r="AY136" s="35">
        <f t="shared" si="60"/>
        <v>7500</v>
      </c>
      <c r="AZ136" s="35">
        <f>SUM(AZ130:AZ134)</f>
        <v>10000</v>
      </c>
      <c r="BA136" s="35">
        <f>SUM(BA130:BA134)</f>
        <v>10000</v>
      </c>
    </row>
    <row r="137" spans="2:53" x14ac:dyDescent="0.35">
      <c r="B137" s="3" t="s">
        <v>112</v>
      </c>
      <c r="N137" s="35"/>
      <c r="O137" s="35"/>
      <c r="P137" s="35"/>
      <c r="Q137" s="35"/>
      <c r="R137" s="35"/>
      <c r="S137" s="35"/>
      <c r="T137" s="35"/>
      <c r="U137" s="35"/>
      <c r="V137" s="35"/>
      <c r="W137" s="35"/>
      <c r="X137" s="35"/>
      <c r="Y137" s="35"/>
      <c r="Z137" s="35"/>
      <c r="AA137" s="35"/>
      <c r="AB137" s="35"/>
      <c r="AC137" s="35"/>
      <c r="AD137" s="35"/>
      <c r="AE137" s="35"/>
      <c r="AF137" s="35"/>
      <c r="AG137" s="35"/>
      <c r="AH137" s="35"/>
      <c r="AI137" s="35"/>
      <c r="AJ137" s="35"/>
      <c r="AK137" s="35"/>
      <c r="AL137" s="35"/>
      <c r="AM137" s="35"/>
      <c r="AN137" s="35"/>
      <c r="AO137" s="35"/>
      <c r="AP137" s="35"/>
      <c r="AQ137" s="35"/>
      <c r="AR137" s="35"/>
      <c r="AS137" s="35"/>
      <c r="AT137" s="35"/>
      <c r="AU137" s="35"/>
      <c r="AV137" s="35"/>
      <c r="AW137" s="35"/>
      <c r="AX137" s="35"/>
      <c r="AY137" s="35"/>
      <c r="AZ137" s="35"/>
      <c r="BA137" s="35"/>
    </row>
    <row r="138" spans="2:53" x14ac:dyDescent="0.35">
      <c r="C138" t="s">
        <v>113</v>
      </c>
      <c r="O138" s="43"/>
      <c r="P138" s="43"/>
      <c r="Q138" s="43"/>
      <c r="R138" s="43">
        <f t="shared" ref="R138:BA138" si="61">R130</f>
        <v>2000</v>
      </c>
      <c r="S138" s="43">
        <f t="shared" si="61"/>
        <v>2000</v>
      </c>
      <c r="T138" s="43">
        <f t="shared" si="61"/>
        <v>2000</v>
      </c>
      <c r="U138" s="43">
        <f t="shared" si="61"/>
        <v>2000</v>
      </c>
      <c r="V138" s="43">
        <f t="shared" si="61"/>
        <v>2000</v>
      </c>
      <c r="W138" s="43">
        <f t="shared" si="61"/>
        <v>2000</v>
      </c>
      <c r="X138" s="43">
        <f t="shared" si="61"/>
        <v>2000</v>
      </c>
      <c r="Y138" s="43">
        <f t="shared" si="61"/>
        <v>2000</v>
      </c>
      <c r="Z138" s="43">
        <f t="shared" si="61"/>
        <v>2000</v>
      </c>
      <c r="AA138" s="43">
        <f t="shared" si="61"/>
        <v>2000</v>
      </c>
      <c r="AB138" s="43">
        <f t="shared" si="61"/>
        <v>5000</v>
      </c>
      <c r="AC138" s="43">
        <f t="shared" si="61"/>
        <v>5000</v>
      </c>
      <c r="AD138" s="43">
        <f t="shared" si="61"/>
        <v>5000</v>
      </c>
      <c r="AE138" s="43">
        <f t="shared" si="61"/>
        <v>5000</v>
      </c>
      <c r="AF138" s="43">
        <f t="shared" si="61"/>
        <v>5000</v>
      </c>
      <c r="AG138" s="43">
        <f t="shared" si="61"/>
        <v>5000</v>
      </c>
      <c r="AH138" s="43">
        <f t="shared" si="61"/>
        <v>5000</v>
      </c>
      <c r="AI138" s="43">
        <f t="shared" si="61"/>
        <v>5000</v>
      </c>
      <c r="AJ138" s="43">
        <f t="shared" si="61"/>
        <v>5000</v>
      </c>
      <c r="AK138" s="43">
        <f t="shared" si="61"/>
        <v>5000</v>
      </c>
      <c r="AL138" s="43">
        <f t="shared" si="61"/>
        <v>5000</v>
      </c>
      <c r="AM138" s="43">
        <f t="shared" si="61"/>
        <v>5000</v>
      </c>
      <c r="AN138" s="43">
        <f t="shared" si="61"/>
        <v>7500</v>
      </c>
      <c r="AO138" s="43">
        <f t="shared" si="61"/>
        <v>7500</v>
      </c>
      <c r="AP138" s="43">
        <f t="shared" si="61"/>
        <v>7500</v>
      </c>
      <c r="AQ138" s="43">
        <f t="shared" si="61"/>
        <v>7500</v>
      </c>
      <c r="AR138" s="43">
        <f t="shared" si="61"/>
        <v>7500</v>
      </c>
      <c r="AS138" s="43">
        <f t="shared" si="61"/>
        <v>7500</v>
      </c>
      <c r="AT138" s="43">
        <f t="shared" si="61"/>
        <v>7500</v>
      </c>
      <c r="AU138" s="43">
        <f t="shared" si="61"/>
        <v>7500</v>
      </c>
      <c r="AV138" s="43">
        <f t="shared" si="61"/>
        <v>7500</v>
      </c>
      <c r="AW138" s="43">
        <f t="shared" si="61"/>
        <v>7500</v>
      </c>
      <c r="AX138" s="43">
        <f t="shared" si="61"/>
        <v>7500</v>
      </c>
      <c r="AY138" s="43">
        <f t="shared" si="61"/>
        <v>7500</v>
      </c>
      <c r="AZ138" s="43">
        <f t="shared" si="61"/>
        <v>10000</v>
      </c>
      <c r="BA138" s="43">
        <f t="shared" si="61"/>
        <v>10000</v>
      </c>
    </row>
    <row r="139" spans="2:53" x14ac:dyDescent="0.35">
      <c r="C139" t="s">
        <v>112</v>
      </c>
      <c r="O139" s="43"/>
      <c r="P139" s="43">
        <f t="shared" ref="P139:BA139" si="62">(P131+P133+P134)/(12*15)+O139</f>
        <v>0</v>
      </c>
      <c r="Q139" s="43">
        <f t="shared" si="62"/>
        <v>0</v>
      </c>
      <c r="R139" s="43">
        <f t="shared" si="62"/>
        <v>0</v>
      </c>
      <c r="S139" s="43">
        <f t="shared" si="62"/>
        <v>1722.2222222222222</v>
      </c>
      <c r="T139" s="43">
        <f t="shared" si="62"/>
        <v>1722.2222222222222</v>
      </c>
      <c r="U139" s="43">
        <f t="shared" si="62"/>
        <v>2527.7777777777778</v>
      </c>
      <c r="V139" s="43">
        <f t="shared" si="62"/>
        <v>2527.7777777777778</v>
      </c>
      <c r="W139" s="43">
        <f t="shared" si="62"/>
        <v>2527.7777777777778</v>
      </c>
      <c r="X139" s="43">
        <f t="shared" si="62"/>
        <v>2777.7777777777778</v>
      </c>
      <c r="Y139" s="43">
        <f t="shared" si="62"/>
        <v>2777.7777777777778</v>
      </c>
      <c r="Z139" s="43">
        <f t="shared" si="62"/>
        <v>2777.7777777777778</v>
      </c>
      <c r="AA139" s="43">
        <f t="shared" si="62"/>
        <v>2777.7777777777778</v>
      </c>
      <c r="AB139" s="43">
        <f t="shared" si="62"/>
        <v>2777.7777777777778</v>
      </c>
      <c r="AC139" s="43">
        <f t="shared" si="62"/>
        <v>2777.7777777777778</v>
      </c>
      <c r="AD139" s="43">
        <f t="shared" si="62"/>
        <v>2777.7777777777778</v>
      </c>
      <c r="AE139" s="43">
        <f t="shared" si="62"/>
        <v>2777.7777777777778</v>
      </c>
      <c r="AF139" s="43">
        <f t="shared" si="62"/>
        <v>3541.666666666667</v>
      </c>
      <c r="AG139" s="43">
        <f t="shared" si="62"/>
        <v>3541.666666666667</v>
      </c>
      <c r="AH139" s="43">
        <f t="shared" si="62"/>
        <v>4305.5555555555557</v>
      </c>
      <c r="AI139" s="43">
        <f t="shared" si="62"/>
        <v>5069.4444444444443</v>
      </c>
      <c r="AJ139" s="43">
        <f t="shared" si="62"/>
        <v>5069.4444444444443</v>
      </c>
      <c r="AK139" s="43">
        <f t="shared" si="62"/>
        <v>8148.1481481481478</v>
      </c>
      <c r="AL139" s="43">
        <f t="shared" si="62"/>
        <v>10462.962962962964</v>
      </c>
      <c r="AM139" s="43">
        <f t="shared" si="62"/>
        <v>12777.777777777777</v>
      </c>
      <c r="AN139" s="43">
        <f t="shared" si="62"/>
        <v>12777.777777777777</v>
      </c>
      <c r="AO139" s="43">
        <f t="shared" si="62"/>
        <v>12777.777777777777</v>
      </c>
      <c r="AP139" s="43">
        <f t="shared" si="62"/>
        <v>12777.777777777777</v>
      </c>
      <c r="AQ139" s="43">
        <f t="shared" si="62"/>
        <v>12777.777777777777</v>
      </c>
      <c r="AR139" s="43">
        <f t="shared" si="62"/>
        <v>12777.777777777777</v>
      </c>
      <c r="AS139" s="43">
        <f t="shared" si="62"/>
        <v>12777.777777777777</v>
      </c>
      <c r="AT139" s="43">
        <f t="shared" si="62"/>
        <v>12777.777777777777</v>
      </c>
      <c r="AU139" s="43">
        <f t="shared" si="62"/>
        <v>12777.777777777777</v>
      </c>
      <c r="AV139" s="43">
        <f t="shared" si="62"/>
        <v>12777.777777777777</v>
      </c>
      <c r="AW139" s="43">
        <f t="shared" si="62"/>
        <v>12777.777777777777</v>
      </c>
      <c r="AX139" s="43">
        <f t="shared" si="62"/>
        <v>12777.777777777777</v>
      </c>
      <c r="AY139" s="43">
        <f t="shared" si="62"/>
        <v>12777.777777777777</v>
      </c>
      <c r="AZ139" s="43">
        <f t="shared" si="62"/>
        <v>12777.777777777777</v>
      </c>
      <c r="BA139" s="43">
        <f t="shared" si="62"/>
        <v>12777.777777777777</v>
      </c>
    </row>
    <row r="140" spans="2:53" x14ac:dyDescent="0.35">
      <c r="C140" s="3" t="s">
        <v>114</v>
      </c>
      <c r="R140" s="35">
        <f>R139+R138</f>
        <v>2000</v>
      </c>
      <c r="S140" s="35">
        <f>S139+S138+R140</f>
        <v>5722.2222222222226</v>
      </c>
      <c r="T140" s="35">
        <f t="shared" ref="T140:BA140" si="63">T139+T138+S140</f>
        <v>9444.4444444444453</v>
      </c>
      <c r="U140" s="35">
        <f t="shared" si="63"/>
        <v>13972.222222222223</v>
      </c>
      <c r="V140" s="35">
        <f t="shared" si="63"/>
        <v>18500</v>
      </c>
      <c r="W140" s="35">
        <f t="shared" si="63"/>
        <v>23027.777777777777</v>
      </c>
      <c r="X140" s="35">
        <f t="shared" si="63"/>
        <v>27805.555555555555</v>
      </c>
      <c r="Y140" s="35">
        <f t="shared" si="63"/>
        <v>32583.333333333332</v>
      </c>
      <c r="Z140" s="35">
        <f t="shared" si="63"/>
        <v>37361.111111111109</v>
      </c>
      <c r="AA140" s="35">
        <f t="shared" si="63"/>
        <v>42138.888888888891</v>
      </c>
      <c r="AB140" s="35">
        <f t="shared" si="63"/>
        <v>49916.666666666672</v>
      </c>
      <c r="AC140" s="35">
        <f t="shared" si="63"/>
        <v>57694.444444444453</v>
      </c>
      <c r="AD140" s="35">
        <f t="shared" si="63"/>
        <v>65472.222222222234</v>
      </c>
      <c r="AE140" s="35">
        <f t="shared" si="63"/>
        <v>73250.000000000015</v>
      </c>
      <c r="AF140" s="35">
        <f t="shared" si="63"/>
        <v>81791.666666666686</v>
      </c>
      <c r="AG140" s="35">
        <f t="shared" si="63"/>
        <v>90333.333333333358</v>
      </c>
      <c r="AH140" s="35">
        <f t="shared" si="63"/>
        <v>99638.888888888905</v>
      </c>
      <c r="AI140" s="35">
        <f t="shared" si="63"/>
        <v>109708.33333333334</v>
      </c>
      <c r="AJ140" s="35">
        <f t="shared" si="63"/>
        <v>119777.77777777778</v>
      </c>
      <c r="AK140" s="35">
        <f t="shared" si="63"/>
        <v>132925.92592592593</v>
      </c>
      <c r="AL140" s="35">
        <f t="shared" si="63"/>
        <v>148388.88888888888</v>
      </c>
      <c r="AM140" s="35">
        <f t="shared" si="63"/>
        <v>166166.66666666666</v>
      </c>
      <c r="AN140" s="35">
        <f t="shared" si="63"/>
        <v>186444.44444444444</v>
      </c>
      <c r="AO140" s="35">
        <f t="shared" si="63"/>
        <v>206722.22222222222</v>
      </c>
      <c r="AP140" s="35">
        <f t="shared" si="63"/>
        <v>227000</v>
      </c>
      <c r="AQ140" s="35">
        <f t="shared" si="63"/>
        <v>247277.77777777778</v>
      </c>
      <c r="AR140" s="35">
        <f t="shared" si="63"/>
        <v>267555.55555555556</v>
      </c>
      <c r="AS140" s="35">
        <f t="shared" si="63"/>
        <v>287833.33333333331</v>
      </c>
      <c r="AT140" s="35">
        <f t="shared" si="63"/>
        <v>308111.11111111107</v>
      </c>
      <c r="AU140" s="35">
        <f t="shared" si="63"/>
        <v>328388.88888888882</v>
      </c>
      <c r="AV140" s="35">
        <f t="shared" si="63"/>
        <v>348666.66666666657</v>
      </c>
      <c r="AW140" s="35">
        <f t="shared" si="63"/>
        <v>368944.44444444432</v>
      </c>
      <c r="AX140" s="35">
        <f t="shared" si="63"/>
        <v>389222.22222222207</v>
      </c>
      <c r="AY140" s="35">
        <f t="shared" si="63"/>
        <v>409499.99999999983</v>
      </c>
      <c r="AZ140" s="35">
        <f t="shared" si="63"/>
        <v>432277.77777777758</v>
      </c>
      <c r="BA140" s="35">
        <f t="shared" si="63"/>
        <v>455055.55555555533</v>
      </c>
    </row>
    <row r="142" spans="2:53" s="72" customFormat="1" x14ac:dyDescent="0.35">
      <c r="B142" s="71" t="s">
        <v>168</v>
      </c>
      <c r="R142" s="71"/>
      <c r="S142" s="72">
        <f t="shared" ref="S142:AI142" si="64">S103/S146</f>
        <v>0.6640625</v>
      </c>
      <c r="T142" s="72">
        <f t="shared" si="64"/>
        <v>0.21249999999999999</v>
      </c>
      <c r="U142" s="72">
        <f>U103/U146</f>
        <v>0.14219444444444446</v>
      </c>
      <c r="V142" s="72">
        <f t="shared" si="64"/>
        <v>0.13765914351851852</v>
      </c>
      <c r="W142" s="72">
        <f t="shared" si="64"/>
        <v>0.11171296296296296</v>
      </c>
      <c r="X142" s="72">
        <f t="shared" si="64"/>
        <v>0.10587638076673164</v>
      </c>
      <c r="Y142" s="72">
        <f t="shared" si="64"/>
        <v>0.10657330246913578</v>
      </c>
      <c r="Z142" s="72">
        <f t="shared" si="64"/>
        <v>0.12483394128232973</v>
      </c>
      <c r="AA142" s="72">
        <f t="shared" si="64"/>
        <v>0.12483394128232973</v>
      </c>
      <c r="AB142" s="72">
        <f t="shared" si="64"/>
        <v>0.11859224421821324</v>
      </c>
      <c r="AC142" s="72">
        <f t="shared" si="64"/>
        <v>0.11859224421821325</v>
      </c>
      <c r="AD142" s="72">
        <f t="shared" si="64"/>
        <v>0.12483394128232973</v>
      </c>
      <c r="AE142" s="72">
        <f t="shared" si="64"/>
        <v>0.11859224421821324</v>
      </c>
      <c r="AF142" s="72">
        <f t="shared" si="64"/>
        <v>0.12483394128232973</v>
      </c>
      <c r="AG142" s="72">
        <f t="shared" si="64"/>
        <v>0.12133738425925926</v>
      </c>
      <c r="AH142" s="72">
        <f t="shared" si="64"/>
        <v>0.11870843886539874</v>
      </c>
      <c r="AI142" s="72">
        <f t="shared" si="64"/>
        <v>0.13160433896700799</v>
      </c>
    </row>
    <row r="144" spans="2:53" x14ac:dyDescent="0.35">
      <c r="B144" t="s">
        <v>115</v>
      </c>
      <c r="C144" t="s">
        <v>116</v>
      </c>
      <c r="O144">
        <f t="shared" ref="O144:BA145" si="65">(O$82-SUM(O$147:O$148))*O6/SUM(O$6:O$7)</f>
        <v>0</v>
      </c>
      <c r="P144" s="35">
        <f t="shared" si="65"/>
        <v>0</v>
      </c>
      <c r="Q144" s="35">
        <f t="shared" si="65"/>
        <v>0</v>
      </c>
      <c r="R144" s="35">
        <f t="shared" si="65"/>
        <v>0</v>
      </c>
      <c r="S144" s="35">
        <f t="shared" si="65"/>
        <v>0</v>
      </c>
      <c r="T144" s="35">
        <f t="shared" si="65"/>
        <v>77963.454746351228</v>
      </c>
      <c r="U144" s="35">
        <f>(U$82-SUM(U$147:U$148))*U6/SUM(U$6:U$7)</f>
        <v>608106.26409525704</v>
      </c>
      <c r="V144" s="35">
        <f t="shared" si="65"/>
        <v>1123121.8437093298</v>
      </c>
      <c r="W144" s="35">
        <f t="shared" si="65"/>
        <v>1214037.7490585204</v>
      </c>
      <c r="X144" s="35">
        <f t="shared" si="65"/>
        <v>1080040.830715663</v>
      </c>
      <c r="Y144" s="35">
        <f t="shared" si="65"/>
        <v>989933.97965232329</v>
      </c>
      <c r="Z144" s="35">
        <f t="shared" si="65"/>
        <v>783221.40466149349</v>
      </c>
      <c r="AA144" s="35">
        <f t="shared" si="65"/>
        <v>844018.68326861609</v>
      </c>
      <c r="AB144" s="35">
        <f t="shared" si="65"/>
        <v>1719794.6384737873</v>
      </c>
      <c r="AC144" s="35">
        <f t="shared" si="65"/>
        <v>1446915.3288255564</v>
      </c>
      <c r="AD144" s="35">
        <f t="shared" si="65"/>
        <v>1191992.8686123476</v>
      </c>
      <c r="AE144" s="35">
        <f t="shared" si="65"/>
        <v>1615501.1238491419</v>
      </c>
      <c r="AF144" s="35">
        <f t="shared" si="65"/>
        <v>1144074.8963308432</v>
      </c>
      <c r="AG144" s="35">
        <f t="shared" si="65"/>
        <v>984802.11976024904</v>
      </c>
      <c r="AH144" s="35">
        <f t="shared" si="65"/>
        <v>1072984.2172445457</v>
      </c>
      <c r="AI144" s="35">
        <f t="shared" si="65"/>
        <v>1288048.3184746932</v>
      </c>
      <c r="AJ144" s="35">
        <f t="shared" si="65"/>
        <v>925826.67499198299</v>
      </c>
      <c r="AK144" s="35">
        <f t="shared" si="65"/>
        <v>1694579.7238764397</v>
      </c>
      <c r="AL144" s="35">
        <f t="shared" si="65"/>
        <v>1252757.3399943777</v>
      </c>
      <c r="AM144" s="35">
        <f t="shared" si="65"/>
        <v>1283323.1897891925</v>
      </c>
      <c r="AN144" s="35">
        <f t="shared" si="65"/>
        <v>1561039.4867851448</v>
      </c>
      <c r="AO144" s="35">
        <f t="shared" si="65"/>
        <v>1446516.2363996941</v>
      </c>
      <c r="AP144" s="35">
        <f t="shared" si="65"/>
        <v>1246366.4582874356</v>
      </c>
      <c r="AQ144" s="35">
        <f t="shared" si="65"/>
        <v>1618821.41411378</v>
      </c>
      <c r="AR144" s="35">
        <f t="shared" si="65"/>
        <v>1223040.99413796</v>
      </c>
      <c r="AS144" s="35">
        <f t="shared" si="65"/>
        <v>1342577.8694117891</v>
      </c>
      <c r="AT144" s="35">
        <f t="shared" si="65"/>
        <v>1410472.6580927973</v>
      </c>
      <c r="AU144" s="35">
        <f t="shared" si="65"/>
        <v>1270976.6909474088</v>
      </c>
      <c r="AV144" s="35">
        <f t="shared" si="65"/>
        <v>1078575.7725742389</v>
      </c>
      <c r="AW144" s="35">
        <f t="shared" si="65"/>
        <v>1432774.8938892712</v>
      </c>
      <c r="AX144" s="35">
        <f t="shared" si="65"/>
        <v>1095105.9965715013</v>
      </c>
      <c r="AY144" s="35">
        <f t="shared" si="65"/>
        <v>1113076.448460324</v>
      </c>
      <c r="AZ144" s="35">
        <f t="shared" si="65"/>
        <v>1536232.0459498949</v>
      </c>
      <c r="BA144" s="35">
        <f t="shared" si="65"/>
        <v>1183602.3813752525</v>
      </c>
    </row>
    <row r="145" spans="2:53" x14ac:dyDescent="0.35">
      <c r="B145" t="s">
        <v>115</v>
      </c>
      <c r="C145" t="s">
        <v>117</v>
      </c>
      <c r="O145" s="35">
        <f t="shared" si="65"/>
        <v>0</v>
      </c>
      <c r="P145" s="35">
        <f t="shared" si="65"/>
        <v>0</v>
      </c>
      <c r="Q145" s="35">
        <f t="shared" si="65"/>
        <v>0</v>
      </c>
      <c r="R145" s="35">
        <f t="shared" si="65"/>
        <v>0</v>
      </c>
      <c r="S145" s="35">
        <f t="shared" si="65"/>
        <v>0</v>
      </c>
      <c r="T145" s="35">
        <f t="shared" si="65"/>
        <v>23568.625110791647</v>
      </c>
      <c r="U145" s="35">
        <f t="shared" si="65"/>
        <v>186175.48819045722</v>
      </c>
      <c r="V145" s="35">
        <f t="shared" si="65"/>
        <v>514162.22090971755</v>
      </c>
      <c r="W145" s="35">
        <f t="shared" si="65"/>
        <v>399240.06089386041</v>
      </c>
      <c r="X145" s="35">
        <f t="shared" si="65"/>
        <v>441798.66866528941</v>
      </c>
      <c r="Y145" s="35">
        <f t="shared" si="65"/>
        <v>349735.90530005738</v>
      </c>
      <c r="Z145" s="35">
        <f t="shared" si="65"/>
        <v>313879.5625817632</v>
      </c>
      <c r="AA145" s="35">
        <f t="shared" si="65"/>
        <v>328867.24997733894</v>
      </c>
      <c r="AB145" s="35">
        <f t="shared" si="65"/>
        <v>496605.04047342652</v>
      </c>
      <c r="AC145" s="35">
        <f t="shared" si="65"/>
        <v>379874.62425602408</v>
      </c>
      <c r="AD145" s="35">
        <f t="shared" si="65"/>
        <v>383566.08281234809</v>
      </c>
      <c r="AE145" s="35">
        <f t="shared" si="65"/>
        <v>542703.64205045265</v>
      </c>
      <c r="AF145" s="35">
        <f t="shared" si="65"/>
        <v>399833.36552242393</v>
      </c>
      <c r="AG145" s="35">
        <f t="shared" si="65"/>
        <v>852088.2039540367</v>
      </c>
      <c r="AH145" s="35">
        <f t="shared" si="65"/>
        <v>1285205.5616602167</v>
      </c>
      <c r="AI145" s="35">
        <f t="shared" si="65"/>
        <v>1399518.0629062594</v>
      </c>
      <c r="AJ145" s="35">
        <f t="shared" si="65"/>
        <v>1572291.3958175406</v>
      </c>
      <c r="AK145" s="35">
        <f t="shared" si="65"/>
        <v>2815750.8753616549</v>
      </c>
      <c r="AL145" s="35">
        <f t="shared" si="65"/>
        <v>2060924.588109897</v>
      </c>
      <c r="AM145" s="35">
        <f t="shared" si="65"/>
        <v>2106143.7043177816</v>
      </c>
      <c r="AN145" s="35">
        <f t="shared" si="65"/>
        <v>2699296.7114053317</v>
      </c>
      <c r="AO145" s="35">
        <f t="shared" si="65"/>
        <v>1965422.9320764965</v>
      </c>
      <c r="AP145" s="35">
        <f t="shared" si="65"/>
        <v>1799644.882569707</v>
      </c>
      <c r="AQ145" s="35">
        <f t="shared" si="65"/>
        <v>2583319.8710290776</v>
      </c>
      <c r="AR145" s="35">
        <f t="shared" si="65"/>
        <v>1791319.657147754</v>
      </c>
      <c r="AS145" s="35">
        <f t="shared" si="65"/>
        <v>2430232.4543024963</v>
      </c>
      <c r="AT145" s="35">
        <f t="shared" si="65"/>
        <v>3367767.2291452987</v>
      </c>
      <c r="AU145" s="35">
        <f t="shared" si="65"/>
        <v>2688800.6580527923</v>
      </c>
      <c r="AV145" s="35">
        <f t="shared" si="65"/>
        <v>3052082.2365686181</v>
      </c>
      <c r="AW145" s="35">
        <f t="shared" si="65"/>
        <v>4179576.9286821568</v>
      </c>
      <c r="AX145" s="35">
        <f t="shared" si="65"/>
        <v>3047042.4148661066</v>
      </c>
      <c r="AY145" s="35">
        <f t="shared" si="65"/>
        <v>3105589.2589799836</v>
      </c>
      <c r="AZ145" s="35">
        <f t="shared" si="65"/>
        <v>4286233.6614904124</v>
      </c>
      <c r="BA145" s="35">
        <f t="shared" si="65"/>
        <v>3302363.3260650551</v>
      </c>
    </row>
    <row r="146" spans="2:53" x14ac:dyDescent="0.35">
      <c r="B146" t="s">
        <v>115</v>
      </c>
      <c r="C146" t="s">
        <v>118</v>
      </c>
      <c r="O146" s="35">
        <f t="shared" ref="O146:BA146" si="66">O94-O149</f>
        <v>0</v>
      </c>
      <c r="P146" s="35">
        <f t="shared" si="66"/>
        <v>0</v>
      </c>
      <c r="Q146" s="35">
        <f t="shared" si="66"/>
        <v>0</v>
      </c>
      <c r="R146" s="35">
        <f t="shared" si="66"/>
        <v>0</v>
      </c>
      <c r="S146" s="35">
        <f>S94-S149</f>
        <v>230400</v>
      </c>
      <c r="T146" s="35">
        <f t="shared" si="66"/>
        <v>576000</v>
      </c>
      <c r="U146" s="35">
        <f t="shared" si="66"/>
        <v>1152000</v>
      </c>
      <c r="V146" s="35">
        <f t="shared" si="66"/>
        <v>1658880</v>
      </c>
      <c r="W146" s="35">
        <f t="shared" si="66"/>
        <v>1728000</v>
      </c>
      <c r="X146" s="35">
        <f t="shared" si="66"/>
        <v>1969920</v>
      </c>
      <c r="Y146" s="35">
        <f t="shared" si="66"/>
        <v>2592000</v>
      </c>
      <c r="Z146" s="35">
        <f t="shared" si="66"/>
        <v>1969920</v>
      </c>
      <c r="AA146" s="35">
        <f t="shared" si="66"/>
        <v>1969920</v>
      </c>
      <c r="AB146" s="35">
        <f t="shared" si="66"/>
        <v>2592000</v>
      </c>
      <c r="AC146" s="35">
        <f t="shared" si="66"/>
        <v>2073600</v>
      </c>
      <c r="AD146" s="35">
        <f t="shared" si="66"/>
        <v>1969920</v>
      </c>
      <c r="AE146" s="35">
        <f t="shared" si="66"/>
        <v>2592000</v>
      </c>
      <c r="AF146" s="35">
        <f t="shared" si="66"/>
        <v>1969920</v>
      </c>
      <c r="AG146" s="35">
        <f t="shared" si="66"/>
        <v>2073600</v>
      </c>
      <c r="AH146" s="35">
        <f t="shared" si="66"/>
        <v>2710806.0886507044</v>
      </c>
      <c r="AI146" s="35">
        <f t="shared" si="66"/>
        <v>2295149.5669444087</v>
      </c>
      <c r="AJ146" s="35">
        <f t="shared" si="66"/>
        <v>2240109.6617961954</v>
      </c>
      <c r="AK146" s="35">
        <f t="shared" si="66"/>
        <v>2973480.2958503901</v>
      </c>
      <c r="AL146" s="35">
        <f t="shared" si="66"/>
        <v>2259845.0248462963</v>
      </c>
      <c r="AM146" s="35">
        <f t="shared" si="66"/>
        <v>2259845.0248462963</v>
      </c>
      <c r="AN146" s="35">
        <f t="shared" si="66"/>
        <v>2987715.1922895103</v>
      </c>
      <c r="AO146" s="35">
        <f t="shared" si="66"/>
        <v>2390172.1538316081</v>
      </c>
      <c r="AP146" s="35">
        <f t="shared" si="66"/>
        <v>2306364.5381063228</v>
      </c>
      <c r="AQ146" s="35">
        <f t="shared" si="66"/>
        <v>3034690.1817188459</v>
      </c>
      <c r="AR146" s="35">
        <f t="shared" si="66"/>
        <v>2306364.5381063228</v>
      </c>
      <c r="AS146" s="35">
        <f t="shared" si="66"/>
        <v>2427752.1453750767</v>
      </c>
      <c r="AT146" s="35">
        <f t="shared" si="66"/>
        <v>2913302.5744500924</v>
      </c>
      <c r="AU146" s="35">
        <f t="shared" si="66"/>
        <v>2427752.1453750767</v>
      </c>
      <c r="AV146" s="35">
        <f t="shared" si="66"/>
        <v>2306364.5381063228</v>
      </c>
      <c r="AW146" s="35">
        <f t="shared" si="66"/>
        <v>3034690.1817188459</v>
      </c>
      <c r="AX146" s="35">
        <f t="shared" si="66"/>
        <v>2306364.5381063228</v>
      </c>
      <c r="AY146" s="35">
        <f t="shared" si="66"/>
        <v>2306364.5381063228</v>
      </c>
      <c r="AZ146" s="35">
        <f t="shared" si="66"/>
        <v>3034690.1817188459</v>
      </c>
      <c r="BA146" s="35">
        <f t="shared" si="66"/>
        <v>2427752.1453750767</v>
      </c>
    </row>
    <row r="147" spans="2:53" x14ac:dyDescent="0.35">
      <c r="B147" t="s">
        <v>115</v>
      </c>
      <c r="C147" t="s">
        <v>119</v>
      </c>
      <c r="O147" s="35">
        <f t="shared" ref="O147:BA147" si="67">MIN((O11+O16),O82-O148)</f>
        <v>0</v>
      </c>
      <c r="P147" s="35">
        <f t="shared" si="67"/>
        <v>0</v>
      </c>
      <c r="Q147" s="35">
        <f t="shared" si="67"/>
        <v>0</v>
      </c>
      <c r="R147" s="35">
        <f t="shared" si="67"/>
        <v>0</v>
      </c>
      <c r="S147" s="35">
        <f t="shared" si="67"/>
        <v>174600</v>
      </c>
      <c r="T147" s="35">
        <f t="shared" si="67"/>
        <v>251267.92014285713</v>
      </c>
      <c r="U147" s="35">
        <f t="shared" si="67"/>
        <v>235318.24771428574</v>
      </c>
      <c r="V147" s="35">
        <f t="shared" si="67"/>
        <v>196690.93538095237</v>
      </c>
      <c r="W147" s="35">
        <f t="shared" si="67"/>
        <v>240002.19004761905</v>
      </c>
      <c r="X147" s="35">
        <f t="shared" si="67"/>
        <v>215610.50061904761</v>
      </c>
      <c r="Y147" s="35">
        <f t="shared" si="67"/>
        <v>843330.1150476191</v>
      </c>
      <c r="Z147" s="35">
        <f t="shared" si="67"/>
        <v>701946.64332429646</v>
      </c>
      <c r="AA147" s="35">
        <f t="shared" si="67"/>
        <v>626161.67732159782</v>
      </c>
      <c r="AB147" s="35">
        <f t="shared" si="67"/>
        <v>835663.80180952384</v>
      </c>
      <c r="AC147" s="35">
        <f t="shared" si="67"/>
        <v>614860.83152380958</v>
      </c>
      <c r="AD147" s="35">
        <f t="shared" si="67"/>
        <v>713488.65914285718</v>
      </c>
      <c r="AE147" s="35">
        <f t="shared" si="67"/>
        <v>893858.71485714288</v>
      </c>
      <c r="AF147" s="35">
        <f t="shared" si="67"/>
        <v>745139.34871428576</v>
      </c>
      <c r="AG147" s="35">
        <f t="shared" si="67"/>
        <v>729189.67628571426</v>
      </c>
      <c r="AH147" s="35">
        <f t="shared" si="67"/>
        <v>689030.22109523811</v>
      </c>
      <c r="AI147" s="35">
        <f t="shared" si="67"/>
        <v>733873.61861904757</v>
      </c>
      <c r="AJ147" s="35">
        <f t="shared" si="67"/>
        <v>709481.92919047619</v>
      </c>
      <c r="AK147" s="35">
        <f t="shared" si="67"/>
        <v>835669.40076190478</v>
      </c>
      <c r="AL147" s="35">
        <f t="shared" si="67"/>
        <v>695818.07189572509</v>
      </c>
      <c r="AM147" s="35">
        <f t="shared" si="67"/>
        <v>620033.10589302634</v>
      </c>
      <c r="AN147" s="35">
        <f t="shared" si="67"/>
        <v>1085663.8018095237</v>
      </c>
      <c r="AO147" s="35">
        <f t="shared" si="67"/>
        <v>864860.83152380958</v>
      </c>
      <c r="AP147" s="35">
        <f t="shared" si="67"/>
        <v>963488.65914285718</v>
      </c>
      <c r="AQ147" s="35">
        <f t="shared" si="67"/>
        <v>1143858.7148571429</v>
      </c>
      <c r="AR147" s="35">
        <f t="shared" si="67"/>
        <v>995139.34871428576</v>
      </c>
      <c r="AS147" s="35">
        <f t="shared" si="67"/>
        <v>979189.67628571426</v>
      </c>
      <c r="AT147" s="35">
        <f t="shared" si="67"/>
        <v>924160.11276190472</v>
      </c>
      <c r="AU147" s="35">
        <f t="shared" si="67"/>
        <v>970200.90028571431</v>
      </c>
      <c r="AV147" s="35">
        <f t="shared" si="67"/>
        <v>948041.99085714284</v>
      </c>
      <c r="AW147" s="35">
        <f t="shared" si="67"/>
        <v>1070148.1774285715</v>
      </c>
      <c r="AX147" s="35">
        <f t="shared" si="67"/>
        <v>936551.5885623917</v>
      </c>
      <c r="AY147" s="35">
        <f t="shared" si="67"/>
        <v>860034.2925596931</v>
      </c>
      <c r="AZ147" s="35">
        <f t="shared" si="67"/>
        <v>860034.2925596931</v>
      </c>
      <c r="BA147" s="35">
        <f t="shared" si="67"/>
        <v>860034.2925596931</v>
      </c>
    </row>
    <row r="148" spans="2:53" x14ac:dyDescent="0.35">
      <c r="B148" t="s">
        <v>115</v>
      </c>
      <c r="C148" t="s">
        <v>120</v>
      </c>
      <c r="O148" s="35">
        <f t="shared" ref="O148:BA148" si="68">MIN((O12+O17),O82)</f>
        <v>0</v>
      </c>
      <c r="P148" s="35">
        <f t="shared" si="68"/>
        <v>0</v>
      </c>
      <c r="Q148" s="35">
        <f t="shared" si="68"/>
        <v>0</v>
      </c>
      <c r="R148" s="35">
        <f t="shared" si="68"/>
        <v>0</v>
      </c>
      <c r="S148" s="35">
        <f t="shared" si="68"/>
        <v>63000</v>
      </c>
      <c r="T148" s="35">
        <f t="shared" si="68"/>
        <v>63000</v>
      </c>
      <c r="U148" s="35">
        <f t="shared" si="68"/>
        <v>0</v>
      </c>
      <c r="V148" s="35">
        <f t="shared" si="68"/>
        <v>0</v>
      </c>
      <c r="W148" s="35">
        <f t="shared" si="68"/>
        <v>0</v>
      </c>
      <c r="X148" s="35">
        <f t="shared" si="68"/>
        <v>0</v>
      </c>
      <c r="Y148" s="35">
        <f t="shared" si="68"/>
        <v>490000</v>
      </c>
      <c r="Z148" s="35">
        <f t="shared" si="68"/>
        <v>490000</v>
      </c>
      <c r="AA148" s="35">
        <f t="shared" si="68"/>
        <v>490000</v>
      </c>
      <c r="AB148" s="35">
        <f t="shared" si="68"/>
        <v>0</v>
      </c>
      <c r="AC148" s="35">
        <f t="shared" si="68"/>
        <v>0</v>
      </c>
      <c r="AD148" s="35">
        <f t="shared" si="68"/>
        <v>0</v>
      </c>
      <c r="AE148" s="35">
        <f t="shared" si="68"/>
        <v>0</v>
      </c>
      <c r="AF148" s="35">
        <f t="shared" si="68"/>
        <v>0</v>
      </c>
      <c r="AG148" s="35">
        <f t="shared" si="68"/>
        <v>0</v>
      </c>
      <c r="AH148" s="35">
        <f t="shared" si="68"/>
        <v>0</v>
      </c>
      <c r="AI148" s="35">
        <f t="shared" si="68"/>
        <v>0</v>
      </c>
      <c r="AJ148" s="35">
        <f t="shared" si="68"/>
        <v>0</v>
      </c>
      <c r="AK148" s="35">
        <f t="shared" si="68"/>
        <v>0</v>
      </c>
      <c r="AL148" s="35">
        <f t="shared" si="68"/>
        <v>0</v>
      </c>
      <c r="AM148" s="35">
        <f t="shared" si="68"/>
        <v>0</v>
      </c>
      <c r="AN148" s="35">
        <f t="shared" si="68"/>
        <v>0</v>
      </c>
      <c r="AO148" s="35">
        <f t="shared" si="68"/>
        <v>0</v>
      </c>
      <c r="AP148" s="35">
        <f t="shared" si="68"/>
        <v>0</v>
      </c>
      <c r="AQ148" s="35">
        <f t="shared" si="68"/>
        <v>0</v>
      </c>
      <c r="AR148" s="35">
        <f t="shared" si="68"/>
        <v>0</v>
      </c>
      <c r="AS148" s="35">
        <f t="shared" si="68"/>
        <v>0</v>
      </c>
      <c r="AT148" s="35">
        <f t="shared" si="68"/>
        <v>0</v>
      </c>
      <c r="AU148" s="35">
        <f t="shared" si="68"/>
        <v>0</v>
      </c>
      <c r="AV148" s="35">
        <f t="shared" si="68"/>
        <v>0</v>
      </c>
      <c r="AW148" s="35">
        <f t="shared" si="68"/>
        <v>0</v>
      </c>
      <c r="AX148" s="35">
        <f t="shared" si="68"/>
        <v>0</v>
      </c>
      <c r="AY148" s="35">
        <f t="shared" si="68"/>
        <v>0</v>
      </c>
      <c r="AZ148" s="35">
        <f t="shared" si="68"/>
        <v>0</v>
      </c>
      <c r="BA148" s="35">
        <f t="shared" si="68"/>
        <v>0</v>
      </c>
    </row>
    <row r="149" spans="2:53" x14ac:dyDescent="0.35">
      <c r="B149" t="s">
        <v>115</v>
      </c>
      <c r="C149" t="s">
        <v>121</v>
      </c>
      <c r="O149" s="35">
        <f t="shared" ref="O149:BA149" si="69">(O13+O18)</f>
        <v>0</v>
      </c>
      <c r="P149" s="35">
        <f t="shared" si="69"/>
        <v>0</v>
      </c>
      <c r="Q149" s="35">
        <f t="shared" si="69"/>
        <v>0</v>
      </c>
      <c r="R149" s="35">
        <f t="shared" si="69"/>
        <v>0</v>
      </c>
      <c r="S149" s="35">
        <f t="shared" si="69"/>
        <v>0</v>
      </c>
      <c r="T149" s="35">
        <f t="shared" si="69"/>
        <v>0</v>
      </c>
      <c r="U149" s="35">
        <f t="shared" si="69"/>
        <v>0</v>
      </c>
      <c r="V149" s="35">
        <f t="shared" si="69"/>
        <v>0</v>
      </c>
      <c r="W149" s="35">
        <f t="shared" si="69"/>
        <v>0</v>
      </c>
      <c r="X149" s="35">
        <f t="shared" si="69"/>
        <v>0</v>
      </c>
      <c r="Y149" s="35">
        <f t="shared" si="69"/>
        <v>0</v>
      </c>
      <c r="Z149" s="35">
        <f t="shared" si="69"/>
        <v>0</v>
      </c>
      <c r="AA149" s="35">
        <f t="shared" si="69"/>
        <v>0</v>
      </c>
      <c r="AB149" s="35">
        <f t="shared" si="69"/>
        <v>0</v>
      </c>
      <c r="AC149" s="35">
        <f t="shared" si="69"/>
        <v>0</v>
      </c>
      <c r="AD149" s="35">
        <f t="shared" si="69"/>
        <v>0</v>
      </c>
      <c r="AE149" s="35">
        <f t="shared" si="69"/>
        <v>0</v>
      </c>
      <c r="AF149" s="35">
        <f t="shared" si="69"/>
        <v>0</v>
      </c>
      <c r="AG149" s="35">
        <f t="shared" si="69"/>
        <v>0</v>
      </c>
      <c r="AH149" s="35">
        <f t="shared" si="69"/>
        <v>0</v>
      </c>
      <c r="AI149" s="35">
        <f t="shared" si="69"/>
        <v>0</v>
      </c>
      <c r="AJ149" s="35">
        <f t="shared" si="69"/>
        <v>0</v>
      </c>
      <c r="AK149" s="35">
        <f t="shared" si="69"/>
        <v>0</v>
      </c>
      <c r="AL149" s="35">
        <f t="shared" si="69"/>
        <v>0</v>
      </c>
      <c r="AM149" s="35">
        <f t="shared" si="69"/>
        <v>0</v>
      </c>
      <c r="AN149" s="35">
        <f t="shared" si="69"/>
        <v>0</v>
      </c>
      <c r="AO149" s="35">
        <f t="shared" si="69"/>
        <v>0</v>
      </c>
      <c r="AP149" s="35">
        <f t="shared" si="69"/>
        <v>0</v>
      </c>
      <c r="AQ149" s="35">
        <f t="shared" si="69"/>
        <v>0</v>
      </c>
      <c r="AR149" s="35">
        <f t="shared" si="69"/>
        <v>0</v>
      </c>
      <c r="AS149" s="35">
        <f t="shared" si="69"/>
        <v>0</v>
      </c>
      <c r="AT149" s="35">
        <f t="shared" si="69"/>
        <v>0</v>
      </c>
      <c r="AU149" s="35">
        <f t="shared" si="69"/>
        <v>0</v>
      </c>
      <c r="AV149" s="35">
        <f t="shared" si="69"/>
        <v>0</v>
      </c>
      <c r="AW149" s="35">
        <f t="shared" si="69"/>
        <v>0</v>
      </c>
      <c r="AX149" s="35">
        <f t="shared" si="69"/>
        <v>0</v>
      </c>
      <c r="AY149" s="35">
        <f t="shared" si="69"/>
        <v>0</v>
      </c>
      <c r="AZ149" s="35">
        <f t="shared" si="69"/>
        <v>0</v>
      </c>
      <c r="BA149" s="35">
        <f t="shared" si="69"/>
        <v>0</v>
      </c>
    </row>
    <row r="150" spans="2:53" x14ac:dyDescent="0.35">
      <c r="S150">
        <f>S103/SUM(S144,S146,S147,S149)</f>
        <v>0.37777777777777777</v>
      </c>
      <c r="T150">
        <f>T103/SUM(T144,T146,T147,T149)</f>
        <v>0.13521404957376845</v>
      </c>
      <c r="U150">
        <f>SUM(U147,U144)/SUM(U144,U146,U147)</f>
        <v>0.42267923783530481</v>
      </c>
      <c r="V150">
        <f>V103/SUM(V144,V146,V147,V149)</f>
        <v>7.6664502496878187E-2</v>
      </c>
    </row>
    <row r="151" spans="2:53" x14ac:dyDescent="0.35">
      <c r="B151" t="s">
        <v>122</v>
      </c>
      <c r="C151" t="s">
        <v>116</v>
      </c>
      <c r="O151" s="40">
        <f t="shared" ref="O151:BA156" si="70">IFERROR(O$158*O144/SUM(O$144:O$149)/O144,0)</f>
        <v>0</v>
      </c>
      <c r="P151" s="40">
        <f t="shared" si="70"/>
        <v>0</v>
      </c>
      <c r="Q151" s="40">
        <f t="shared" si="70"/>
        <v>0</v>
      </c>
      <c r="R151" s="40">
        <f t="shared" si="70"/>
        <v>0</v>
      </c>
      <c r="S151" s="40">
        <f t="shared" si="70"/>
        <v>0</v>
      </c>
      <c r="T151" s="40">
        <f t="shared" si="70"/>
        <v>0.44419508374352379</v>
      </c>
      <c r="U151" s="40">
        <f t="shared" si="70"/>
        <v>0.23152201957415691</v>
      </c>
      <c r="V151" s="40">
        <f t="shared" si="70"/>
        <v>0.18583115845251472</v>
      </c>
      <c r="W151" s="40">
        <f t="shared" si="70"/>
        <v>0.15672799610836927</v>
      </c>
      <c r="X151" s="40">
        <f t="shared" si="70"/>
        <v>0.15574934196019838</v>
      </c>
      <c r="Y151" s="40">
        <f t="shared" si="70"/>
        <v>0.13371982734219529</v>
      </c>
      <c r="Z151" s="40">
        <f t="shared" si="70"/>
        <v>0.14805010496960952</v>
      </c>
      <c r="AA151" s="40">
        <f t="shared" si="70"/>
        <v>0.14805010496960952</v>
      </c>
      <c r="AB151" s="40">
        <f t="shared" si="70"/>
        <v>0.1330187941194057</v>
      </c>
      <c r="AC151" s="40">
        <f t="shared" si="70"/>
        <v>0.14030007332770958</v>
      </c>
      <c r="AD151" s="40">
        <f t="shared" si="70"/>
        <v>0.14874262358823509</v>
      </c>
      <c r="AE151" s="40">
        <f t="shared" si="70"/>
        <v>0.13367200575861238</v>
      </c>
      <c r="AF151" s="40">
        <f t="shared" si="70"/>
        <v>0.14874262358823509</v>
      </c>
      <c r="AG151" s="40">
        <f t="shared" si="70"/>
        <v>0.13800969097870333</v>
      </c>
      <c r="AH151" s="40">
        <f t="shared" si="70"/>
        <v>0.13402833339486539</v>
      </c>
      <c r="AI151" s="40">
        <f t="shared" si="70"/>
        <v>0.12260046391968758</v>
      </c>
      <c r="AJ151" s="40">
        <f t="shared" si="70"/>
        <v>0.12986982583522694</v>
      </c>
      <c r="AK151" s="40">
        <f t="shared" si="70"/>
        <v>0.10963290343988749</v>
      </c>
      <c r="AL151" s="40">
        <f t="shared" si="70"/>
        <v>0.12532658161885835</v>
      </c>
      <c r="AM151" s="40">
        <f t="shared" si="70"/>
        <v>0.12532658161885832</v>
      </c>
      <c r="AN151" s="40">
        <f t="shared" si="70"/>
        <v>0.11330280726166267</v>
      </c>
      <c r="AO151" s="40">
        <f t="shared" si="70"/>
        <v>0.11837529068107161</v>
      </c>
      <c r="AP151" s="40">
        <f t="shared" si="70"/>
        <v>0.12519173107524845</v>
      </c>
      <c r="AQ151" s="40">
        <f t="shared" si="70"/>
        <v>0.11334296301595179</v>
      </c>
      <c r="AR151" s="40">
        <f t="shared" si="70"/>
        <v>0.12519173107524842</v>
      </c>
      <c r="AS151" s="40">
        <f t="shared" si="70"/>
        <v>0.11489717723663981</v>
      </c>
      <c r="AT151" s="40">
        <f t="shared" si="70"/>
        <v>0.11572861644599307</v>
      </c>
      <c r="AU151" s="40">
        <f t="shared" si="70"/>
        <v>0.11410913840955252</v>
      </c>
      <c r="AV151" s="40">
        <f t="shared" si="70"/>
        <v>0.11693391731960688</v>
      </c>
      <c r="AW151" s="40">
        <f t="shared" si="70"/>
        <v>0.10701472022309934</v>
      </c>
      <c r="AX151" s="40">
        <f t="shared" si="70"/>
        <v>0.12100273976340596</v>
      </c>
      <c r="AY151" s="40">
        <f t="shared" si="70"/>
        <v>0.12100273976340599</v>
      </c>
      <c r="AZ151" s="40">
        <f t="shared" si="70"/>
        <v>9.7463012675900282E-2</v>
      </c>
      <c r="BA151" s="40">
        <f t="shared" si="70"/>
        <v>0.10153551390642748</v>
      </c>
    </row>
    <row r="152" spans="2:53" x14ac:dyDescent="0.35">
      <c r="B152" t="s">
        <v>122</v>
      </c>
      <c r="C152" t="s">
        <v>117</v>
      </c>
      <c r="O152" s="40">
        <f t="shared" si="70"/>
        <v>0</v>
      </c>
      <c r="P152" s="40">
        <f t="shared" si="70"/>
        <v>0</v>
      </c>
      <c r="Q152" s="40">
        <f t="shared" si="70"/>
        <v>0</v>
      </c>
      <c r="R152" s="40">
        <f t="shared" si="70"/>
        <v>0</v>
      </c>
      <c r="S152" s="40">
        <f t="shared" si="70"/>
        <v>0</v>
      </c>
      <c r="T152" s="40">
        <f t="shared" si="70"/>
        <v>0.44419508374352384</v>
      </c>
      <c r="U152" s="40">
        <f t="shared" si="70"/>
        <v>0.23152201957415688</v>
      </c>
      <c r="V152" s="40">
        <f t="shared" si="70"/>
        <v>0.18583115845251472</v>
      </c>
      <c r="W152" s="40">
        <f t="shared" si="70"/>
        <v>0.15672799610836927</v>
      </c>
      <c r="X152" s="40">
        <f t="shared" si="70"/>
        <v>0.15574934196019835</v>
      </c>
      <c r="Y152" s="40">
        <f t="shared" si="70"/>
        <v>0.13371982734219529</v>
      </c>
      <c r="Z152" s="40">
        <f t="shared" si="70"/>
        <v>0.14805010496960949</v>
      </c>
      <c r="AA152" s="40">
        <f t="shared" si="70"/>
        <v>0.14805010496960952</v>
      </c>
      <c r="AB152" s="40">
        <f t="shared" si="70"/>
        <v>0.1330187941194057</v>
      </c>
      <c r="AC152" s="40">
        <f t="shared" si="70"/>
        <v>0.14030007332770961</v>
      </c>
      <c r="AD152" s="40">
        <f t="shared" si="70"/>
        <v>0.14874262358823509</v>
      </c>
      <c r="AE152" s="40">
        <f t="shared" si="70"/>
        <v>0.13367200575861238</v>
      </c>
      <c r="AF152" s="40">
        <f t="shared" si="70"/>
        <v>0.14874262358823509</v>
      </c>
      <c r="AG152" s="40">
        <f t="shared" si="70"/>
        <v>0.13800969097870333</v>
      </c>
      <c r="AH152" s="40">
        <f t="shared" si="70"/>
        <v>0.13402833339486536</v>
      </c>
      <c r="AI152" s="40">
        <f t="shared" si="70"/>
        <v>0.12260046391968757</v>
      </c>
      <c r="AJ152" s="40">
        <f t="shared" si="70"/>
        <v>0.12986982583522691</v>
      </c>
      <c r="AK152" s="40">
        <f t="shared" si="70"/>
        <v>0.10963290343988748</v>
      </c>
      <c r="AL152" s="40">
        <f t="shared" si="70"/>
        <v>0.12532658161885835</v>
      </c>
      <c r="AM152" s="40">
        <f t="shared" si="70"/>
        <v>0.12532658161885832</v>
      </c>
      <c r="AN152" s="40">
        <f t="shared" si="70"/>
        <v>0.11330280726166267</v>
      </c>
      <c r="AO152" s="40">
        <f t="shared" si="70"/>
        <v>0.1183752906810716</v>
      </c>
      <c r="AP152" s="40">
        <f t="shared" si="70"/>
        <v>0.12519173107524842</v>
      </c>
      <c r="AQ152" s="40">
        <f t="shared" si="70"/>
        <v>0.1133429630159518</v>
      </c>
      <c r="AR152" s="40">
        <f t="shared" si="70"/>
        <v>0.12519173107524842</v>
      </c>
      <c r="AS152" s="40">
        <f t="shared" si="70"/>
        <v>0.11489717723663979</v>
      </c>
      <c r="AT152" s="40">
        <f t="shared" si="70"/>
        <v>0.11572861644599308</v>
      </c>
      <c r="AU152" s="40">
        <f t="shared" si="70"/>
        <v>0.11410913840955252</v>
      </c>
      <c r="AV152" s="40">
        <f t="shared" si="70"/>
        <v>0.11693391731960688</v>
      </c>
      <c r="AW152" s="40">
        <f t="shared" si="70"/>
        <v>0.10701472022309935</v>
      </c>
      <c r="AX152" s="40">
        <f t="shared" si="70"/>
        <v>0.12100273976340598</v>
      </c>
      <c r="AY152" s="40">
        <f t="shared" si="70"/>
        <v>0.12100273976340598</v>
      </c>
      <c r="AZ152" s="40">
        <f t="shared" si="70"/>
        <v>9.7463012675900282E-2</v>
      </c>
      <c r="BA152" s="40">
        <f t="shared" si="70"/>
        <v>0.10153551390642748</v>
      </c>
    </row>
    <row r="153" spans="2:53" x14ac:dyDescent="0.35">
      <c r="B153" t="s">
        <v>122</v>
      </c>
      <c r="C153" t="s">
        <v>118</v>
      </c>
      <c r="O153" s="40">
        <f t="shared" si="70"/>
        <v>0</v>
      </c>
      <c r="P153" s="40">
        <f t="shared" si="70"/>
        <v>0</v>
      </c>
      <c r="Q153" s="40">
        <f t="shared" si="70"/>
        <v>0</v>
      </c>
      <c r="R153" s="40">
        <f t="shared" si="70"/>
        <v>0</v>
      </c>
      <c r="S153" s="40">
        <f>IFERROR(S$158*S146/SUM(S$144:S$149)/S146,0)</f>
        <v>1.094960680873859</v>
      </c>
      <c r="T153" s="40">
        <f t="shared" si="70"/>
        <v>0.44419508374352379</v>
      </c>
      <c r="U153" s="40">
        <f>IFERROR(U$158*U146/SUM(U$144:U$149)/U146,0)</f>
        <v>0.23152201957415688</v>
      </c>
      <c r="V153" s="40">
        <f t="shared" si="70"/>
        <v>0.18583115845251474</v>
      </c>
      <c r="W153" s="40">
        <f t="shared" si="70"/>
        <v>0.15672799610836929</v>
      </c>
      <c r="X153" s="40">
        <f t="shared" si="70"/>
        <v>0.15574934196019838</v>
      </c>
      <c r="Y153" s="40">
        <f t="shared" si="70"/>
        <v>0.13371982734219529</v>
      </c>
      <c r="Z153" s="40">
        <f t="shared" si="70"/>
        <v>0.14805010496960955</v>
      </c>
      <c r="AA153" s="40">
        <f t="shared" si="70"/>
        <v>0.14805010496960955</v>
      </c>
      <c r="AB153" s="40">
        <f t="shared" si="70"/>
        <v>0.1330187941194057</v>
      </c>
      <c r="AC153" s="40">
        <f t="shared" si="70"/>
        <v>0.14030007332770958</v>
      </c>
      <c r="AD153" s="40">
        <f t="shared" si="70"/>
        <v>0.14874262358823509</v>
      </c>
      <c r="AE153" s="40">
        <f t="shared" si="70"/>
        <v>0.13367200575861238</v>
      </c>
      <c r="AF153" s="40">
        <f t="shared" si="70"/>
        <v>0.14874262358823509</v>
      </c>
      <c r="AG153" s="40">
        <f t="shared" si="70"/>
        <v>0.1380096909787033</v>
      </c>
      <c r="AH153" s="40">
        <f t="shared" si="70"/>
        <v>0.13402833339486536</v>
      </c>
      <c r="AI153" s="40">
        <f t="shared" si="70"/>
        <v>0.12260046391968758</v>
      </c>
      <c r="AJ153" s="40">
        <f t="shared" si="70"/>
        <v>0.12986982583522694</v>
      </c>
      <c r="AK153" s="40">
        <f t="shared" si="70"/>
        <v>0.10963290343988748</v>
      </c>
      <c r="AL153" s="40">
        <f t="shared" si="70"/>
        <v>0.12532658161885835</v>
      </c>
      <c r="AM153" s="40">
        <f t="shared" si="70"/>
        <v>0.12532658161885835</v>
      </c>
      <c r="AN153" s="40">
        <f t="shared" si="70"/>
        <v>0.11330280726166267</v>
      </c>
      <c r="AO153" s="40">
        <f t="shared" si="70"/>
        <v>0.11837529068107161</v>
      </c>
      <c r="AP153" s="40">
        <f t="shared" si="70"/>
        <v>0.12519173107524842</v>
      </c>
      <c r="AQ153" s="40">
        <f t="shared" si="70"/>
        <v>0.11334296301595179</v>
      </c>
      <c r="AR153" s="40">
        <f t="shared" si="70"/>
        <v>0.12519173107524842</v>
      </c>
      <c r="AS153" s="40">
        <f t="shared" si="70"/>
        <v>0.11489717723663979</v>
      </c>
      <c r="AT153" s="40">
        <f t="shared" si="70"/>
        <v>0.1157286164459931</v>
      </c>
      <c r="AU153" s="40">
        <f t="shared" si="70"/>
        <v>0.11410913840955252</v>
      </c>
      <c r="AV153" s="40">
        <f t="shared" si="70"/>
        <v>0.11693391731960689</v>
      </c>
      <c r="AW153" s="40">
        <f t="shared" si="70"/>
        <v>0.10701472022309932</v>
      </c>
      <c r="AX153" s="40">
        <f t="shared" si="70"/>
        <v>0.12100273976340598</v>
      </c>
      <c r="AY153" s="40">
        <f t="shared" si="70"/>
        <v>0.12100273976340598</v>
      </c>
      <c r="AZ153" s="40">
        <f t="shared" si="70"/>
        <v>9.7463012675900282E-2</v>
      </c>
      <c r="BA153" s="40">
        <f t="shared" si="70"/>
        <v>0.10153551390642748</v>
      </c>
    </row>
    <row r="154" spans="2:53" x14ac:dyDescent="0.35">
      <c r="B154" t="s">
        <v>122</v>
      </c>
      <c r="C154" t="s">
        <v>119</v>
      </c>
      <c r="O154" s="40">
        <f t="shared" si="70"/>
        <v>0</v>
      </c>
      <c r="P154" s="40">
        <f t="shared" si="70"/>
        <v>0</v>
      </c>
      <c r="Q154" s="40">
        <f t="shared" si="70"/>
        <v>0</v>
      </c>
      <c r="R154" s="40">
        <f t="shared" si="70"/>
        <v>0</v>
      </c>
      <c r="S154" s="40">
        <f t="shared" si="70"/>
        <v>1.0949606808738588</v>
      </c>
      <c r="T154" s="40">
        <f t="shared" si="70"/>
        <v>0.44419508374352379</v>
      </c>
      <c r="U154" s="40">
        <f t="shared" si="70"/>
        <v>0.23152201957415688</v>
      </c>
      <c r="V154" s="40">
        <f t="shared" si="70"/>
        <v>0.18583115845251472</v>
      </c>
      <c r="W154" s="40">
        <f t="shared" si="70"/>
        <v>0.15672799610836929</v>
      </c>
      <c r="X154" s="40">
        <f t="shared" si="70"/>
        <v>0.15574934196019835</v>
      </c>
      <c r="Y154" s="40">
        <f t="shared" si="70"/>
        <v>0.13371982734219529</v>
      </c>
      <c r="Z154" s="40">
        <f t="shared" si="70"/>
        <v>0.14805010496960952</v>
      </c>
      <c r="AA154" s="40">
        <f t="shared" si="70"/>
        <v>0.14805010496960952</v>
      </c>
      <c r="AB154" s="40">
        <f t="shared" si="70"/>
        <v>0.1330187941194057</v>
      </c>
      <c r="AC154" s="40">
        <f t="shared" si="70"/>
        <v>0.14030007332770961</v>
      </c>
      <c r="AD154" s="40">
        <f t="shared" si="70"/>
        <v>0.14874262358823509</v>
      </c>
      <c r="AE154" s="40">
        <f t="shared" si="70"/>
        <v>0.13367200575861238</v>
      </c>
      <c r="AF154" s="40">
        <f t="shared" si="70"/>
        <v>0.14874262358823509</v>
      </c>
      <c r="AG154" s="40">
        <f t="shared" si="70"/>
        <v>0.13800969097870333</v>
      </c>
      <c r="AH154" s="40">
        <f t="shared" si="70"/>
        <v>0.13402833339486536</v>
      </c>
      <c r="AI154" s="40">
        <f t="shared" si="70"/>
        <v>0.12260046391968758</v>
      </c>
      <c r="AJ154" s="40">
        <f t="shared" si="70"/>
        <v>0.12986982583522691</v>
      </c>
      <c r="AK154" s="40">
        <f t="shared" si="70"/>
        <v>0.10963290343988749</v>
      </c>
      <c r="AL154" s="40">
        <f t="shared" si="70"/>
        <v>0.12532658161885835</v>
      </c>
      <c r="AM154" s="40">
        <f t="shared" si="70"/>
        <v>0.12532658161885835</v>
      </c>
      <c r="AN154" s="40">
        <f t="shared" si="70"/>
        <v>0.11330280726166267</v>
      </c>
      <c r="AO154" s="40">
        <f t="shared" si="70"/>
        <v>0.11837529068107161</v>
      </c>
      <c r="AP154" s="40">
        <f t="shared" si="70"/>
        <v>0.12519173107524842</v>
      </c>
      <c r="AQ154" s="40">
        <f t="shared" si="70"/>
        <v>0.1133429630159518</v>
      </c>
      <c r="AR154" s="40">
        <f t="shared" si="70"/>
        <v>0.12519173107524845</v>
      </c>
      <c r="AS154" s="40">
        <f t="shared" si="70"/>
        <v>0.11489717723663979</v>
      </c>
      <c r="AT154" s="40">
        <f t="shared" si="70"/>
        <v>0.11572861644599308</v>
      </c>
      <c r="AU154" s="40">
        <f t="shared" si="70"/>
        <v>0.11410913840955253</v>
      </c>
      <c r="AV154" s="40">
        <f t="shared" si="70"/>
        <v>0.11693391731960688</v>
      </c>
      <c r="AW154" s="40">
        <f t="shared" si="70"/>
        <v>0.10701472022309932</v>
      </c>
      <c r="AX154" s="40">
        <f t="shared" si="70"/>
        <v>0.12100273976340596</v>
      </c>
      <c r="AY154" s="40">
        <f t="shared" si="70"/>
        <v>0.12100273976340598</v>
      </c>
      <c r="AZ154" s="40">
        <f t="shared" si="70"/>
        <v>9.7463012675900296E-2</v>
      </c>
      <c r="BA154" s="40">
        <f t="shared" si="70"/>
        <v>0.10153551390642748</v>
      </c>
    </row>
    <row r="155" spans="2:53" x14ac:dyDescent="0.35">
      <c r="B155" t="s">
        <v>122</v>
      </c>
      <c r="C155" t="s">
        <v>120</v>
      </c>
      <c r="O155" s="40">
        <f t="shared" si="70"/>
        <v>0</v>
      </c>
      <c r="P155" s="40">
        <f t="shared" si="70"/>
        <v>0</v>
      </c>
      <c r="Q155" s="40">
        <f t="shared" si="70"/>
        <v>0</v>
      </c>
      <c r="R155" s="40">
        <f t="shared" si="70"/>
        <v>0</v>
      </c>
      <c r="S155" s="40">
        <f t="shared" si="70"/>
        <v>1.0949606808738588</v>
      </c>
      <c r="T155" s="40">
        <f t="shared" si="70"/>
        <v>0.44419508374352384</v>
      </c>
      <c r="U155" s="40">
        <f t="shared" si="70"/>
        <v>0</v>
      </c>
      <c r="V155" s="40">
        <f t="shared" si="70"/>
        <v>0</v>
      </c>
      <c r="W155" s="40">
        <f t="shared" si="70"/>
        <v>0</v>
      </c>
      <c r="X155" s="40">
        <f t="shared" si="70"/>
        <v>0</v>
      </c>
      <c r="Y155" s="40">
        <f t="shared" si="70"/>
        <v>0.13371982734219529</v>
      </c>
      <c r="Z155" s="40">
        <f t="shared" si="70"/>
        <v>0.14805010496960952</v>
      </c>
      <c r="AA155" s="40">
        <f t="shared" si="70"/>
        <v>0.14805010496960952</v>
      </c>
      <c r="AB155" s="40">
        <f t="shared" si="70"/>
        <v>0</v>
      </c>
      <c r="AC155" s="40">
        <f t="shared" si="70"/>
        <v>0</v>
      </c>
      <c r="AD155" s="40">
        <f t="shared" si="70"/>
        <v>0</v>
      </c>
      <c r="AE155" s="40">
        <f t="shared" si="70"/>
        <v>0</v>
      </c>
      <c r="AF155" s="40">
        <f t="shared" si="70"/>
        <v>0</v>
      </c>
      <c r="AG155" s="40">
        <f t="shared" si="70"/>
        <v>0</v>
      </c>
      <c r="AH155" s="40">
        <f t="shared" si="70"/>
        <v>0</v>
      </c>
      <c r="AI155" s="40">
        <f t="shared" si="70"/>
        <v>0</v>
      </c>
      <c r="AJ155" s="40">
        <f t="shared" si="70"/>
        <v>0</v>
      </c>
      <c r="AK155" s="40">
        <f t="shared" si="70"/>
        <v>0</v>
      </c>
      <c r="AL155" s="40">
        <f t="shared" si="70"/>
        <v>0</v>
      </c>
      <c r="AM155" s="40">
        <f t="shared" si="70"/>
        <v>0</v>
      </c>
      <c r="AN155" s="40">
        <f t="shared" si="70"/>
        <v>0</v>
      </c>
      <c r="AO155" s="40">
        <f t="shared" si="70"/>
        <v>0</v>
      </c>
      <c r="AP155" s="40">
        <f t="shared" si="70"/>
        <v>0</v>
      </c>
      <c r="AQ155" s="40">
        <f t="shared" si="70"/>
        <v>0</v>
      </c>
      <c r="AR155" s="40">
        <f t="shared" si="70"/>
        <v>0</v>
      </c>
      <c r="AS155" s="40">
        <f t="shared" si="70"/>
        <v>0</v>
      </c>
      <c r="AT155" s="40">
        <f t="shared" si="70"/>
        <v>0</v>
      </c>
      <c r="AU155" s="40">
        <f t="shared" si="70"/>
        <v>0</v>
      </c>
      <c r="AV155" s="40">
        <f t="shared" si="70"/>
        <v>0</v>
      </c>
      <c r="AW155" s="40">
        <f t="shared" si="70"/>
        <v>0</v>
      </c>
      <c r="AX155" s="40">
        <f t="shared" si="70"/>
        <v>0</v>
      </c>
      <c r="AY155" s="40">
        <f t="shared" si="70"/>
        <v>0</v>
      </c>
      <c r="AZ155" s="40">
        <f t="shared" si="70"/>
        <v>0</v>
      </c>
      <c r="BA155" s="40">
        <f t="shared" si="70"/>
        <v>0</v>
      </c>
    </row>
    <row r="156" spans="2:53" x14ac:dyDescent="0.35">
      <c r="B156" t="s">
        <v>122</v>
      </c>
      <c r="C156" t="s">
        <v>121</v>
      </c>
      <c r="O156" s="40">
        <f t="shared" si="70"/>
        <v>0</v>
      </c>
      <c r="P156" s="40">
        <f t="shared" si="70"/>
        <v>0</v>
      </c>
      <c r="Q156" s="40">
        <f t="shared" si="70"/>
        <v>0</v>
      </c>
      <c r="R156" s="40">
        <f t="shared" si="70"/>
        <v>0</v>
      </c>
      <c r="S156" s="40">
        <f t="shared" si="70"/>
        <v>0</v>
      </c>
      <c r="T156" s="40">
        <f t="shared" si="70"/>
        <v>0</v>
      </c>
      <c r="U156" s="40">
        <f t="shared" si="70"/>
        <v>0</v>
      </c>
      <c r="V156" s="40">
        <f t="shared" si="70"/>
        <v>0</v>
      </c>
      <c r="W156" s="40">
        <f t="shared" si="70"/>
        <v>0</v>
      </c>
      <c r="X156" s="40">
        <f t="shared" si="70"/>
        <v>0</v>
      </c>
      <c r="Y156" s="40">
        <f t="shared" si="70"/>
        <v>0</v>
      </c>
      <c r="Z156" s="40">
        <f t="shared" si="70"/>
        <v>0</v>
      </c>
      <c r="AA156" s="40">
        <f t="shared" si="70"/>
        <v>0</v>
      </c>
      <c r="AB156" s="40">
        <f t="shared" si="70"/>
        <v>0</v>
      </c>
      <c r="AC156" s="40">
        <f t="shared" si="70"/>
        <v>0</v>
      </c>
      <c r="AD156" s="40">
        <f t="shared" si="70"/>
        <v>0</v>
      </c>
      <c r="AE156" s="40">
        <f t="shared" si="70"/>
        <v>0</v>
      </c>
      <c r="AF156" s="40">
        <f t="shared" si="70"/>
        <v>0</v>
      </c>
      <c r="AG156" s="40">
        <f t="shared" si="70"/>
        <v>0</v>
      </c>
      <c r="AH156" s="40">
        <f t="shared" si="70"/>
        <v>0</v>
      </c>
      <c r="AI156" s="40">
        <f t="shared" si="70"/>
        <v>0</v>
      </c>
      <c r="AJ156" s="40">
        <f t="shared" si="70"/>
        <v>0</v>
      </c>
      <c r="AK156" s="40">
        <f t="shared" si="70"/>
        <v>0</v>
      </c>
      <c r="AL156" s="40">
        <f t="shared" si="70"/>
        <v>0</v>
      </c>
      <c r="AM156" s="40">
        <f t="shared" si="70"/>
        <v>0</v>
      </c>
      <c r="AN156" s="40">
        <f t="shared" si="70"/>
        <v>0</v>
      </c>
      <c r="AO156" s="40">
        <f t="shared" si="70"/>
        <v>0</v>
      </c>
      <c r="AP156" s="40">
        <f t="shared" si="70"/>
        <v>0</v>
      </c>
      <c r="AQ156" s="40">
        <f t="shared" si="70"/>
        <v>0</v>
      </c>
      <c r="AR156" s="40">
        <f t="shared" si="70"/>
        <v>0</v>
      </c>
      <c r="AS156" s="40">
        <f t="shared" si="70"/>
        <v>0</v>
      </c>
      <c r="AT156" s="40">
        <f t="shared" si="70"/>
        <v>0</v>
      </c>
      <c r="AU156" s="40">
        <f t="shared" si="70"/>
        <v>0</v>
      </c>
      <c r="AV156" s="40">
        <f t="shared" si="70"/>
        <v>0</v>
      </c>
      <c r="AW156" s="40">
        <f t="shared" si="70"/>
        <v>0</v>
      </c>
      <c r="AX156" s="40">
        <f t="shared" si="70"/>
        <v>0</v>
      </c>
      <c r="AY156" s="40">
        <f t="shared" si="70"/>
        <v>0</v>
      </c>
      <c r="AZ156" s="40">
        <f t="shared" si="70"/>
        <v>0</v>
      </c>
      <c r="BA156" s="40">
        <f t="shared" si="70"/>
        <v>0</v>
      </c>
    </row>
    <row r="158" spans="2:53" x14ac:dyDescent="0.35">
      <c r="C158" t="s">
        <v>123</v>
      </c>
      <c r="O158" s="35">
        <f t="shared" ref="O158:BA158" si="71">SUM(O111:O114,O103:O108)</f>
        <v>428422.83849528845</v>
      </c>
      <c r="P158" s="35">
        <f t="shared" si="71"/>
        <v>420470.84716262989</v>
      </c>
      <c r="Q158" s="35">
        <f t="shared" si="71"/>
        <v>366043.77458314272</v>
      </c>
      <c r="R158" s="35">
        <f t="shared" si="71"/>
        <v>435176.68405682693</v>
      </c>
      <c r="S158" s="35">
        <f t="shared" si="71"/>
        <v>512441.59864896594</v>
      </c>
      <c r="T158" s="35">
        <f t="shared" si="71"/>
        <v>440552.68405682693</v>
      </c>
      <c r="U158" s="35">
        <f t="shared" si="71"/>
        <v>505088.43790298072</v>
      </c>
      <c r="V158" s="35">
        <f t="shared" si="71"/>
        <v>649081.29095665831</v>
      </c>
      <c r="W158" s="35">
        <f t="shared" si="71"/>
        <v>561286.83790298074</v>
      </c>
      <c r="X158" s="35">
        <f t="shared" si="71"/>
        <v>577420.43790298072</v>
      </c>
      <c r="Y158" s="35">
        <f t="shared" si="71"/>
        <v>704034.89095665817</v>
      </c>
      <c r="Z158" s="35">
        <f t="shared" si="71"/>
        <v>630540.60180669324</v>
      </c>
      <c r="AA158" s="35">
        <f t="shared" si="71"/>
        <v>630540.60180669324</v>
      </c>
      <c r="AB158" s="35">
        <f t="shared" si="71"/>
        <v>750766.51814363687</v>
      </c>
      <c r="AC158" s="35">
        <f t="shared" si="71"/>
        <v>633490.01617313456</v>
      </c>
      <c r="AD158" s="35">
        <f t="shared" si="71"/>
        <v>633490.01617313456</v>
      </c>
      <c r="AE158" s="35">
        <f t="shared" si="71"/>
        <v>754453.2861016884</v>
      </c>
      <c r="AF158" s="35">
        <f t="shared" si="71"/>
        <v>633490.01617313456</v>
      </c>
      <c r="AG158" s="35">
        <f t="shared" si="71"/>
        <v>640320.80304007023</v>
      </c>
      <c r="AH158" s="35">
        <f t="shared" si="71"/>
        <v>771738.64030600933</v>
      </c>
      <c r="AI158" s="35">
        <f t="shared" si="71"/>
        <v>700856.53294583049</v>
      </c>
      <c r="AJ158" s="35">
        <f t="shared" si="71"/>
        <v>707493.10497835488</v>
      </c>
      <c r="AK158" s="35">
        <f t="shared" si="71"/>
        <v>912088.7799450123</v>
      </c>
      <c r="AL158" s="35">
        <f t="shared" si="71"/>
        <v>785715.58095318277</v>
      </c>
      <c r="AM158" s="35">
        <f t="shared" si="71"/>
        <v>785715.58095318277</v>
      </c>
      <c r="AN158" s="35">
        <f t="shared" si="71"/>
        <v>944233.3262055685</v>
      </c>
      <c r="AO158" s="35">
        <f t="shared" si="71"/>
        <v>789204.76667242672</v>
      </c>
      <c r="AP158" s="35">
        <f t="shared" si="71"/>
        <v>790694.01476230484</v>
      </c>
      <c r="AQ158" s="35">
        <f t="shared" si="71"/>
        <v>949892.2573147096</v>
      </c>
      <c r="AR158" s="35">
        <f t="shared" si="71"/>
        <v>790694.01476230484</v>
      </c>
      <c r="AS158" s="35">
        <f t="shared" si="71"/>
        <v>824933.25476230495</v>
      </c>
      <c r="AT158" s="35">
        <f t="shared" si="71"/>
        <v>997083.33865129016</v>
      </c>
      <c r="AU158" s="35">
        <f t="shared" si="71"/>
        <v>839584.27598454256</v>
      </c>
      <c r="AV158" s="35">
        <f t="shared" si="71"/>
        <v>863564.52609888546</v>
      </c>
      <c r="AW158" s="35">
        <f t="shared" si="71"/>
        <v>1039882.3886512902</v>
      </c>
      <c r="AX158" s="35">
        <f t="shared" si="71"/>
        <v>893613.04244043725</v>
      </c>
      <c r="AY158" s="35">
        <f t="shared" si="71"/>
        <v>893613.04244043725</v>
      </c>
      <c r="AZ158" s="35">
        <f t="shared" si="71"/>
        <v>947066.62985499774</v>
      </c>
      <c r="BA158" s="35">
        <f t="shared" si="71"/>
        <v>789311.91906185157</v>
      </c>
    </row>
    <row r="159" spans="2:53" x14ac:dyDescent="0.35">
      <c r="O159" s="35"/>
      <c r="P159" s="35"/>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row>
    <row r="160" spans="2:53" x14ac:dyDescent="0.35">
      <c r="B160" s="45">
        <v>0.4</v>
      </c>
      <c r="C160" t="s">
        <v>124</v>
      </c>
      <c r="O160" s="35"/>
      <c r="P160" s="35"/>
      <c r="Q160" s="35"/>
      <c r="R160" s="35"/>
      <c r="S160" s="35"/>
      <c r="T160" s="35"/>
      <c r="U160" s="35"/>
      <c r="V160" s="35"/>
      <c r="W160" s="35"/>
      <c r="X160" s="35"/>
      <c r="Y160" s="35"/>
      <c r="Z160" s="35"/>
      <c r="AA160" s="35"/>
      <c r="AB160" s="35"/>
      <c r="AC160" s="35"/>
      <c r="AD160" s="35"/>
      <c r="AE160" s="35"/>
      <c r="AF160" s="35"/>
      <c r="AG160" s="35"/>
      <c r="AH160" s="35"/>
      <c r="AI160" s="35"/>
      <c r="AJ160" s="35"/>
      <c r="AK160" s="35"/>
      <c r="AL160" s="35"/>
      <c r="AM160" s="35"/>
      <c r="AN160" s="56">
        <f>-SUM($AK$131:$AM$131)*$B$160/SUM($AN$144:$AY$149)</f>
        <v>-5.4921712906504556E-3</v>
      </c>
      <c r="AO160" s="56">
        <f t="shared" ref="AO160:BA160" si="72">-SUM($AK$131:$AM$131)*$B$160/SUM($AN$144:$AY$149)</f>
        <v>-5.4921712906504556E-3</v>
      </c>
      <c r="AP160" s="56">
        <f t="shared" si="72"/>
        <v>-5.4921712906504556E-3</v>
      </c>
      <c r="AQ160" s="56">
        <f t="shared" si="72"/>
        <v>-5.4921712906504556E-3</v>
      </c>
      <c r="AR160" s="56">
        <f t="shared" si="72"/>
        <v>-5.4921712906504556E-3</v>
      </c>
      <c r="AS160" s="56">
        <f t="shared" si="72"/>
        <v>-5.4921712906504556E-3</v>
      </c>
      <c r="AT160" s="56">
        <f t="shared" si="72"/>
        <v>-5.4921712906504556E-3</v>
      </c>
      <c r="AU160" s="56">
        <f t="shared" si="72"/>
        <v>-5.4921712906504556E-3</v>
      </c>
      <c r="AV160" s="56">
        <f t="shared" si="72"/>
        <v>-5.4921712906504556E-3</v>
      </c>
      <c r="AW160" s="56">
        <f t="shared" si="72"/>
        <v>-5.4921712906504556E-3</v>
      </c>
      <c r="AX160" s="56">
        <f t="shared" si="72"/>
        <v>-5.4921712906504556E-3</v>
      </c>
      <c r="AY160" s="56">
        <f t="shared" si="72"/>
        <v>-5.4921712906504556E-3</v>
      </c>
      <c r="AZ160" s="56">
        <f t="shared" si="72"/>
        <v>-5.4921712906504556E-3</v>
      </c>
      <c r="BA160" s="56">
        <f t="shared" si="72"/>
        <v>-5.4921712906504556E-3</v>
      </c>
    </row>
    <row r="161" spans="2:53" x14ac:dyDescent="0.35">
      <c r="O161" s="35"/>
      <c r="P161" s="35"/>
      <c r="Q161" s="35"/>
      <c r="R161" s="35"/>
      <c r="S161" s="35"/>
      <c r="T161" s="35"/>
      <c r="U161" s="35"/>
      <c r="V161" s="35"/>
      <c r="W161" s="35"/>
      <c r="X161" s="35"/>
      <c r="Y161" s="35"/>
      <c r="Z161" s="35"/>
      <c r="AA161" s="35"/>
      <c r="AB161" s="35"/>
      <c r="AC161" s="35"/>
      <c r="AD161" s="35"/>
      <c r="AE161" s="35"/>
      <c r="AF161" s="35"/>
      <c r="AG161" s="35"/>
      <c r="AH161" s="35"/>
      <c r="AI161" s="35"/>
      <c r="AJ161" s="35"/>
      <c r="AK161" s="35"/>
      <c r="AL161" s="35"/>
      <c r="AM161" s="35"/>
      <c r="AN161" s="35"/>
      <c r="AO161" s="35"/>
      <c r="AP161" s="35"/>
      <c r="AQ161" s="35"/>
      <c r="AR161" s="35"/>
      <c r="AS161" s="35"/>
      <c r="AT161" s="35"/>
      <c r="AU161" s="35"/>
      <c r="AV161" s="35"/>
      <c r="AW161" s="35"/>
      <c r="AX161" s="35"/>
      <c r="AY161" s="35"/>
      <c r="AZ161" s="35"/>
      <c r="BA161" s="35"/>
    </row>
    <row r="163" spans="2:53" x14ac:dyDescent="0.35">
      <c r="B163" t="s">
        <v>125</v>
      </c>
      <c r="C163" t="s">
        <v>116</v>
      </c>
      <c r="O163" s="40">
        <f t="shared" ref="O163:AM165" si="73">O23+O34+O151</f>
        <v>0.30000000000000004</v>
      </c>
      <c r="P163" s="40">
        <f t="shared" si="73"/>
        <v>0.30000000000000004</v>
      </c>
      <c r="Q163" s="40">
        <f t="shared" si="73"/>
        <v>0.30000000000000004</v>
      </c>
      <c r="R163" s="40">
        <f t="shared" si="73"/>
        <v>0.30000000000000004</v>
      </c>
      <c r="S163" s="40">
        <f t="shared" si="73"/>
        <v>0.30000000000000004</v>
      </c>
      <c r="T163" s="40">
        <f t="shared" si="73"/>
        <v>0.74419508374352383</v>
      </c>
      <c r="U163" s="40">
        <f t="shared" si="73"/>
        <v>0.53152201957415701</v>
      </c>
      <c r="V163" s="40">
        <f t="shared" si="73"/>
        <v>0.48583115845251479</v>
      </c>
      <c r="W163" s="40">
        <f t="shared" si="73"/>
        <v>0.45672799610836934</v>
      </c>
      <c r="X163" s="40">
        <f t="shared" si="73"/>
        <v>0.45574934196019845</v>
      </c>
      <c r="Y163" s="40">
        <f t="shared" si="73"/>
        <v>0.43371982734219533</v>
      </c>
      <c r="Z163" s="40">
        <f t="shared" si="73"/>
        <v>0.44805010496960956</v>
      </c>
      <c r="AA163" s="40">
        <f t="shared" si="73"/>
        <v>0.44805010496960956</v>
      </c>
      <c r="AB163" s="40">
        <f t="shared" si="73"/>
        <v>0.43301879411940575</v>
      </c>
      <c r="AC163" s="40">
        <f t="shared" si="73"/>
        <v>0.4403000733277096</v>
      </c>
      <c r="AD163" s="40">
        <f t="shared" si="73"/>
        <v>0.44874262358823513</v>
      </c>
      <c r="AE163" s="40">
        <f t="shared" si="73"/>
        <v>0.43367200575861242</v>
      </c>
      <c r="AF163" s="40">
        <f t="shared" si="73"/>
        <v>0.44874262358823513</v>
      </c>
      <c r="AG163" s="40">
        <f t="shared" si="73"/>
        <v>0.43800969097870335</v>
      </c>
      <c r="AH163" s="40">
        <f t="shared" si="73"/>
        <v>0.43402833339486546</v>
      </c>
      <c r="AI163" s="40">
        <f t="shared" si="73"/>
        <v>0.42260046391968764</v>
      </c>
      <c r="AJ163" s="40">
        <f t="shared" si="73"/>
        <v>0.42986982583522698</v>
      </c>
      <c r="AK163" s="40">
        <f t="shared" si="73"/>
        <v>0.40963290343988756</v>
      </c>
      <c r="AL163" s="40">
        <f t="shared" si="73"/>
        <v>0.42532658161885839</v>
      </c>
      <c r="AM163" s="40">
        <f t="shared" si="73"/>
        <v>0.42532658161885839</v>
      </c>
      <c r="AN163" s="40">
        <f t="shared" ref="AN163:BA165" si="74">AN23+AN34+AN151+AN$160</f>
        <v>0.38481063597101223</v>
      </c>
      <c r="AO163" s="40">
        <f t="shared" si="74"/>
        <v>0.3898831193904212</v>
      </c>
      <c r="AP163" s="40">
        <f t="shared" si="74"/>
        <v>0.39669955978459803</v>
      </c>
      <c r="AQ163" s="40">
        <f t="shared" si="74"/>
        <v>0.3848507917253014</v>
      </c>
      <c r="AR163" s="40">
        <f t="shared" si="74"/>
        <v>0.39669955978459798</v>
      </c>
      <c r="AS163" s="40">
        <f t="shared" si="74"/>
        <v>0.38640500594598942</v>
      </c>
      <c r="AT163" s="40">
        <f t="shared" si="74"/>
        <v>0.38723644515534267</v>
      </c>
      <c r="AU163" s="40">
        <f t="shared" si="74"/>
        <v>0.38561696711890209</v>
      </c>
      <c r="AV163" s="40">
        <f t="shared" si="74"/>
        <v>0.38844174602895648</v>
      </c>
      <c r="AW163" s="40">
        <f t="shared" si="74"/>
        <v>0.37852254893244891</v>
      </c>
      <c r="AX163" s="40">
        <f t="shared" si="74"/>
        <v>0.39251056847275556</v>
      </c>
      <c r="AY163" s="40">
        <f t="shared" si="74"/>
        <v>0.39251056847275556</v>
      </c>
      <c r="AZ163" s="40">
        <f t="shared" si="74"/>
        <v>0.34827084138524989</v>
      </c>
      <c r="BA163" s="40">
        <f t="shared" si="74"/>
        <v>0.3523433426157771</v>
      </c>
    </row>
    <row r="164" spans="2:53" x14ac:dyDescent="0.35">
      <c r="B164" t="s">
        <v>125</v>
      </c>
      <c r="C164" t="s">
        <v>117</v>
      </c>
      <c r="O164" s="40">
        <f t="shared" si="73"/>
        <v>0.12</v>
      </c>
      <c r="P164" s="40">
        <f t="shared" si="73"/>
        <v>0.12</v>
      </c>
      <c r="Q164" s="40">
        <f t="shared" si="73"/>
        <v>0.12</v>
      </c>
      <c r="R164" s="40">
        <f t="shared" si="73"/>
        <v>0.12</v>
      </c>
      <c r="S164" s="40">
        <f t="shared" si="73"/>
        <v>0.12</v>
      </c>
      <c r="T164" s="40">
        <f t="shared" si="73"/>
        <v>0.5641950837435239</v>
      </c>
      <c r="U164" s="40">
        <f t="shared" si="73"/>
        <v>0.35152201957415685</v>
      </c>
      <c r="V164" s="40">
        <f t="shared" si="73"/>
        <v>0.30583115845251474</v>
      </c>
      <c r="W164" s="40">
        <f t="shared" si="73"/>
        <v>0.27672799610836929</v>
      </c>
      <c r="X164" s="40">
        <f t="shared" si="73"/>
        <v>0.27574934196019835</v>
      </c>
      <c r="Y164" s="40">
        <f t="shared" si="73"/>
        <v>0.25371982734219528</v>
      </c>
      <c r="Z164" s="40">
        <f t="shared" si="73"/>
        <v>0.26805010496960946</v>
      </c>
      <c r="AA164" s="40">
        <f t="shared" si="73"/>
        <v>0.26805010496960952</v>
      </c>
      <c r="AB164" s="40">
        <f t="shared" si="73"/>
        <v>0.2530187941194057</v>
      </c>
      <c r="AC164" s="40">
        <f t="shared" si="73"/>
        <v>0.2603000733277096</v>
      </c>
      <c r="AD164" s="40">
        <f t="shared" si="73"/>
        <v>0.26874262358823509</v>
      </c>
      <c r="AE164" s="40">
        <f t="shared" si="73"/>
        <v>0.25367200575861237</v>
      </c>
      <c r="AF164" s="40">
        <f t="shared" si="73"/>
        <v>0.26874262358823509</v>
      </c>
      <c r="AG164" s="40">
        <f t="shared" si="73"/>
        <v>0.2580096909787033</v>
      </c>
      <c r="AH164" s="40">
        <f t="shared" si="73"/>
        <v>0.25402833339486536</v>
      </c>
      <c r="AI164" s="40">
        <f t="shared" si="73"/>
        <v>0.24260046391968756</v>
      </c>
      <c r="AJ164" s="40">
        <f t="shared" si="73"/>
        <v>0.24986982583522691</v>
      </c>
      <c r="AK164" s="40">
        <f t="shared" si="73"/>
        <v>0.22963290343988746</v>
      </c>
      <c r="AL164" s="40">
        <f t="shared" si="73"/>
        <v>0.24532658161885834</v>
      </c>
      <c r="AM164" s="40">
        <f t="shared" si="73"/>
        <v>0.24532658161885831</v>
      </c>
      <c r="AN164" s="40">
        <f t="shared" si="74"/>
        <v>0.21861063597101221</v>
      </c>
      <c r="AO164" s="40">
        <f t="shared" si="74"/>
        <v>0.22368311939042115</v>
      </c>
      <c r="AP164" s="40">
        <f t="shared" si="74"/>
        <v>0.23049955978459796</v>
      </c>
      <c r="AQ164" s="40">
        <f t="shared" si="74"/>
        <v>0.21865079172530136</v>
      </c>
      <c r="AR164" s="40">
        <f t="shared" si="74"/>
        <v>0.23049955978459796</v>
      </c>
      <c r="AS164" s="40">
        <f t="shared" si="74"/>
        <v>0.22020500594598932</v>
      </c>
      <c r="AT164" s="40">
        <f t="shared" si="74"/>
        <v>0.22103644515534263</v>
      </c>
      <c r="AU164" s="40">
        <f t="shared" si="74"/>
        <v>0.21941696711890205</v>
      </c>
      <c r="AV164" s="40">
        <f t="shared" si="74"/>
        <v>0.22224174602895644</v>
      </c>
      <c r="AW164" s="40">
        <f t="shared" si="74"/>
        <v>0.2123225489324489</v>
      </c>
      <c r="AX164" s="40">
        <f t="shared" si="74"/>
        <v>0.22631056847275552</v>
      </c>
      <c r="AY164" s="40">
        <f t="shared" si="74"/>
        <v>0.22631056847275552</v>
      </c>
      <c r="AZ164" s="40">
        <f t="shared" si="74"/>
        <v>0.19449084138524983</v>
      </c>
      <c r="BA164" s="40">
        <f t="shared" si="74"/>
        <v>0.19856334261577702</v>
      </c>
    </row>
    <row r="165" spans="2:53" x14ac:dyDescent="0.35">
      <c r="B165" t="s">
        <v>125</v>
      </c>
      <c r="C165" t="s">
        <v>118</v>
      </c>
      <c r="O165" s="40">
        <f t="shared" si="73"/>
        <v>0.14000000000000001</v>
      </c>
      <c r="P165" s="40">
        <f t="shared" si="73"/>
        <v>0.14000000000000001</v>
      </c>
      <c r="Q165" s="40">
        <f t="shared" si="73"/>
        <v>0.14000000000000001</v>
      </c>
      <c r="R165" s="40">
        <f t="shared" si="73"/>
        <v>0.14000000000000001</v>
      </c>
      <c r="S165" s="40">
        <f t="shared" si="73"/>
        <v>1.2349606808738591</v>
      </c>
      <c r="T165" s="40">
        <f t="shared" si="73"/>
        <v>0.5841950837435238</v>
      </c>
      <c r="U165" s="40">
        <f t="shared" si="73"/>
        <v>0.37152201957415687</v>
      </c>
      <c r="V165" s="40">
        <f t="shared" si="73"/>
        <v>0.32583115845251476</v>
      </c>
      <c r="W165" s="40">
        <f t="shared" si="73"/>
        <v>0.29672799610836931</v>
      </c>
      <c r="X165" s="40">
        <f t="shared" si="73"/>
        <v>0.29574934196019842</v>
      </c>
      <c r="Y165" s="40">
        <f t="shared" si="73"/>
        <v>0.2737198273421953</v>
      </c>
      <c r="Z165" s="40">
        <f t="shared" si="73"/>
        <v>0.28805010496960959</v>
      </c>
      <c r="AA165" s="40">
        <f t="shared" si="73"/>
        <v>0.28805010496960959</v>
      </c>
      <c r="AB165" s="40">
        <f t="shared" si="73"/>
        <v>0.27301879411940572</v>
      </c>
      <c r="AC165" s="40">
        <f t="shared" si="73"/>
        <v>0.28030007332770956</v>
      </c>
      <c r="AD165" s="40">
        <f t="shared" si="73"/>
        <v>0.2887426235882351</v>
      </c>
      <c r="AE165" s="40">
        <f t="shared" si="73"/>
        <v>0.27367200575861239</v>
      </c>
      <c r="AF165" s="40">
        <f t="shared" si="73"/>
        <v>0.2887426235882351</v>
      </c>
      <c r="AG165" s="40">
        <f t="shared" si="73"/>
        <v>0.27800969097870332</v>
      </c>
      <c r="AH165" s="40">
        <f t="shared" si="73"/>
        <v>0.27402833339486538</v>
      </c>
      <c r="AI165" s="40">
        <f t="shared" si="73"/>
        <v>0.26260046391968761</v>
      </c>
      <c r="AJ165" s="40">
        <f t="shared" si="73"/>
        <v>0.26986982583522695</v>
      </c>
      <c r="AK165" s="40">
        <f t="shared" si="73"/>
        <v>0.24963290343988748</v>
      </c>
      <c r="AL165" s="40">
        <f t="shared" si="73"/>
        <v>0.26532658161885836</v>
      </c>
      <c r="AM165" s="40">
        <f t="shared" si="73"/>
        <v>0.26532658161885836</v>
      </c>
      <c r="AN165" s="40">
        <f t="shared" si="74"/>
        <v>0.23981063597101221</v>
      </c>
      <c r="AO165" s="40">
        <f t="shared" si="74"/>
        <v>0.24488311939042115</v>
      </c>
      <c r="AP165" s="40">
        <f t="shared" si="74"/>
        <v>0.25169955978459796</v>
      </c>
      <c r="AQ165" s="40">
        <f t="shared" si="74"/>
        <v>0.23985079172530133</v>
      </c>
      <c r="AR165" s="40">
        <f t="shared" si="74"/>
        <v>0.25169955978459796</v>
      </c>
      <c r="AS165" s="40">
        <f t="shared" si="74"/>
        <v>0.24140500594598932</v>
      </c>
      <c r="AT165" s="40">
        <f t="shared" si="74"/>
        <v>0.24223644515534262</v>
      </c>
      <c r="AU165" s="40">
        <f t="shared" si="74"/>
        <v>0.24061696711890204</v>
      </c>
      <c r="AV165" s="40">
        <f t="shared" si="74"/>
        <v>0.24344174602895643</v>
      </c>
      <c r="AW165" s="40">
        <f t="shared" si="74"/>
        <v>0.23352254893244886</v>
      </c>
      <c r="AX165" s="40">
        <f t="shared" si="74"/>
        <v>0.24751056847275552</v>
      </c>
      <c r="AY165" s="40">
        <f t="shared" si="74"/>
        <v>0.24751056847275552</v>
      </c>
      <c r="AZ165" s="40">
        <f t="shared" si="74"/>
        <v>0.21677084138524982</v>
      </c>
      <c r="BA165" s="40">
        <f t="shared" si="74"/>
        <v>0.22084334261577701</v>
      </c>
    </row>
    <row r="166" spans="2:53" x14ac:dyDescent="0.35">
      <c r="B166" t="s">
        <v>125</v>
      </c>
      <c r="C166" t="s">
        <v>119</v>
      </c>
      <c r="O166" s="40">
        <f t="shared" ref="O166:BA168" si="75">O28+O39+O154</f>
        <v>0.25</v>
      </c>
      <c r="P166" s="40">
        <f t="shared" si="75"/>
        <v>0.25</v>
      </c>
      <c r="Q166" s="40">
        <f t="shared" si="75"/>
        <v>0.25</v>
      </c>
      <c r="R166" s="40">
        <f t="shared" si="75"/>
        <v>0.25</v>
      </c>
      <c r="S166" s="40">
        <f t="shared" si="75"/>
        <v>1.3449606808738588</v>
      </c>
      <c r="T166" s="40">
        <f t="shared" si="75"/>
        <v>0.69419508374352379</v>
      </c>
      <c r="U166" s="40">
        <f t="shared" si="75"/>
        <v>0.48152201957415686</v>
      </c>
      <c r="V166" s="40">
        <f t="shared" si="75"/>
        <v>0.43583115845251474</v>
      </c>
      <c r="W166" s="40">
        <f t="shared" si="75"/>
        <v>0.40672799610836929</v>
      </c>
      <c r="X166" s="40">
        <f t="shared" si="75"/>
        <v>0.40574934196019835</v>
      </c>
      <c r="Y166" s="40">
        <f t="shared" si="75"/>
        <v>0.38371982734219529</v>
      </c>
      <c r="Z166" s="40">
        <f t="shared" si="75"/>
        <v>0.39805010496960952</v>
      </c>
      <c r="AA166" s="40">
        <f t="shared" si="75"/>
        <v>0.39805010496960952</v>
      </c>
      <c r="AB166" s="40">
        <f t="shared" si="75"/>
        <v>0.3830187941194057</v>
      </c>
      <c r="AC166" s="40">
        <f t="shared" si="75"/>
        <v>0.39030007332770961</v>
      </c>
      <c r="AD166" s="40">
        <f t="shared" si="75"/>
        <v>0.39874262358823509</v>
      </c>
      <c r="AE166" s="40">
        <f t="shared" si="75"/>
        <v>0.38367200575861238</v>
      </c>
      <c r="AF166" s="40">
        <f t="shared" si="75"/>
        <v>0.39874262358823509</v>
      </c>
      <c r="AG166" s="40">
        <f t="shared" si="75"/>
        <v>0.3880096909787033</v>
      </c>
      <c r="AH166" s="40">
        <f t="shared" si="75"/>
        <v>0.38402833339486536</v>
      </c>
      <c r="AI166" s="40">
        <f t="shared" si="75"/>
        <v>0.3726004639196876</v>
      </c>
      <c r="AJ166" s="40">
        <f t="shared" si="75"/>
        <v>0.37986982583522688</v>
      </c>
      <c r="AK166" s="40">
        <f t="shared" si="75"/>
        <v>0.35963290343988752</v>
      </c>
      <c r="AL166" s="40">
        <f t="shared" si="75"/>
        <v>0.37532658161885835</v>
      </c>
      <c r="AM166" s="40">
        <f t="shared" si="75"/>
        <v>0.37532658161885835</v>
      </c>
      <c r="AN166" s="40">
        <f t="shared" si="75"/>
        <v>0.34030280726166268</v>
      </c>
      <c r="AO166" s="40">
        <f t="shared" si="75"/>
        <v>0.34537529068107164</v>
      </c>
      <c r="AP166" s="40">
        <f t="shared" si="75"/>
        <v>0.35219173107524843</v>
      </c>
      <c r="AQ166" s="40">
        <f t="shared" si="75"/>
        <v>0.34034296301595179</v>
      </c>
      <c r="AR166" s="40">
        <f t="shared" si="75"/>
        <v>0.35219173107524848</v>
      </c>
      <c r="AS166" s="40">
        <f t="shared" si="75"/>
        <v>0.34189717723663982</v>
      </c>
      <c r="AT166" s="40">
        <f t="shared" si="75"/>
        <v>0.34272861644599306</v>
      </c>
      <c r="AU166" s="40">
        <f t="shared" si="75"/>
        <v>0.34110913840955254</v>
      </c>
      <c r="AV166" s="40">
        <f t="shared" si="75"/>
        <v>0.34393391731960687</v>
      </c>
      <c r="AW166" s="40">
        <f t="shared" si="75"/>
        <v>0.3340147202230993</v>
      </c>
      <c r="AX166" s="40">
        <f t="shared" si="75"/>
        <v>0.34800273976340595</v>
      </c>
      <c r="AY166" s="40">
        <f t="shared" si="75"/>
        <v>0.34800273976340601</v>
      </c>
      <c r="AZ166" s="40">
        <f t="shared" si="75"/>
        <v>0.30376301267590033</v>
      </c>
      <c r="BA166" s="40">
        <f t="shared" si="75"/>
        <v>0.30783551390642749</v>
      </c>
    </row>
    <row r="167" spans="2:53" x14ac:dyDescent="0.35">
      <c r="B167" t="s">
        <v>125</v>
      </c>
      <c r="C167" t="s">
        <v>120</v>
      </c>
      <c r="O167" s="40">
        <f t="shared" si="75"/>
        <v>0.112</v>
      </c>
      <c r="P167" s="40">
        <f t="shared" si="75"/>
        <v>0.112</v>
      </c>
      <c r="Q167" s="40">
        <f t="shared" si="75"/>
        <v>0.112</v>
      </c>
      <c r="R167" s="40">
        <f t="shared" si="75"/>
        <v>0.112</v>
      </c>
      <c r="S167" s="40">
        <f t="shared" si="75"/>
        <v>1.2069606808738589</v>
      </c>
      <c r="T167" s="40">
        <f t="shared" si="75"/>
        <v>0.55619508374352389</v>
      </c>
      <c r="U167" s="40">
        <f t="shared" si="75"/>
        <v>0.112</v>
      </c>
      <c r="V167" s="40">
        <f t="shared" si="75"/>
        <v>0.112</v>
      </c>
      <c r="W167" s="40">
        <f t="shared" si="75"/>
        <v>0.112</v>
      </c>
      <c r="X167" s="40">
        <f t="shared" si="75"/>
        <v>0.112</v>
      </c>
      <c r="Y167" s="40">
        <f t="shared" si="75"/>
        <v>0.24571982734219527</v>
      </c>
      <c r="Z167" s="40">
        <f t="shared" si="75"/>
        <v>0.26005010496960951</v>
      </c>
      <c r="AA167" s="40">
        <f t="shared" si="75"/>
        <v>0.26005010496960951</v>
      </c>
      <c r="AB167" s="40">
        <f t="shared" si="75"/>
        <v>0.112</v>
      </c>
      <c r="AC167" s="40">
        <f t="shared" si="75"/>
        <v>0.112</v>
      </c>
      <c r="AD167" s="40">
        <f t="shared" si="75"/>
        <v>0.112</v>
      </c>
      <c r="AE167" s="40">
        <f t="shared" si="75"/>
        <v>0.112</v>
      </c>
      <c r="AF167" s="40">
        <f t="shared" si="75"/>
        <v>0.112</v>
      </c>
      <c r="AG167" s="40">
        <f t="shared" si="75"/>
        <v>0.112</v>
      </c>
      <c r="AH167" s="40">
        <f t="shared" si="75"/>
        <v>0.112</v>
      </c>
      <c r="AI167" s="40">
        <f t="shared" si="75"/>
        <v>0.112</v>
      </c>
      <c r="AJ167" s="40">
        <f t="shared" si="75"/>
        <v>0.112</v>
      </c>
      <c r="AK167" s="40">
        <f t="shared" si="75"/>
        <v>0.112</v>
      </c>
      <c r="AL167" s="40">
        <f t="shared" si="75"/>
        <v>0.112</v>
      </c>
      <c r="AM167" s="40">
        <f t="shared" si="75"/>
        <v>0.112</v>
      </c>
      <c r="AN167" s="40">
        <f t="shared" si="75"/>
        <v>0.10280000000000002</v>
      </c>
      <c r="AO167" s="40">
        <f t="shared" si="75"/>
        <v>0.10280000000000002</v>
      </c>
      <c r="AP167" s="40">
        <f t="shared" si="75"/>
        <v>0.10280000000000002</v>
      </c>
      <c r="AQ167" s="40">
        <f t="shared" si="75"/>
        <v>0.10280000000000002</v>
      </c>
      <c r="AR167" s="40">
        <f t="shared" si="75"/>
        <v>0.10280000000000002</v>
      </c>
      <c r="AS167" s="40">
        <f t="shared" si="75"/>
        <v>0.10280000000000002</v>
      </c>
      <c r="AT167" s="40">
        <f t="shared" si="75"/>
        <v>0.10280000000000002</v>
      </c>
      <c r="AU167" s="40">
        <f t="shared" si="75"/>
        <v>0.10280000000000002</v>
      </c>
      <c r="AV167" s="40">
        <f t="shared" si="75"/>
        <v>0.10280000000000002</v>
      </c>
      <c r="AW167" s="40">
        <f t="shared" si="75"/>
        <v>0.10280000000000002</v>
      </c>
      <c r="AX167" s="40">
        <f t="shared" si="75"/>
        <v>0.10280000000000002</v>
      </c>
      <c r="AY167" s="40">
        <f t="shared" si="75"/>
        <v>0.10280000000000002</v>
      </c>
      <c r="AZ167" s="40">
        <f t="shared" si="75"/>
        <v>9.4520000000000007E-2</v>
      </c>
      <c r="BA167" s="40">
        <f t="shared" si="75"/>
        <v>9.4520000000000007E-2</v>
      </c>
    </row>
    <row r="168" spans="2:53" x14ac:dyDescent="0.35">
      <c r="B168" t="s">
        <v>125</v>
      </c>
      <c r="C168" t="s">
        <v>121</v>
      </c>
      <c r="O168" s="40">
        <f t="shared" si="75"/>
        <v>0.1</v>
      </c>
      <c r="P168" s="40">
        <f t="shared" si="75"/>
        <v>0.1</v>
      </c>
      <c r="Q168" s="40">
        <f t="shared" si="75"/>
        <v>0.1</v>
      </c>
      <c r="R168" s="40">
        <f t="shared" si="75"/>
        <v>0.1</v>
      </c>
      <c r="S168" s="40">
        <f t="shared" si="75"/>
        <v>0.1</v>
      </c>
      <c r="T168" s="40">
        <f t="shared" si="75"/>
        <v>0.1</v>
      </c>
      <c r="U168" s="40">
        <f t="shared" si="75"/>
        <v>0.1</v>
      </c>
      <c r="V168" s="40">
        <f t="shared" si="75"/>
        <v>0.1</v>
      </c>
      <c r="W168" s="40">
        <f t="shared" si="75"/>
        <v>0.1</v>
      </c>
      <c r="X168" s="40">
        <f t="shared" si="75"/>
        <v>0.1</v>
      </c>
      <c r="Y168" s="40">
        <f t="shared" si="75"/>
        <v>0.1</v>
      </c>
      <c r="Z168" s="40">
        <f t="shared" si="75"/>
        <v>0.1</v>
      </c>
      <c r="AA168" s="40">
        <f t="shared" si="75"/>
        <v>0.1</v>
      </c>
      <c r="AB168" s="40">
        <f t="shared" si="75"/>
        <v>0.1</v>
      </c>
      <c r="AC168" s="40">
        <f t="shared" si="75"/>
        <v>0.1</v>
      </c>
      <c r="AD168" s="40">
        <f t="shared" si="75"/>
        <v>0.1</v>
      </c>
      <c r="AE168" s="40">
        <f t="shared" si="75"/>
        <v>0.1</v>
      </c>
      <c r="AF168" s="40">
        <f t="shared" si="75"/>
        <v>0.1</v>
      </c>
      <c r="AG168" s="40">
        <f t="shared" si="75"/>
        <v>0.1</v>
      </c>
      <c r="AH168" s="40">
        <f t="shared" si="75"/>
        <v>0.1</v>
      </c>
      <c r="AI168" s="40">
        <f t="shared" si="75"/>
        <v>0.1</v>
      </c>
      <c r="AJ168" s="40">
        <f t="shared" si="75"/>
        <v>0.1</v>
      </c>
      <c r="AK168" s="40">
        <f t="shared" si="75"/>
        <v>0.1</v>
      </c>
      <c r="AL168" s="40">
        <f t="shared" si="75"/>
        <v>0.1</v>
      </c>
      <c r="AM168" s="40">
        <f t="shared" si="75"/>
        <v>0.1</v>
      </c>
      <c r="AN168" s="40">
        <f t="shared" si="75"/>
        <v>9.2000000000000012E-2</v>
      </c>
      <c r="AO168" s="40">
        <f t="shared" si="75"/>
        <v>9.2000000000000012E-2</v>
      </c>
      <c r="AP168" s="40">
        <f t="shared" si="75"/>
        <v>9.2000000000000012E-2</v>
      </c>
      <c r="AQ168" s="40">
        <f t="shared" si="75"/>
        <v>9.2000000000000012E-2</v>
      </c>
      <c r="AR168" s="40">
        <f t="shared" si="75"/>
        <v>9.2000000000000012E-2</v>
      </c>
      <c r="AS168" s="40">
        <f t="shared" si="75"/>
        <v>9.2000000000000012E-2</v>
      </c>
      <c r="AT168" s="40">
        <f t="shared" si="75"/>
        <v>9.2000000000000012E-2</v>
      </c>
      <c r="AU168" s="40">
        <f t="shared" si="75"/>
        <v>9.2000000000000012E-2</v>
      </c>
      <c r="AV168" s="40">
        <f t="shared" si="75"/>
        <v>9.2000000000000012E-2</v>
      </c>
      <c r="AW168" s="40">
        <f t="shared" si="75"/>
        <v>9.2000000000000012E-2</v>
      </c>
      <c r="AX168" s="40">
        <f t="shared" si="75"/>
        <v>9.2000000000000012E-2</v>
      </c>
      <c r="AY168" s="40">
        <f t="shared" si="75"/>
        <v>9.2000000000000012E-2</v>
      </c>
      <c r="AZ168" s="40">
        <f t="shared" si="75"/>
        <v>8.4800000000000014E-2</v>
      </c>
      <c r="BA168" s="40">
        <f t="shared" si="75"/>
        <v>8.4800000000000014E-2</v>
      </c>
    </row>
    <row r="170" spans="2:53" x14ac:dyDescent="0.35">
      <c r="B170" t="s">
        <v>126</v>
      </c>
      <c r="C170" t="s">
        <v>116</v>
      </c>
      <c r="O170" s="49">
        <f t="shared" ref="O170:BA172" si="76">IFERROR(N144/O6,0)</f>
        <v>0</v>
      </c>
      <c r="P170" s="49">
        <f t="shared" si="76"/>
        <v>0</v>
      </c>
      <c r="Q170" s="49">
        <f t="shared" si="76"/>
        <v>0</v>
      </c>
      <c r="R170" s="49">
        <f t="shared" si="76"/>
        <v>0</v>
      </c>
      <c r="S170" s="49">
        <f t="shared" si="76"/>
        <v>0</v>
      </c>
      <c r="T170" s="49">
        <f t="shared" si="76"/>
        <v>0</v>
      </c>
      <c r="U170" s="49">
        <f t="shared" si="76"/>
        <v>7.6208367124990573E-2</v>
      </c>
      <c r="V170" s="49">
        <f t="shared" si="76"/>
        <v>0.54446315998659867</v>
      </c>
      <c r="W170" s="49">
        <f t="shared" si="76"/>
        <v>1.1034834532467506</v>
      </c>
      <c r="X170" s="49">
        <f t="shared" si="76"/>
        <v>1.3889696931087119</v>
      </c>
      <c r="Y170" s="49">
        <f t="shared" si="76"/>
        <v>0.92462894162444897</v>
      </c>
      <c r="Z170" s="49">
        <f t="shared" si="76"/>
        <v>1.109586266815519</v>
      </c>
      <c r="AA170" s="49">
        <f t="shared" si="76"/>
        <v>0.91178017113951104</v>
      </c>
      <c r="AB170" s="49">
        <f t="shared" si="76"/>
        <v>0.55961747201300172</v>
      </c>
      <c r="AC170" s="49">
        <f t="shared" si="76"/>
        <v>1.3489963840227708</v>
      </c>
      <c r="AD170" s="49">
        <f t="shared" si="76"/>
        <v>1.3022249382643198</v>
      </c>
      <c r="AE170" s="49">
        <f t="shared" si="76"/>
        <v>0.97033667948523961</v>
      </c>
      <c r="AF170" s="49">
        <f t="shared" si="76"/>
        <v>1.5204024769143847</v>
      </c>
      <c r="AG170" s="49">
        <f t="shared" si="76"/>
        <v>1.0716643448826544</v>
      </c>
      <c r="AH170" s="49">
        <f t="shared" si="76"/>
        <v>0.78810556037402968</v>
      </c>
      <c r="AI170" s="49">
        <f t="shared" si="76"/>
        <v>0.97617125586037745</v>
      </c>
      <c r="AJ170" s="49">
        <f t="shared" si="76"/>
        <v>1.1808589881192866</v>
      </c>
      <c r="AK170" s="49">
        <f t="shared" si="76"/>
        <v>0.6935528349054032</v>
      </c>
      <c r="AL170" s="49">
        <f t="shared" si="76"/>
        <v>1.553559497204148</v>
      </c>
      <c r="AM170" s="49">
        <f t="shared" si="76"/>
        <v>1.1612094380899338</v>
      </c>
      <c r="AN170" s="49">
        <f t="shared" si="76"/>
        <v>0.95940578760421025</v>
      </c>
      <c r="AO170" s="49">
        <f t="shared" si="76"/>
        <v>1.1979487478875164</v>
      </c>
      <c r="AP170" s="49">
        <f t="shared" si="76"/>
        <v>1.127526900224439</v>
      </c>
      <c r="AQ170" s="49">
        <f t="shared" si="76"/>
        <v>0.89146380053840979</v>
      </c>
      <c r="AR170" s="49">
        <f t="shared" si="76"/>
        <v>1.3213009834202711</v>
      </c>
      <c r="AS170" s="49">
        <f t="shared" si="76"/>
        <v>0.99418682885567033</v>
      </c>
      <c r="AT170" s="49">
        <f t="shared" si="76"/>
        <v>0.94596935071566557</v>
      </c>
      <c r="AU170" s="49">
        <f t="shared" si="76"/>
        <v>1.1097549373949616</v>
      </c>
      <c r="AV170" s="49">
        <f t="shared" si="76"/>
        <v>1.0373860495120801</v>
      </c>
      <c r="AW170" s="49">
        <f t="shared" si="76"/>
        <v>0.73407241671573609</v>
      </c>
      <c r="AX170" s="49">
        <f t="shared" si="76"/>
        <v>1.1694476362929487</v>
      </c>
      <c r="AY170" s="49">
        <f t="shared" si="76"/>
        <v>0.90263050572305858</v>
      </c>
      <c r="AZ170" s="49">
        <f t="shared" si="76"/>
        <v>0.91744247655260636</v>
      </c>
      <c r="BA170" s="49">
        <f t="shared" si="76"/>
        <v>1.2662243772611705</v>
      </c>
    </row>
    <row r="171" spans="2:53" x14ac:dyDescent="0.35">
      <c r="B171" t="s">
        <v>126</v>
      </c>
      <c r="C171" t="s">
        <v>117</v>
      </c>
      <c r="O171" s="49">
        <f t="shared" si="76"/>
        <v>0</v>
      </c>
      <c r="P171" s="49">
        <f t="shared" si="76"/>
        <v>0</v>
      </c>
      <c r="Q171" s="49">
        <f t="shared" si="76"/>
        <v>0</v>
      </c>
      <c r="R171" s="49">
        <f t="shared" si="76"/>
        <v>0</v>
      </c>
      <c r="S171" s="49">
        <f t="shared" si="76"/>
        <v>0</v>
      </c>
      <c r="T171" s="49">
        <f t="shared" si="76"/>
        <v>0</v>
      </c>
      <c r="U171" s="49">
        <f t="shared" si="76"/>
        <v>7.5249359042944344E-2</v>
      </c>
      <c r="V171" s="49">
        <f t="shared" si="76"/>
        <v>0.36411471861330963</v>
      </c>
      <c r="W171" s="49">
        <f t="shared" si="76"/>
        <v>1.5361626156205264</v>
      </c>
      <c r="X171" s="49">
        <f t="shared" si="76"/>
        <v>1.116633012686242</v>
      </c>
      <c r="Y171" s="49">
        <f t="shared" si="76"/>
        <v>1.0705765403257377</v>
      </c>
      <c r="Z171" s="49">
        <f t="shared" si="76"/>
        <v>0.97817502758966968</v>
      </c>
      <c r="AA171" s="49">
        <f t="shared" si="76"/>
        <v>0.93777805960211325</v>
      </c>
      <c r="AB171" s="49">
        <f t="shared" si="76"/>
        <v>0.75513621559860977</v>
      </c>
      <c r="AC171" s="49">
        <f t="shared" si="76"/>
        <v>1.4837070225701179</v>
      </c>
      <c r="AD171" s="49">
        <f t="shared" si="76"/>
        <v>1.0624698963735217</v>
      </c>
      <c r="AE171" s="49">
        <f t="shared" si="76"/>
        <v>0.92946601936150497</v>
      </c>
      <c r="AF171" s="49">
        <f t="shared" si="76"/>
        <v>1.4614685156556713</v>
      </c>
      <c r="AG171" s="49">
        <f t="shared" si="76"/>
        <v>0.43286032334900881</v>
      </c>
      <c r="AH171" s="49">
        <f t="shared" si="76"/>
        <v>0.56929937576981071</v>
      </c>
      <c r="AI171" s="49">
        <f t="shared" si="76"/>
        <v>1.076115593669384</v>
      </c>
      <c r="AJ171" s="49">
        <f t="shared" si="76"/>
        <v>0.75551143925331721</v>
      </c>
      <c r="AK171" s="49">
        <f t="shared" si="76"/>
        <v>0.70884401586186563</v>
      </c>
      <c r="AL171" s="49">
        <f t="shared" si="76"/>
        <v>1.5691518302045027</v>
      </c>
      <c r="AM171" s="49">
        <f t="shared" si="76"/>
        <v>1.1640020457683209</v>
      </c>
      <c r="AN171" s="49">
        <f t="shared" si="76"/>
        <v>0.91057884282181956</v>
      </c>
      <c r="AO171" s="49">
        <f t="shared" si="76"/>
        <v>1.5245520929482759</v>
      </c>
      <c r="AP171" s="49">
        <f t="shared" si="76"/>
        <v>1.0610077479607694</v>
      </c>
      <c r="AQ171" s="49">
        <f t="shared" si="76"/>
        <v>0.80661358394529703</v>
      </c>
      <c r="AR171" s="49">
        <f t="shared" si="76"/>
        <v>1.439623490522147</v>
      </c>
      <c r="AS171" s="49">
        <f t="shared" si="76"/>
        <v>0.80443646837887983</v>
      </c>
      <c r="AT171" s="49">
        <f t="shared" si="76"/>
        <v>0.71714669764841321</v>
      </c>
      <c r="AU171" s="49">
        <f t="shared" si="76"/>
        <v>1.2525165147736197</v>
      </c>
      <c r="AV171" s="49">
        <f t="shared" si="76"/>
        <v>0.77556080506050917</v>
      </c>
      <c r="AW171" s="49">
        <f t="shared" si="76"/>
        <v>0.71208217679064678</v>
      </c>
      <c r="AX171" s="49">
        <f t="shared" si="76"/>
        <v>1.2260630328060196</v>
      </c>
      <c r="AY171" s="49">
        <f t="shared" si="76"/>
        <v>0.90014676962585827</v>
      </c>
      <c r="AZ171" s="49">
        <f t="shared" si="76"/>
        <v>0.91744247655260636</v>
      </c>
      <c r="BA171" s="49">
        <f t="shared" si="76"/>
        <v>1.2662243772611705</v>
      </c>
    </row>
    <row r="172" spans="2:53" x14ac:dyDescent="0.35">
      <c r="B172" t="s">
        <v>126</v>
      </c>
      <c r="C172" t="s">
        <v>118</v>
      </c>
      <c r="O172" s="49">
        <f t="shared" si="76"/>
        <v>0</v>
      </c>
      <c r="P172" s="49">
        <f t="shared" si="76"/>
        <v>0</v>
      </c>
      <c r="Q172" s="49">
        <f t="shared" si="76"/>
        <v>0</v>
      </c>
      <c r="R172" s="49">
        <f t="shared" si="76"/>
        <v>0</v>
      </c>
      <c r="S172" s="49">
        <f t="shared" si="76"/>
        <v>0</v>
      </c>
      <c r="T172" s="49">
        <f t="shared" si="76"/>
        <v>0.13526219964730768</v>
      </c>
      <c r="U172" s="49">
        <f t="shared" si="76"/>
        <v>0.33184769501514177</v>
      </c>
      <c r="V172" s="49">
        <f t="shared" si="76"/>
        <v>0.59344017530388116</v>
      </c>
      <c r="W172" s="49">
        <f t="shared" si="76"/>
        <v>0.67061343783135596</v>
      </c>
      <c r="X172" s="49">
        <f t="shared" si="76"/>
        <v>0.62538437033119787</v>
      </c>
      <c r="Y172" s="49">
        <f t="shared" si="76"/>
        <v>0.60207429595969253</v>
      </c>
      <c r="Z172" s="49">
        <f t="shared" si="76"/>
        <v>1.00336606335075</v>
      </c>
      <c r="AA172" s="49">
        <f t="shared" si="76"/>
        <v>0.75579186570095347</v>
      </c>
      <c r="AB172" s="49">
        <f t="shared" si="76"/>
        <v>0.76783643750331765</v>
      </c>
      <c r="AC172" s="49">
        <f t="shared" si="76"/>
        <v>1.2808588398292067</v>
      </c>
      <c r="AD172" s="49">
        <f t="shared" si="76"/>
        <v>0.9951046081066659</v>
      </c>
      <c r="AE172" s="49">
        <f t="shared" si="76"/>
        <v>0.77834714788400494</v>
      </c>
      <c r="AF172" s="49">
        <f t="shared" si="76"/>
        <v>1.2337298483070329</v>
      </c>
      <c r="AG172" s="49">
        <f t="shared" si="76"/>
        <v>0.94684806952155864</v>
      </c>
      <c r="AH172" s="49">
        <f t="shared" si="76"/>
        <v>0.73434098009970272</v>
      </c>
      <c r="AI172" s="49">
        <f t="shared" si="76"/>
        <v>1.1811021502444699</v>
      </c>
      <c r="AJ172" s="49">
        <f t="shared" si="76"/>
        <v>0.97334167419682327</v>
      </c>
      <c r="AK172" s="49">
        <f t="shared" si="76"/>
        <v>0.75336287411164549</v>
      </c>
      <c r="AL172" s="49">
        <f t="shared" si="76"/>
        <v>1.2610124982867339</v>
      </c>
      <c r="AM172" s="49">
        <f t="shared" si="76"/>
        <v>0.97071243038041455</v>
      </c>
      <c r="AN172" s="49">
        <f t="shared" si="76"/>
        <v>0.75637899846623557</v>
      </c>
      <c r="AO172" s="49">
        <f t="shared" si="76"/>
        <v>1.2747447358094415</v>
      </c>
      <c r="AP172" s="49">
        <f t="shared" si="76"/>
        <v>0.98452066385151416</v>
      </c>
      <c r="AQ172" s="49">
        <f t="shared" si="76"/>
        <v>0.78293104721899875</v>
      </c>
      <c r="AR172" s="49">
        <f t="shared" si="76"/>
        <v>1.2869707772793824</v>
      </c>
      <c r="AS172" s="49">
        <f t="shared" si="76"/>
        <v>0.98665184688411944</v>
      </c>
      <c r="AT172" s="49">
        <f t="shared" si="76"/>
        <v>0.82820661358612968</v>
      </c>
      <c r="AU172" s="49">
        <f t="shared" si="76"/>
        <v>1.2150053892514407</v>
      </c>
      <c r="AV172" s="49">
        <f t="shared" si="76"/>
        <v>1.0295766218235058</v>
      </c>
      <c r="AW172" s="49">
        <f t="shared" si="76"/>
        <v>0.77564480293511495</v>
      </c>
      <c r="AX172" s="49">
        <f t="shared" si="76"/>
        <v>1.2869707772793824</v>
      </c>
      <c r="AY172" s="49">
        <f t="shared" si="76"/>
        <v>0.99069480495931983</v>
      </c>
      <c r="AZ172" s="49">
        <f t="shared" si="76"/>
        <v>0.99069480495931983</v>
      </c>
      <c r="BA172" s="49">
        <f t="shared" si="76"/>
        <v>1.303545795999105</v>
      </c>
    </row>
    <row r="173" spans="2:53" x14ac:dyDescent="0.35">
      <c r="B173" t="s">
        <v>126</v>
      </c>
      <c r="C173" t="s">
        <v>119</v>
      </c>
      <c r="O173" s="49">
        <f t="shared" ref="O173:BA175" si="77">IFERROR(N147/(O11+O16),0)</f>
        <v>0</v>
      </c>
      <c r="P173" s="49">
        <f t="shared" si="77"/>
        <v>0</v>
      </c>
      <c r="Q173" s="49">
        <f t="shared" si="77"/>
        <v>0</v>
      </c>
      <c r="R173" s="49">
        <f t="shared" si="77"/>
        <v>0</v>
      </c>
      <c r="S173" s="49">
        <f t="shared" si="77"/>
        <v>0</v>
      </c>
      <c r="T173" s="49">
        <f t="shared" si="77"/>
        <v>0.69487581184550751</v>
      </c>
      <c r="U173" s="49">
        <f t="shared" si="77"/>
        <v>1.067779156880077</v>
      </c>
      <c r="V173" s="49">
        <f t="shared" si="77"/>
        <v>1.1963858286530578</v>
      </c>
      <c r="W173" s="49">
        <f t="shared" si="77"/>
        <v>0.81953808563966335</v>
      </c>
      <c r="X173" s="49">
        <f t="shared" si="77"/>
        <v>1.1131284856653063</v>
      </c>
      <c r="Y173" s="49">
        <f t="shared" si="77"/>
        <v>0.25566560089802204</v>
      </c>
      <c r="Z173" s="49">
        <f t="shared" si="77"/>
        <v>1.2014162658485767</v>
      </c>
      <c r="AA173" s="49">
        <f t="shared" si="77"/>
        <v>1.1210309872793052</v>
      </c>
      <c r="AB173" s="49">
        <f t="shared" si="77"/>
        <v>0.74929855279805613</v>
      </c>
      <c r="AC173" s="49">
        <f t="shared" si="77"/>
        <v>1.3591104831616909</v>
      </c>
      <c r="AD173" s="49">
        <f t="shared" si="77"/>
        <v>0.86176679004606294</v>
      </c>
      <c r="AE173" s="49">
        <f t="shared" si="77"/>
        <v>0.79821189555318861</v>
      </c>
      <c r="AF173" s="49">
        <f t="shared" si="77"/>
        <v>1.1995859786487826</v>
      </c>
      <c r="AG173" s="49">
        <f t="shared" si="77"/>
        <v>1.0218731462433952</v>
      </c>
      <c r="AH173" s="49">
        <f t="shared" si="77"/>
        <v>1.0582840258104227</v>
      </c>
      <c r="AI173" s="49">
        <f t="shared" si="77"/>
        <v>0.93889493178921912</v>
      </c>
      <c r="AJ173" s="49">
        <f t="shared" si="77"/>
        <v>1.034379578147117</v>
      </c>
      <c r="AK173" s="49">
        <f t="shared" si="77"/>
        <v>0.84899833420204251</v>
      </c>
      <c r="AL173" s="49">
        <f t="shared" si="77"/>
        <v>1.2009883538741111</v>
      </c>
      <c r="AM173" s="49">
        <f t="shared" si="77"/>
        <v>1.1222272896114902</v>
      </c>
      <c r="AN173" s="49">
        <f t="shared" si="77"/>
        <v>0.57110967949708724</v>
      </c>
      <c r="AO173" s="49">
        <f t="shared" si="77"/>
        <v>1.2553046250188928</v>
      </c>
      <c r="AP173" s="49">
        <f t="shared" si="77"/>
        <v>0.89763467718780487</v>
      </c>
      <c r="AQ173" s="49">
        <f t="shared" si="77"/>
        <v>0.84231439305263134</v>
      </c>
      <c r="AR173" s="49">
        <f t="shared" si="77"/>
        <v>1.1494457699165466</v>
      </c>
      <c r="AS173" s="49">
        <f t="shared" si="77"/>
        <v>1.0162886443912196</v>
      </c>
      <c r="AT173" s="49">
        <f t="shared" si="77"/>
        <v>1.059545486505959</v>
      </c>
      <c r="AU173" s="49">
        <f t="shared" si="77"/>
        <v>0.95254509915394736</v>
      </c>
      <c r="AV173" s="49">
        <f t="shared" si="77"/>
        <v>1.0233733417319808</v>
      </c>
      <c r="AW173" s="49">
        <f t="shared" si="77"/>
        <v>0.8858978698960791</v>
      </c>
      <c r="AX173" s="49">
        <f t="shared" si="77"/>
        <v>1.1426473357129754</v>
      </c>
      <c r="AY173" s="49">
        <f t="shared" si="77"/>
        <v>1.0889700523161263</v>
      </c>
      <c r="AZ173" s="49">
        <f t="shared" si="77"/>
        <v>1</v>
      </c>
      <c r="BA173" s="49">
        <f t="shared" si="77"/>
        <v>1</v>
      </c>
    </row>
    <row r="174" spans="2:53" x14ac:dyDescent="0.35">
      <c r="B174" t="s">
        <v>126</v>
      </c>
      <c r="C174" t="s">
        <v>120</v>
      </c>
      <c r="O174" s="49">
        <f t="shared" si="77"/>
        <v>0</v>
      </c>
      <c r="P174" s="49">
        <f t="shared" si="77"/>
        <v>0</v>
      </c>
      <c r="Q174" s="49">
        <f t="shared" si="77"/>
        <v>0</v>
      </c>
      <c r="R174" s="49">
        <f t="shared" si="77"/>
        <v>0</v>
      </c>
      <c r="S174" s="49">
        <f t="shared" si="77"/>
        <v>0</v>
      </c>
      <c r="T174" s="49">
        <f t="shared" si="77"/>
        <v>1</v>
      </c>
      <c r="U174" s="49">
        <f t="shared" si="77"/>
        <v>0</v>
      </c>
      <c r="V174" s="49">
        <f t="shared" si="77"/>
        <v>0</v>
      </c>
      <c r="W174" s="49">
        <f t="shared" si="77"/>
        <v>0</v>
      </c>
      <c r="X174" s="49">
        <f t="shared" si="77"/>
        <v>0</v>
      </c>
      <c r="Y174" s="49">
        <f t="shared" si="77"/>
        <v>0</v>
      </c>
      <c r="Z174" s="49">
        <f t="shared" si="77"/>
        <v>1</v>
      </c>
      <c r="AA174" s="49">
        <f t="shared" si="77"/>
        <v>1</v>
      </c>
      <c r="AB174" s="49">
        <f t="shared" si="77"/>
        <v>0</v>
      </c>
      <c r="AC174" s="49">
        <f t="shared" si="77"/>
        <v>0</v>
      </c>
      <c r="AD174" s="49">
        <f t="shared" si="77"/>
        <v>0</v>
      </c>
      <c r="AE174" s="49">
        <f t="shared" si="77"/>
        <v>0</v>
      </c>
      <c r="AF174" s="49">
        <f t="shared" si="77"/>
        <v>0</v>
      </c>
      <c r="AG174" s="49">
        <f t="shared" si="77"/>
        <v>0</v>
      </c>
      <c r="AH174" s="49">
        <f t="shared" si="77"/>
        <v>0</v>
      </c>
      <c r="AI174" s="49">
        <f t="shared" si="77"/>
        <v>0</v>
      </c>
      <c r="AJ174" s="49">
        <f t="shared" si="77"/>
        <v>0</v>
      </c>
      <c r="AK174" s="49">
        <f t="shared" si="77"/>
        <v>0</v>
      </c>
      <c r="AL174" s="49">
        <f t="shared" si="77"/>
        <v>0</v>
      </c>
      <c r="AM174" s="49">
        <f t="shared" si="77"/>
        <v>0</v>
      </c>
      <c r="AN174" s="49">
        <f t="shared" si="77"/>
        <v>0</v>
      </c>
      <c r="AO174" s="49">
        <f t="shared" si="77"/>
        <v>0</v>
      </c>
      <c r="AP174" s="49">
        <f t="shared" si="77"/>
        <v>0</v>
      </c>
      <c r="AQ174" s="49">
        <f t="shared" si="77"/>
        <v>0</v>
      </c>
      <c r="AR174" s="49">
        <f t="shared" si="77"/>
        <v>0</v>
      </c>
      <c r="AS174" s="49">
        <f t="shared" si="77"/>
        <v>0</v>
      </c>
      <c r="AT174" s="49">
        <f t="shared" si="77"/>
        <v>0</v>
      </c>
      <c r="AU174" s="49">
        <f t="shared" si="77"/>
        <v>0</v>
      </c>
      <c r="AV174" s="49">
        <f t="shared" si="77"/>
        <v>0</v>
      </c>
      <c r="AW174" s="49">
        <f t="shared" si="77"/>
        <v>0</v>
      </c>
      <c r="AX174" s="49">
        <f t="shared" si="77"/>
        <v>0</v>
      </c>
      <c r="AY174" s="49">
        <f t="shared" si="77"/>
        <v>0</v>
      </c>
      <c r="AZ174" s="49">
        <f t="shared" si="77"/>
        <v>0</v>
      </c>
      <c r="BA174" s="49">
        <f t="shared" si="77"/>
        <v>0</v>
      </c>
    </row>
    <row r="175" spans="2:53" x14ac:dyDescent="0.35">
      <c r="B175" t="s">
        <v>126</v>
      </c>
      <c r="C175" t="s">
        <v>121</v>
      </c>
      <c r="O175" s="49">
        <f t="shared" si="77"/>
        <v>0</v>
      </c>
      <c r="P175" s="49">
        <f t="shared" si="77"/>
        <v>0</v>
      </c>
      <c r="Q175" s="49">
        <f t="shared" si="77"/>
        <v>0</v>
      </c>
      <c r="R175" s="49">
        <f t="shared" si="77"/>
        <v>0</v>
      </c>
      <c r="S175" s="49">
        <f t="shared" si="77"/>
        <v>0</v>
      </c>
      <c r="T175" s="49">
        <f t="shared" si="77"/>
        <v>0</v>
      </c>
      <c r="U175" s="49">
        <f t="shared" si="77"/>
        <v>0</v>
      </c>
      <c r="V175" s="49">
        <f t="shared" si="77"/>
        <v>0</v>
      </c>
      <c r="W175" s="49">
        <f t="shared" si="77"/>
        <v>0</v>
      </c>
      <c r="X175" s="49">
        <f t="shared" si="77"/>
        <v>0</v>
      </c>
      <c r="Y175" s="49">
        <f t="shared" si="77"/>
        <v>0</v>
      </c>
      <c r="Z175" s="49">
        <f t="shared" si="77"/>
        <v>0</v>
      </c>
      <c r="AA175" s="49">
        <f t="shared" si="77"/>
        <v>0</v>
      </c>
      <c r="AB175" s="49">
        <f t="shared" si="77"/>
        <v>0</v>
      </c>
      <c r="AC175" s="49">
        <f t="shared" si="77"/>
        <v>0</v>
      </c>
      <c r="AD175" s="49">
        <f t="shared" si="77"/>
        <v>0</v>
      </c>
      <c r="AE175" s="49">
        <f t="shared" si="77"/>
        <v>0</v>
      </c>
      <c r="AF175" s="49">
        <f t="shared" si="77"/>
        <v>0</v>
      </c>
      <c r="AG175" s="49">
        <f t="shared" si="77"/>
        <v>0</v>
      </c>
      <c r="AH175" s="49">
        <f t="shared" si="77"/>
        <v>0</v>
      </c>
      <c r="AI175" s="49">
        <f t="shared" si="77"/>
        <v>0</v>
      </c>
      <c r="AJ175" s="49">
        <f t="shared" si="77"/>
        <v>0</v>
      </c>
      <c r="AK175" s="49">
        <f t="shared" si="77"/>
        <v>0</v>
      </c>
      <c r="AL175" s="49">
        <f t="shared" si="77"/>
        <v>0</v>
      </c>
      <c r="AM175" s="49">
        <f t="shared" si="77"/>
        <v>0</v>
      </c>
      <c r="AN175" s="49">
        <f t="shared" si="77"/>
        <v>0</v>
      </c>
      <c r="AO175" s="49">
        <f t="shared" si="77"/>
        <v>0</v>
      </c>
      <c r="AP175" s="49">
        <f t="shared" si="77"/>
        <v>0</v>
      </c>
      <c r="AQ175" s="49">
        <f t="shared" si="77"/>
        <v>0</v>
      </c>
      <c r="AR175" s="49">
        <f t="shared" si="77"/>
        <v>0</v>
      </c>
      <c r="AS175" s="49">
        <f t="shared" si="77"/>
        <v>0</v>
      </c>
      <c r="AT175" s="49">
        <f t="shared" si="77"/>
        <v>0</v>
      </c>
      <c r="AU175" s="49">
        <f t="shared" si="77"/>
        <v>0</v>
      </c>
      <c r="AV175" s="49">
        <f t="shared" si="77"/>
        <v>0</v>
      </c>
      <c r="AW175" s="49">
        <f t="shared" si="77"/>
        <v>0</v>
      </c>
      <c r="AX175" s="49">
        <f t="shared" si="77"/>
        <v>0</v>
      </c>
      <c r="AY175" s="49">
        <f t="shared" si="77"/>
        <v>0</v>
      </c>
      <c r="AZ175" s="49">
        <f t="shared" si="77"/>
        <v>0</v>
      </c>
      <c r="BA175" s="49">
        <f t="shared" si="77"/>
        <v>0</v>
      </c>
    </row>
    <row r="176" spans="2:53" x14ac:dyDescent="0.35">
      <c r="P176" s="35"/>
      <c r="Q176" s="35"/>
      <c r="R176" s="40"/>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row>
    <row r="177" spans="2:53" x14ac:dyDescent="0.35">
      <c r="B177" t="s">
        <v>127</v>
      </c>
      <c r="C177" t="s">
        <v>116</v>
      </c>
      <c r="O177" s="38">
        <v>0.75</v>
      </c>
      <c r="P177" s="38">
        <f>C247</f>
        <v>0.72418880312023248</v>
      </c>
      <c r="Q177" s="38">
        <f>$P$177</f>
        <v>0.72418880312023248</v>
      </c>
      <c r="R177" s="38">
        <f t="shared" ref="R177:BA177" si="78">$P$177</f>
        <v>0.72418880312023248</v>
      </c>
      <c r="S177" s="38">
        <f t="shared" si="78"/>
        <v>0.72418880312023248</v>
      </c>
      <c r="T177" s="38">
        <f t="shared" si="78"/>
        <v>0.72418880312023248</v>
      </c>
      <c r="U177" s="38">
        <f t="shared" si="78"/>
        <v>0.72418880312023248</v>
      </c>
      <c r="V177" s="38">
        <f t="shared" si="78"/>
        <v>0.72418880312023248</v>
      </c>
      <c r="W177" s="38">
        <f t="shared" si="78"/>
        <v>0.72418880312023248</v>
      </c>
      <c r="X177" s="38">
        <f t="shared" si="78"/>
        <v>0.72418880312023248</v>
      </c>
      <c r="Y177" s="38">
        <f t="shared" si="78"/>
        <v>0.72418880312023248</v>
      </c>
      <c r="Z177" s="38">
        <f t="shared" si="78"/>
        <v>0.72418880312023248</v>
      </c>
      <c r="AA177" s="38">
        <f t="shared" si="78"/>
        <v>0.72418880312023248</v>
      </c>
      <c r="AB177" s="38">
        <f t="shared" si="78"/>
        <v>0.72418880312023248</v>
      </c>
      <c r="AC177" s="38">
        <f t="shared" si="78"/>
        <v>0.72418880312023248</v>
      </c>
      <c r="AD177" s="38">
        <f t="shared" si="78"/>
        <v>0.72418880312023248</v>
      </c>
      <c r="AE177" s="38">
        <f t="shared" si="78"/>
        <v>0.72418880312023248</v>
      </c>
      <c r="AF177" s="38">
        <f t="shared" si="78"/>
        <v>0.72418880312023248</v>
      </c>
      <c r="AG177" s="38">
        <f t="shared" si="78"/>
        <v>0.72418880312023248</v>
      </c>
      <c r="AH177" s="38">
        <f t="shared" si="78"/>
        <v>0.72418880312023248</v>
      </c>
      <c r="AI177" s="38">
        <f t="shared" si="78"/>
        <v>0.72418880312023248</v>
      </c>
      <c r="AJ177" s="38">
        <f t="shared" si="78"/>
        <v>0.72418880312023248</v>
      </c>
      <c r="AK177" s="38">
        <f t="shared" si="78"/>
        <v>0.72418880312023248</v>
      </c>
      <c r="AL177" s="38">
        <f t="shared" si="78"/>
        <v>0.72418880312023248</v>
      </c>
      <c r="AM177" s="38">
        <f t="shared" si="78"/>
        <v>0.72418880312023248</v>
      </c>
      <c r="AN177" s="38">
        <f t="shared" si="78"/>
        <v>0.72418880312023248</v>
      </c>
      <c r="AO177" s="38">
        <f t="shared" si="78"/>
        <v>0.72418880312023248</v>
      </c>
      <c r="AP177" s="38">
        <f t="shared" si="78"/>
        <v>0.72418880312023248</v>
      </c>
      <c r="AQ177" s="38">
        <f t="shared" si="78"/>
        <v>0.72418880312023248</v>
      </c>
      <c r="AR177" s="38">
        <f t="shared" si="78"/>
        <v>0.72418880312023248</v>
      </c>
      <c r="AS177" s="38">
        <f t="shared" si="78"/>
        <v>0.72418880312023248</v>
      </c>
      <c r="AT177" s="38">
        <f t="shared" si="78"/>
        <v>0.72418880312023248</v>
      </c>
      <c r="AU177" s="38">
        <f t="shared" si="78"/>
        <v>0.72418880312023248</v>
      </c>
      <c r="AV177" s="38">
        <f t="shared" si="78"/>
        <v>0.72418880312023248</v>
      </c>
      <c r="AW177" s="38">
        <f t="shared" si="78"/>
        <v>0.72418880312023248</v>
      </c>
      <c r="AX177" s="38">
        <f t="shared" si="78"/>
        <v>0.72418880312023248</v>
      </c>
      <c r="AY177" s="38">
        <f t="shared" si="78"/>
        <v>0.72418880312023248</v>
      </c>
      <c r="AZ177" s="38">
        <f t="shared" si="78"/>
        <v>0.72418880312023248</v>
      </c>
      <c r="BA177" s="38">
        <f t="shared" si="78"/>
        <v>0.72418880312023248</v>
      </c>
    </row>
    <row r="178" spans="2:53" x14ac:dyDescent="0.35">
      <c r="B178" t="s">
        <v>127</v>
      </c>
      <c r="C178" t="s">
        <v>117</v>
      </c>
      <c r="O178" s="38">
        <v>0.35</v>
      </c>
      <c r="P178" s="38">
        <v>0.35</v>
      </c>
      <c r="Q178" s="38">
        <f>$P$178</f>
        <v>0.35</v>
      </c>
      <c r="R178" s="38">
        <f t="shared" ref="R178:BA178" si="79">$P$178</f>
        <v>0.35</v>
      </c>
      <c r="S178" s="38">
        <f t="shared" si="79"/>
        <v>0.35</v>
      </c>
      <c r="T178" s="38">
        <f t="shared" si="79"/>
        <v>0.35</v>
      </c>
      <c r="U178" s="38">
        <f t="shared" si="79"/>
        <v>0.35</v>
      </c>
      <c r="V178" s="38">
        <f t="shared" si="79"/>
        <v>0.35</v>
      </c>
      <c r="W178" s="38">
        <f t="shared" si="79"/>
        <v>0.35</v>
      </c>
      <c r="X178" s="38">
        <f t="shared" si="79"/>
        <v>0.35</v>
      </c>
      <c r="Y178" s="38">
        <f t="shared" si="79"/>
        <v>0.35</v>
      </c>
      <c r="Z178" s="38">
        <f t="shared" si="79"/>
        <v>0.35</v>
      </c>
      <c r="AA178" s="38">
        <f t="shared" si="79"/>
        <v>0.35</v>
      </c>
      <c r="AB178" s="38">
        <f t="shared" si="79"/>
        <v>0.35</v>
      </c>
      <c r="AC178" s="38">
        <f t="shared" si="79"/>
        <v>0.35</v>
      </c>
      <c r="AD178" s="38">
        <f t="shared" si="79"/>
        <v>0.35</v>
      </c>
      <c r="AE178" s="38">
        <f t="shared" si="79"/>
        <v>0.35</v>
      </c>
      <c r="AF178" s="38">
        <f t="shared" si="79"/>
        <v>0.35</v>
      </c>
      <c r="AG178" s="38">
        <f t="shared" si="79"/>
        <v>0.35</v>
      </c>
      <c r="AH178" s="38">
        <f t="shared" si="79"/>
        <v>0.35</v>
      </c>
      <c r="AI178" s="38">
        <f t="shared" si="79"/>
        <v>0.35</v>
      </c>
      <c r="AJ178" s="38">
        <f t="shared" si="79"/>
        <v>0.35</v>
      </c>
      <c r="AK178" s="38">
        <f t="shared" si="79"/>
        <v>0.35</v>
      </c>
      <c r="AL178" s="38">
        <f t="shared" si="79"/>
        <v>0.35</v>
      </c>
      <c r="AM178" s="38">
        <f t="shared" si="79"/>
        <v>0.35</v>
      </c>
      <c r="AN178" s="38">
        <f t="shared" si="79"/>
        <v>0.35</v>
      </c>
      <c r="AO178" s="38">
        <f t="shared" si="79"/>
        <v>0.35</v>
      </c>
      <c r="AP178" s="38">
        <f t="shared" si="79"/>
        <v>0.35</v>
      </c>
      <c r="AQ178" s="38">
        <f t="shared" si="79"/>
        <v>0.35</v>
      </c>
      <c r="AR178" s="38">
        <f t="shared" si="79"/>
        <v>0.35</v>
      </c>
      <c r="AS178" s="38">
        <f t="shared" si="79"/>
        <v>0.35</v>
      </c>
      <c r="AT178" s="38">
        <f t="shared" si="79"/>
        <v>0.35</v>
      </c>
      <c r="AU178" s="38">
        <f t="shared" si="79"/>
        <v>0.35</v>
      </c>
      <c r="AV178" s="38">
        <f t="shared" si="79"/>
        <v>0.35</v>
      </c>
      <c r="AW178" s="38">
        <f t="shared" si="79"/>
        <v>0.35</v>
      </c>
      <c r="AX178" s="38">
        <f t="shared" si="79"/>
        <v>0.35</v>
      </c>
      <c r="AY178" s="38">
        <f t="shared" si="79"/>
        <v>0.35</v>
      </c>
      <c r="AZ178" s="38">
        <f t="shared" si="79"/>
        <v>0.35</v>
      </c>
      <c r="BA178" s="38">
        <f t="shared" si="79"/>
        <v>0.35</v>
      </c>
    </row>
    <row r="179" spans="2:53" x14ac:dyDescent="0.35">
      <c r="B179" t="s">
        <v>127</v>
      </c>
      <c r="C179" t="s">
        <v>118</v>
      </c>
      <c r="O179" s="38">
        <f>2/6</f>
        <v>0.33333333333333331</v>
      </c>
      <c r="P179" s="38">
        <f>2/6</f>
        <v>0.33333333333333331</v>
      </c>
      <c r="Q179" s="38">
        <f>$P$179</f>
        <v>0.33333333333333331</v>
      </c>
      <c r="R179" s="38">
        <f t="shared" ref="R179:BA179" si="80">$P$179</f>
        <v>0.33333333333333331</v>
      </c>
      <c r="S179" s="38">
        <f t="shared" si="80"/>
        <v>0.33333333333333331</v>
      </c>
      <c r="T179" s="38">
        <f t="shared" si="80"/>
        <v>0.33333333333333331</v>
      </c>
      <c r="U179" s="38">
        <f t="shared" si="80"/>
        <v>0.33333333333333331</v>
      </c>
      <c r="V179" s="38">
        <f t="shared" si="80"/>
        <v>0.33333333333333331</v>
      </c>
      <c r="W179" s="38">
        <f t="shared" si="80"/>
        <v>0.33333333333333331</v>
      </c>
      <c r="X179" s="38">
        <f t="shared" si="80"/>
        <v>0.33333333333333331</v>
      </c>
      <c r="Y179" s="38">
        <f t="shared" si="80"/>
        <v>0.33333333333333331</v>
      </c>
      <c r="Z179" s="38">
        <f t="shared" si="80"/>
        <v>0.33333333333333331</v>
      </c>
      <c r="AA179" s="38">
        <f t="shared" si="80"/>
        <v>0.33333333333333331</v>
      </c>
      <c r="AB179" s="38">
        <f t="shared" si="80"/>
        <v>0.33333333333333331</v>
      </c>
      <c r="AC179" s="38">
        <f t="shared" si="80"/>
        <v>0.33333333333333331</v>
      </c>
      <c r="AD179" s="38">
        <f t="shared" si="80"/>
        <v>0.33333333333333331</v>
      </c>
      <c r="AE179" s="38">
        <f t="shared" si="80"/>
        <v>0.33333333333333331</v>
      </c>
      <c r="AF179" s="38">
        <f t="shared" si="80"/>
        <v>0.33333333333333331</v>
      </c>
      <c r="AG179" s="38">
        <f t="shared" si="80"/>
        <v>0.33333333333333331</v>
      </c>
      <c r="AH179" s="38">
        <f t="shared" si="80"/>
        <v>0.33333333333333331</v>
      </c>
      <c r="AI179" s="38">
        <f t="shared" si="80"/>
        <v>0.33333333333333331</v>
      </c>
      <c r="AJ179" s="38">
        <f t="shared" si="80"/>
        <v>0.33333333333333331</v>
      </c>
      <c r="AK179" s="38">
        <f t="shared" si="80"/>
        <v>0.33333333333333331</v>
      </c>
      <c r="AL179" s="38">
        <f t="shared" si="80"/>
        <v>0.33333333333333331</v>
      </c>
      <c r="AM179" s="38">
        <f t="shared" si="80"/>
        <v>0.33333333333333331</v>
      </c>
      <c r="AN179" s="38">
        <f t="shared" si="80"/>
        <v>0.33333333333333331</v>
      </c>
      <c r="AO179" s="38">
        <f t="shared" si="80"/>
        <v>0.33333333333333331</v>
      </c>
      <c r="AP179" s="38">
        <f t="shared" si="80"/>
        <v>0.33333333333333331</v>
      </c>
      <c r="AQ179" s="38">
        <f t="shared" si="80"/>
        <v>0.33333333333333331</v>
      </c>
      <c r="AR179" s="38">
        <f t="shared" si="80"/>
        <v>0.33333333333333331</v>
      </c>
      <c r="AS179" s="38">
        <f t="shared" si="80"/>
        <v>0.33333333333333331</v>
      </c>
      <c r="AT179" s="38">
        <f t="shared" si="80"/>
        <v>0.33333333333333331</v>
      </c>
      <c r="AU179" s="38">
        <f t="shared" si="80"/>
        <v>0.33333333333333331</v>
      </c>
      <c r="AV179" s="38">
        <f t="shared" si="80"/>
        <v>0.33333333333333331</v>
      </c>
      <c r="AW179" s="38">
        <f t="shared" si="80"/>
        <v>0.33333333333333331</v>
      </c>
      <c r="AX179" s="38">
        <f t="shared" si="80"/>
        <v>0.33333333333333331</v>
      </c>
      <c r="AY179" s="38">
        <f t="shared" si="80"/>
        <v>0.33333333333333331</v>
      </c>
      <c r="AZ179" s="38">
        <f t="shared" si="80"/>
        <v>0.33333333333333331</v>
      </c>
      <c r="BA179" s="38">
        <f t="shared" si="80"/>
        <v>0.33333333333333331</v>
      </c>
    </row>
    <row r="180" spans="2:53" x14ac:dyDescent="0.35">
      <c r="B180" t="s">
        <v>127</v>
      </c>
      <c r="C180" t="s">
        <v>119</v>
      </c>
      <c r="O180" s="38">
        <v>0.6</v>
      </c>
      <c r="P180" s="38">
        <v>0.6</v>
      </c>
      <c r="Q180" s="38">
        <f>$P$180</f>
        <v>0.6</v>
      </c>
      <c r="R180" s="38">
        <f t="shared" ref="R180:BA180" si="81">$P$180</f>
        <v>0.6</v>
      </c>
      <c r="S180" s="38">
        <f t="shared" si="81"/>
        <v>0.6</v>
      </c>
      <c r="T180" s="38">
        <f t="shared" si="81"/>
        <v>0.6</v>
      </c>
      <c r="U180" s="38">
        <f t="shared" si="81"/>
        <v>0.6</v>
      </c>
      <c r="V180" s="38">
        <f t="shared" si="81"/>
        <v>0.6</v>
      </c>
      <c r="W180" s="38">
        <f t="shared" si="81"/>
        <v>0.6</v>
      </c>
      <c r="X180" s="38">
        <f t="shared" si="81"/>
        <v>0.6</v>
      </c>
      <c r="Y180" s="38">
        <f t="shared" si="81"/>
        <v>0.6</v>
      </c>
      <c r="Z180" s="38">
        <f t="shared" si="81"/>
        <v>0.6</v>
      </c>
      <c r="AA180" s="38">
        <f t="shared" si="81"/>
        <v>0.6</v>
      </c>
      <c r="AB180" s="38">
        <f t="shared" si="81"/>
        <v>0.6</v>
      </c>
      <c r="AC180" s="38">
        <f t="shared" si="81"/>
        <v>0.6</v>
      </c>
      <c r="AD180" s="38">
        <f t="shared" si="81"/>
        <v>0.6</v>
      </c>
      <c r="AE180" s="38">
        <f t="shared" si="81"/>
        <v>0.6</v>
      </c>
      <c r="AF180" s="38">
        <f t="shared" si="81"/>
        <v>0.6</v>
      </c>
      <c r="AG180" s="38">
        <f t="shared" si="81"/>
        <v>0.6</v>
      </c>
      <c r="AH180" s="38">
        <f t="shared" si="81"/>
        <v>0.6</v>
      </c>
      <c r="AI180" s="38">
        <f t="shared" si="81"/>
        <v>0.6</v>
      </c>
      <c r="AJ180" s="38">
        <f t="shared" si="81"/>
        <v>0.6</v>
      </c>
      <c r="AK180" s="38">
        <f t="shared" si="81"/>
        <v>0.6</v>
      </c>
      <c r="AL180" s="38">
        <f t="shared" si="81"/>
        <v>0.6</v>
      </c>
      <c r="AM180" s="38">
        <f t="shared" si="81"/>
        <v>0.6</v>
      </c>
      <c r="AN180" s="38">
        <f t="shared" si="81"/>
        <v>0.6</v>
      </c>
      <c r="AO180" s="38">
        <f t="shared" si="81"/>
        <v>0.6</v>
      </c>
      <c r="AP180" s="38">
        <f t="shared" si="81"/>
        <v>0.6</v>
      </c>
      <c r="AQ180" s="38">
        <f t="shared" si="81"/>
        <v>0.6</v>
      </c>
      <c r="AR180" s="38">
        <f t="shared" si="81"/>
        <v>0.6</v>
      </c>
      <c r="AS180" s="38">
        <f t="shared" si="81"/>
        <v>0.6</v>
      </c>
      <c r="AT180" s="38">
        <f t="shared" si="81"/>
        <v>0.6</v>
      </c>
      <c r="AU180" s="38">
        <f t="shared" si="81"/>
        <v>0.6</v>
      </c>
      <c r="AV180" s="38">
        <f t="shared" si="81"/>
        <v>0.6</v>
      </c>
      <c r="AW180" s="38">
        <f t="shared" si="81"/>
        <v>0.6</v>
      </c>
      <c r="AX180" s="38">
        <f t="shared" si="81"/>
        <v>0.6</v>
      </c>
      <c r="AY180" s="38">
        <f t="shared" si="81"/>
        <v>0.6</v>
      </c>
      <c r="AZ180" s="38">
        <f t="shared" si="81"/>
        <v>0.6</v>
      </c>
      <c r="BA180" s="38">
        <f t="shared" si="81"/>
        <v>0.6</v>
      </c>
    </row>
    <row r="181" spans="2:53" x14ac:dyDescent="0.35">
      <c r="B181" t="s">
        <v>127</v>
      </c>
      <c r="C181" t="s">
        <v>120</v>
      </c>
      <c r="O181" s="38">
        <v>0.33</v>
      </c>
      <c r="P181" s="38">
        <v>0.33</v>
      </c>
      <c r="Q181" s="38">
        <f>$P$181</f>
        <v>0.33</v>
      </c>
      <c r="R181" s="38">
        <f t="shared" ref="R181:BA181" si="82">$P$181</f>
        <v>0.33</v>
      </c>
      <c r="S181" s="38">
        <f t="shared" si="82"/>
        <v>0.33</v>
      </c>
      <c r="T181" s="38">
        <f t="shared" si="82"/>
        <v>0.33</v>
      </c>
      <c r="U181" s="38">
        <f t="shared" si="82"/>
        <v>0.33</v>
      </c>
      <c r="V181" s="38">
        <f t="shared" si="82"/>
        <v>0.33</v>
      </c>
      <c r="W181" s="38">
        <f t="shared" si="82"/>
        <v>0.33</v>
      </c>
      <c r="X181" s="38">
        <f t="shared" si="82"/>
        <v>0.33</v>
      </c>
      <c r="Y181" s="38">
        <f t="shared" si="82"/>
        <v>0.33</v>
      </c>
      <c r="Z181" s="38">
        <f t="shared" si="82"/>
        <v>0.33</v>
      </c>
      <c r="AA181" s="38">
        <f t="shared" si="82"/>
        <v>0.33</v>
      </c>
      <c r="AB181" s="38">
        <f t="shared" si="82"/>
        <v>0.33</v>
      </c>
      <c r="AC181" s="38">
        <f t="shared" si="82"/>
        <v>0.33</v>
      </c>
      <c r="AD181" s="38">
        <f t="shared" si="82"/>
        <v>0.33</v>
      </c>
      <c r="AE181" s="38">
        <f t="shared" si="82"/>
        <v>0.33</v>
      </c>
      <c r="AF181" s="38">
        <f t="shared" si="82"/>
        <v>0.33</v>
      </c>
      <c r="AG181" s="38">
        <f t="shared" si="82"/>
        <v>0.33</v>
      </c>
      <c r="AH181" s="38">
        <f t="shared" si="82"/>
        <v>0.33</v>
      </c>
      <c r="AI181" s="38">
        <f t="shared" si="82"/>
        <v>0.33</v>
      </c>
      <c r="AJ181" s="38">
        <f t="shared" si="82"/>
        <v>0.33</v>
      </c>
      <c r="AK181" s="38">
        <f t="shared" si="82"/>
        <v>0.33</v>
      </c>
      <c r="AL181" s="38">
        <f t="shared" si="82"/>
        <v>0.33</v>
      </c>
      <c r="AM181" s="38">
        <f t="shared" si="82"/>
        <v>0.33</v>
      </c>
      <c r="AN181" s="38">
        <f t="shared" si="82"/>
        <v>0.33</v>
      </c>
      <c r="AO181" s="38">
        <f t="shared" si="82"/>
        <v>0.33</v>
      </c>
      <c r="AP181" s="38">
        <f t="shared" si="82"/>
        <v>0.33</v>
      </c>
      <c r="AQ181" s="38">
        <f t="shared" si="82"/>
        <v>0.33</v>
      </c>
      <c r="AR181" s="38">
        <f t="shared" si="82"/>
        <v>0.33</v>
      </c>
      <c r="AS181" s="38">
        <f t="shared" si="82"/>
        <v>0.33</v>
      </c>
      <c r="AT181" s="38">
        <f t="shared" si="82"/>
        <v>0.33</v>
      </c>
      <c r="AU181" s="38">
        <f t="shared" si="82"/>
        <v>0.33</v>
      </c>
      <c r="AV181" s="38">
        <f t="shared" si="82"/>
        <v>0.33</v>
      </c>
      <c r="AW181" s="38">
        <f t="shared" si="82"/>
        <v>0.33</v>
      </c>
      <c r="AX181" s="38">
        <f t="shared" si="82"/>
        <v>0.33</v>
      </c>
      <c r="AY181" s="38">
        <f t="shared" si="82"/>
        <v>0.33</v>
      </c>
      <c r="AZ181" s="38">
        <f t="shared" si="82"/>
        <v>0.33</v>
      </c>
      <c r="BA181" s="38">
        <f t="shared" si="82"/>
        <v>0.33</v>
      </c>
    </row>
    <row r="182" spans="2:53" x14ac:dyDescent="0.35">
      <c r="B182" t="s">
        <v>127</v>
      </c>
      <c r="C182" t="s">
        <v>121</v>
      </c>
      <c r="O182" s="38">
        <v>0.25</v>
      </c>
      <c r="P182" s="38">
        <v>0.25</v>
      </c>
      <c r="Q182" s="38">
        <f>$P$182</f>
        <v>0.25</v>
      </c>
      <c r="R182" s="38">
        <f t="shared" ref="R182:BA182" si="83">$P$182</f>
        <v>0.25</v>
      </c>
      <c r="S182" s="38">
        <f t="shared" si="83"/>
        <v>0.25</v>
      </c>
      <c r="T182" s="38">
        <f t="shared" si="83"/>
        <v>0.25</v>
      </c>
      <c r="U182" s="38">
        <f t="shared" si="83"/>
        <v>0.25</v>
      </c>
      <c r="V182" s="38">
        <f t="shared" si="83"/>
        <v>0.25</v>
      </c>
      <c r="W182" s="38">
        <f t="shared" si="83"/>
        <v>0.25</v>
      </c>
      <c r="X182" s="38">
        <f t="shared" si="83"/>
        <v>0.25</v>
      </c>
      <c r="Y182" s="38">
        <f t="shared" si="83"/>
        <v>0.25</v>
      </c>
      <c r="Z182" s="38">
        <f t="shared" si="83"/>
        <v>0.25</v>
      </c>
      <c r="AA182" s="38">
        <f t="shared" si="83"/>
        <v>0.25</v>
      </c>
      <c r="AB182" s="38">
        <f t="shared" si="83"/>
        <v>0.25</v>
      </c>
      <c r="AC182" s="38">
        <f t="shared" si="83"/>
        <v>0.25</v>
      </c>
      <c r="AD182" s="38">
        <f t="shared" si="83"/>
        <v>0.25</v>
      </c>
      <c r="AE182" s="38">
        <f t="shared" si="83"/>
        <v>0.25</v>
      </c>
      <c r="AF182" s="38">
        <f t="shared" si="83"/>
        <v>0.25</v>
      </c>
      <c r="AG182" s="38">
        <f t="shared" si="83"/>
        <v>0.25</v>
      </c>
      <c r="AH182" s="38">
        <f t="shared" si="83"/>
        <v>0.25</v>
      </c>
      <c r="AI182" s="38">
        <f t="shared" si="83"/>
        <v>0.25</v>
      </c>
      <c r="AJ182" s="38">
        <f t="shared" si="83"/>
        <v>0.25</v>
      </c>
      <c r="AK182" s="38">
        <f t="shared" si="83"/>
        <v>0.25</v>
      </c>
      <c r="AL182" s="38">
        <f t="shared" si="83"/>
        <v>0.25</v>
      </c>
      <c r="AM182" s="38">
        <f t="shared" si="83"/>
        <v>0.25</v>
      </c>
      <c r="AN182" s="38">
        <f t="shared" si="83"/>
        <v>0.25</v>
      </c>
      <c r="AO182" s="38">
        <f t="shared" si="83"/>
        <v>0.25</v>
      </c>
      <c r="AP182" s="38">
        <f t="shared" si="83"/>
        <v>0.25</v>
      </c>
      <c r="AQ182" s="38">
        <f t="shared" si="83"/>
        <v>0.25</v>
      </c>
      <c r="AR182" s="38">
        <f t="shared" si="83"/>
        <v>0.25</v>
      </c>
      <c r="AS182" s="38">
        <f t="shared" si="83"/>
        <v>0.25</v>
      </c>
      <c r="AT182" s="38">
        <f t="shared" si="83"/>
        <v>0.25</v>
      </c>
      <c r="AU182" s="38">
        <f t="shared" si="83"/>
        <v>0.25</v>
      </c>
      <c r="AV182" s="38">
        <f t="shared" si="83"/>
        <v>0.25</v>
      </c>
      <c r="AW182" s="38">
        <f t="shared" si="83"/>
        <v>0.25</v>
      </c>
      <c r="AX182" s="38">
        <f t="shared" si="83"/>
        <v>0.25</v>
      </c>
      <c r="AY182" s="38">
        <f t="shared" si="83"/>
        <v>0.25</v>
      </c>
      <c r="AZ182" s="38">
        <f t="shared" si="83"/>
        <v>0.25</v>
      </c>
      <c r="BA182" s="38">
        <f t="shared" si="83"/>
        <v>0.25</v>
      </c>
    </row>
    <row r="184" spans="2:53" x14ac:dyDescent="0.35">
      <c r="B184" t="s">
        <v>128</v>
      </c>
      <c r="C184" t="s">
        <v>116</v>
      </c>
      <c r="O184" s="40">
        <f>MIN(1,O170)*O163+(1-MIN(1,O170))*O177</f>
        <v>0.75</v>
      </c>
      <c r="P184" s="40">
        <f>MIN(1,P170)*P163+(1-MIN(1,P170))*P177</f>
        <v>0.72418880312023248</v>
      </c>
      <c r="Q184" s="40">
        <f>MIN(1,Q170)*Q163+(1-MIN(1,Q170))*Q177</f>
        <v>0.72418880312023248</v>
      </c>
      <c r="R184" s="40">
        <f t="shared" ref="R184:BA189" si="84">MIN(1,R170)*R163+(1-MIN(1,R170))*R177</f>
        <v>0.72418880312023248</v>
      </c>
      <c r="S184" s="40">
        <f t="shared" si="84"/>
        <v>0.72418880312023248</v>
      </c>
      <c r="T184" s="40">
        <f t="shared" si="84"/>
        <v>0.72418880312023248</v>
      </c>
      <c r="U184" s="40">
        <f t="shared" si="84"/>
        <v>0.70950598214696203</v>
      </c>
      <c r="V184" s="40">
        <f t="shared" si="84"/>
        <v>0.59441184669748415</v>
      </c>
      <c r="W184" s="40">
        <f t="shared" si="84"/>
        <v>0.45672799610836934</v>
      </c>
      <c r="X184" s="40">
        <f t="shared" si="84"/>
        <v>0.45574934196019845</v>
      </c>
      <c r="Y184" s="40">
        <f t="shared" si="84"/>
        <v>0.4556127814718483</v>
      </c>
      <c r="Z184" s="40">
        <f t="shared" si="84"/>
        <v>0.44805010496960956</v>
      </c>
      <c r="AA184" s="40">
        <f t="shared" si="84"/>
        <v>0.47241101366221572</v>
      </c>
      <c r="AB184" s="40">
        <f t="shared" si="84"/>
        <v>0.56124497875718682</v>
      </c>
      <c r="AC184" s="40">
        <f t="shared" si="84"/>
        <v>0.4403000733277096</v>
      </c>
      <c r="AD184" s="40">
        <f t="shared" si="84"/>
        <v>0.44874262358823513</v>
      </c>
      <c r="AE184" s="40">
        <f t="shared" si="84"/>
        <v>0.44228969863367185</v>
      </c>
      <c r="AF184" s="40">
        <f t="shared" si="84"/>
        <v>0.44874262358823513</v>
      </c>
      <c r="AG184" s="40">
        <f t="shared" si="84"/>
        <v>0.43800969097870335</v>
      </c>
      <c r="AH184" s="40">
        <f t="shared" si="84"/>
        <v>0.49551172352893041</v>
      </c>
      <c r="AI184" s="40">
        <f t="shared" si="84"/>
        <v>0.42978693528999112</v>
      </c>
      <c r="AJ184" s="40">
        <f t="shared" si="84"/>
        <v>0.42986982583522698</v>
      </c>
      <c r="AK184" s="40">
        <f t="shared" si="84"/>
        <v>0.50602766716070968</v>
      </c>
      <c r="AL184" s="40">
        <f t="shared" si="84"/>
        <v>0.42532658161885839</v>
      </c>
      <c r="AM184" s="40">
        <f t="shared" si="84"/>
        <v>0.42532658161885839</v>
      </c>
      <c r="AN184" s="40">
        <f t="shared" si="84"/>
        <v>0.39858742537076147</v>
      </c>
      <c r="AO184" s="40">
        <f t="shared" si="84"/>
        <v>0.3898831193904212</v>
      </c>
      <c r="AP184" s="40">
        <f t="shared" si="84"/>
        <v>0.39669955978459803</v>
      </c>
      <c r="AQ184" s="40">
        <f t="shared" si="84"/>
        <v>0.42168124981496102</v>
      </c>
      <c r="AR184" s="40">
        <f t="shared" si="84"/>
        <v>0.39669955978459798</v>
      </c>
      <c r="AS184" s="40">
        <f t="shared" si="84"/>
        <v>0.38836860096874487</v>
      </c>
      <c r="AT184" s="40">
        <f t="shared" si="84"/>
        <v>0.40544219983407315</v>
      </c>
      <c r="AU184" s="40">
        <f t="shared" si="84"/>
        <v>0.38561696711890209</v>
      </c>
      <c r="AV184" s="40">
        <f t="shared" si="84"/>
        <v>0.38844174602895648</v>
      </c>
      <c r="AW184" s="40">
        <f t="shared" si="84"/>
        <v>0.47044474053153029</v>
      </c>
      <c r="AX184" s="40">
        <f t="shared" si="84"/>
        <v>0.39251056847275556</v>
      </c>
      <c r="AY184" s="40">
        <f t="shared" si="84"/>
        <v>0.42480591044304911</v>
      </c>
      <c r="AZ184" s="40">
        <f t="shared" si="84"/>
        <v>0.37930569732548214</v>
      </c>
      <c r="BA184" s="40">
        <f t="shared" si="84"/>
        <v>0.3523433426157771</v>
      </c>
    </row>
    <row r="185" spans="2:53" x14ac:dyDescent="0.35">
      <c r="B185" t="s">
        <v>128</v>
      </c>
      <c r="C185" t="s">
        <v>117</v>
      </c>
      <c r="O185" s="40">
        <f t="shared" ref="O185:Q189" si="85">MIN(1,O171)*O164+(1-MIN(1,O171))*O178</f>
        <v>0.35</v>
      </c>
      <c r="P185" s="40">
        <f t="shared" si="85"/>
        <v>0.35</v>
      </c>
      <c r="Q185" s="40">
        <f t="shared" si="85"/>
        <v>0.35</v>
      </c>
      <c r="R185" s="40">
        <f t="shared" si="84"/>
        <v>0.35</v>
      </c>
      <c r="S185" s="40">
        <f t="shared" si="84"/>
        <v>0.35</v>
      </c>
      <c r="T185" s="40">
        <f t="shared" si="84"/>
        <v>0.35</v>
      </c>
      <c r="U185" s="40">
        <f t="shared" si="84"/>
        <v>0.35011453099740608</v>
      </c>
      <c r="V185" s="40">
        <f t="shared" si="84"/>
        <v>0.33391747468846156</v>
      </c>
      <c r="W185" s="40">
        <f t="shared" si="84"/>
        <v>0.27672799610836929</v>
      </c>
      <c r="X185" s="40">
        <f t="shared" si="84"/>
        <v>0.27574934196019835</v>
      </c>
      <c r="Y185" s="40">
        <f t="shared" si="84"/>
        <v>0.25371982734219528</v>
      </c>
      <c r="Z185" s="40">
        <f t="shared" si="84"/>
        <v>0.26983865916767719</v>
      </c>
      <c r="AA185" s="40">
        <f t="shared" si="84"/>
        <v>0.27314918645380354</v>
      </c>
      <c r="AB185" s="40">
        <f t="shared" si="84"/>
        <v>0.27676597920713836</v>
      </c>
      <c r="AC185" s="40">
        <f t="shared" si="84"/>
        <v>0.2603000733277096</v>
      </c>
      <c r="AD185" s="40">
        <f t="shared" si="84"/>
        <v>0.26874262358823509</v>
      </c>
      <c r="AE185" s="40">
        <f t="shared" si="84"/>
        <v>0.26046640263937948</v>
      </c>
      <c r="AF185" s="40">
        <f t="shared" si="84"/>
        <v>0.26874262358823509</v>
      </c>
      <c r="AG185" s="40">
        <f t="shared" si="84"/>
        <v>0.31018104509206629</v>
      </c>
      <c r="AH185" s="40">
        <f t="shared" si="84"/>
        <v>0.29536339011010848</v>
      </c>
      <c r="AI185" s="40">
        <f t="shared" si="84"/>
        <v>0.24260046391968756</v>
      </c>
      <c r="AJ185" s="40">
        <f t="shared" si="84"/>
        <v>0.27435050800408695</v>
      </c>
      <c r="AK185" s="40">
        <f t="shared" si="84"/>
        <v>0.26467850389669689</v>
      </c>
      <c r="AL185" s="40">
        <f t="shared" si="84"/>
        <v>0.24532658161885834</v>
      </c>
      <c r="AM185" s="40">
        <f t="shared" si="84"/>
        <v>0.24532658161885831</v>
      </c>
      <c r="AN185" s="40">
        <f t="shared" si="84"/>
        <v>0.23035962494338952</v>
      </c>
      <c r="AO185" s="40">
        <f t="shared" si="84"/>
        <v>0.22368311939042115</v>
      </c>
      <c r="AP185" s="40">
        <f t="shared" si="84"/>
        <v>0.23049955978459796</v>
      </c>
      <c r="AQ185" s="40">
        <f t="shared" si="84"/>
        <v>0.24405194436516803</v>
      </c>
      <c r="AR185" s="40">
        <f t="shared" si="84"/>
        <v>0.23049955978459796</v>
      </c>
      <c r="AS185" s="40">
        <f t="shared" si="84"/>
        <v>0.24558817336993394</v>
      </c>
      <c r="AT185" s="40">
        <f t="shared" si="84"/>
        <v>0.25751421252615392</v>
      </c>
      <c r="AU185" s="40">
        <f t="shared" si="84"/>
        <v>0.21941696711890205</v>
      </c>
      <c r="AV185" s="40">
        <f t="shared" si="84"/>
        <v>0.25091570569709243</v>
      </c>
      <c r="AW185" s="40">
        <f t="shared" si="84"/>
        <v>0.25196234094883047</v>
      </c>
      <c r="AX185" s="40">
        <f t="shared" si="84"/>
        <v>0.22631056847275552</v>
      </c>
      <c r="AY185" s="40">
        <f t="shared" si="84"/>
        <v>0.23866135777389208</v>
      </c>
      <c r="AZ185" s="40">
        <f t="shared" si="84"/>
        <v>0.20732929239387152</v>
      </c>
      <c r="BA185" s="40">
        <f t="shared" si="84"/>
        <v>0.19856334261577702</v>
      </c>
    </row>
    <row r="186" spans="2:53" x14ac:dyDescent="0.35">
      <c r="B186" t="s">
        <v>128</v>
      </c>
      <c r="C186" t="s">
        <v>118</v>
      </c>
      <c r="O186" s="40">
        <f t="shared" si="85"/>
        <v>0.33333333333333331</v>
      </c>
      <c r="P186" s="40">
        <f t="shared" si="85"/>
        <v>0.33333333333333331</v>
      </c>
      <c r="Q186" s="40">
        <f>MIN(1,Q172)*Q165+(1-MIN(1,Q172))*Q179</f>
        <v>0.33333333333333331</v>
      </c>
      <c r="R186" s="40">
        <f t="shared" si="84"/>
        <v>0.33333333333333331</v>
      </c>
      <c r="S186" s="40">
        <f t="shared" si="84"/>
        <v>0.33333333333333331</v>
      </c>
      <c r="T186" s="40">
        <f t="shared" si="84"/>
        <v>0.36726544550118956</v>
      </c>
      <c r="U186" s="40">
        <f>MIN(1,U172)*U165+(1-MIN(1,U172))*U179</f>
        <v>0.34600616083800706</v>
      </c>
      <c r="V186" s="40">
        <f t="shared" si="84"/>
        <v>0.3288812413569</v>
      </c>
      <c r="W186" s="40">
        <f t="shared" si="84"/>
        <v>0.30878530229392409</v>
      </c>
      <c r="X186" s="40">
        <f t="shared" si="84"/>
        <v>0.30982889255391216</v>
      </c>
      <c r="Y186" s="40">
        <f t="shared" si="84"/>
        <v>0.29744157368403001</v>
      </c>
      <c r="Z186" s="40">
        <f t="shared" si="84"/>
        <v>0.28805010496960959</v>
      </c>
      <c r="AA186" s="40">
        <f t="shared" si="84"/>
        <v>0.29910863768335222</v>
      </c>
      <c r="AB186" s="40">
        <f t="shared" si="84"/>
        <v>0.28702163241365697</v>
      </c>
      <c r="AC186" s="40">
        <f t="shared" si="84"/>
        <v>0.28030007332770956</v>
      </c>
      <c r="AD186" s="40">
        <f t="shared" si="84"/>
        <v>0.28896091258723927</v>
      </c>
      <c r="AE186" s="40">
        <f t="shared" si="84"/>
        <v>0.28689610917657593</v>
      </c>
      <c r="AF186" s="40">
        <f t="shared" si="84"/>
        <v>0.2887426235882351</v>
      </c>
      <c r="AG186" s="40">
        <f t="shared" si="84"/>
        <v>0.28095024937095081</v>
      </c>
      <c r="AH186" s="40">
        <f t="shared" si="84"/>
        <v>0.28978324155370594</v>
      </c>
      <c r="AI186" s="40">
        <f t="shared" si="84"/>
        <v>0.26260046391968761</v>
      </c>
      <c r="AJ186" s="40">
        <f t="shared" si="84"/>
        <v>0.27156165669472382</v>
      </c>
      <c r="AK186" s="40">
        <f t="shared" si="84"/>
        <v>0.27027653690442666</v>
      </c>
      <c r="AL186" s="40">
        <f t="shared" si="84"/>
        <v>0.26532658161885836</v>
      </c>
      <c r="AM186" s="40">
        <f t="shared" si="84"/>
        <v>0.26731833409429789</v>
      </c>
      <c r="AN186" s="40">
        <f t="shared" si="84"/>
        <v>0.26259472916856003</v>
      </c>
      <c r="AO186" s="40">
        <f t="shared" si="84"/>
        <v>0.24488311939042115</v>
      </c>
      <c r="AP186" s="40">
        <f t="shared" si="84"/>
        <v>0.25296319640642823</v>
      </c>
      <c r="AQ186" s="40">
        <f t="shared" si="84"/>
        <v>0.26014294913546321</v>
      </c>
      <c r="AR186" s="40">
        <f t="shared" si="84"/>
        <v>0.25169955978459796</v>
      </c>
      <c r="AS186" s="40">
        <f t="shared" si="84"/>
        <v>0.24263207933564238</v>
      </c>
      <c r="AT186" s="40">
        <f t="shared" si="84"/>
        <v>0.25788628806720532</v>
      </c>
      <c r="AU186" s="40">
        <f t="shared" si="84"/>
        <v>0.24061696711890204</v>
      </c>
      <c r="AV186" s="40">
        <f t="shared" si="84"/>
        <v>0.24344174602895643</v>
      </c>
      <c r="AW186" s="40">
        <f t="shared" si="84"/>
        <v>0.25591561713591005</v>
      </c>
      <c r="AX186" s="40">
        <f t="shared" si="84"/>
        <v>0.24751056847275552</v>
      </c>
      <c r="AY186" s="40">
        <f t="shared" si="84"/>
        <v>0.24830916603871364</v>
      </c>
      <c r="AZ186" s="40">
        <f t="shared" si="84"/>
        <v>0.21785547810725447</v>
      </c>
      <c r="BA186" s="40">
        <f t="shared" si="84"/>
        <v>0.22084334261577701</v>
      </c>
    </row>
    <row r="187" spans="2:53" x14ac:dyDescent="0.35">
      <c r="B187" t="s">
        <v>128</v>
      </c>
      <c r="C187" t="s">
        <v>119</v>
      </c>
      <c r="O187" s="40">
        <f t="shared" si="85"/>
        <v>0.6</v>
      </c>
      <c r="P187" s="40">
        <f t="shared" si="85"/>
        <v>0.6</v>
      </c>
      <c r="Q187" s="40">
        <f t="shared" si="85"/>
        <v>0.6</v>
      </c>
      <c r="R187" s="40">
        <f t="shared" si="84"/>
        <v>0.6</v>
      </c>
      <c r="S187" s="40">
        <f t="shared" si="84"/>
        <v>0.6</v>
      </c>
      <c r="T187" s="40">
        <f t="shared" si="84"/>
        <v>0.66545388528813665</v>
      </c>
      <c r="U187" s="40">
        <f t="shared" si="84"/>
        <v>0.48152201957415686</v>
      </c>
      <c r="V187" s="40">
        <f t="shared" si="84"/>
        <v>0.43583115845251474</v>
      </c>
      <c r="W187" s="40">
        <f t="shared" si="84"/>
        <v>0.44160623192291137</v>
      </c>
      <c r="X187" s="40">
        <f t="shared" si="84"/>
        <v>0.40574934196019835</v>
      </c>
      <c r="Y187" s="40">
        <f t="shared" si="84"/>
        <v>0.54470459969511442</v>
      </c>
      <c r="Z187" s="40">
        <f t="shared" si="84"/>
        <v>0.39805010496960952</v>
      </c>
      <c r="AA187" s="40">
        <f t="shared" si="84"/>
        <v>0.39805010496960952</v>
      </c>
      <c r="AB187" s="40">
        <f t="shared" si="84"/>
        <v>0.43741629644929358</v>
      </c>
      <c r="AC187" s="40">
        <f t="shared" si="84"/>
        <v>0.39030007332770961</v>
      </c>
      <c r="AD187" s="40">
        <f t="shared" si="84"/>
        <v>0.42656307675654109</v>
      </c>
      <c r="AE187" s="40">
        <f t="shared" si="84"/>
        <v>0.42732442165536272</v>
      </c>
      <c r="AF187" s="40">
        <f t="shared" si="84"/>
        <v>0.39874262358823509</v>
      </c>
      <c r="AG187" s="40">
        <f t="shared" si="84"/>
        <v>0.3880096909787033</v>
      </c>
      <c r="AH187" s="40">
        <f t="shared" si="84"/>
        <v>0.38402833339486536</v>
      </c>
      <c r="AI187" s="40">
        <f t="shared" si="84"/>
        <v>0.38649572808297505</v>
      </c>
      <c r="AJ187" s="40">
        <f t="shared" si="84"/>
        <v>0.37986982583522688</v>
      </c>
      <c r="AK187" s="40">
        <f t="shared" si="84"/>
        <v>0.395928735423483</v>
      </c>
      <c r="AL187" s="40">
        <f t="shared" si="84"/>
        <v>0.37532658161885835</v>
      </c>
      <c r="AM187" s="40">
        <f t="shared" si="84"/>
        <v>0.37532658161885835</v>
      </c>
      <c r="AN187" s="40">
        <f t="shared" si="84"/>
        <v>0.45168441948891486</v>
      </c>
      <c r="AO187" s="40">
        <f t="shared" si="84"/>
        <v>0.34537529068107164</v>
      </c>
      <c r="AP187" s="40">
        <f t="shared" si="84"/>
        <v>0.37755870451926188</v>
      </c>
      <c r="AQ187" s="40">
        <f t="shared" si="84"/>
        <v>0.38128714049093676</v>
      </c>
      <c r="AR187" s="40">
        <f t="shared" si="84"/>
        <v>0.35219173107524848</v>
      </c>
      <c r="AS187" s="40">
        <f t="shared" si="84"/>
        <v>0.34189717723663982</v>
      </c>
      <c r="AT187" s="40">
        <f t="shared" si="84"/>
        <v>0.34272861644599306</v>
      </c>
      <c r="AU187" s="40">
        <f t="shared" si="84"/>
        <v>0.35339477857627638</v>
      </c>
      <c r="AV187" s="40">
        <f t="shared" si="84"/>
        <v>0.34393391731960687</v>
      </c>
      <c r="AW187" s="40">
        <f t="shared" si="84"/>
        <v>0.36436420722193102</v>
      </c>
      <c r="AX187" s="40">
        <f t="shared" si="84"/>
        <v>0.34800273976340595</v>
      </c>
      <c r="AY187" s="40">
        <f t="shared" si="84"/>
        <v>0.34800273976340601</v>
      </c>
      <c r="AZ187" s="40">
        <f t="shared" si="84"/>
        <v>0.30376301267590033</v>
      </c>
      <c r="BA187" s="40">
        <f t="shared" si="84"/>
        <v>0.30783551390642749</v>
      </c>
    </row>
    <row r="188" spans="2:53" x14ac:dyDescent="0.35">
      <c r="B188" t="s">
        <v>128</v>
      </c>
      <c r="C188" t="s">
        <v>120</v>
      </c>
      <c r="O188" s="40">
        <f t="shared" si="85"/>
        <v>0.33</v>
      </c>
      <c r="P188" s="40">
        <f t="shared" si="85"/>
        <v>0.33</v>
      </c>
      <c r="Q188" s="40">
        <f t="shared" si="85"/>
        <v>0.33</v>
      </c>
      <c r="R188" s="40">
        <f t="shared" si="84"/>
        <v>0.33</v>
      </c>
      <c r="S188" s="40">
        <f t="shared" si="84"/>
        <v>0.33</v>
      </c>
      <c r="T188" s="40">
        <f t="shared" si="84"/>
        <v>0.55619508374352389</v>
      </c>
      <c r="U188" s="40">
        <f t="shared" si="84"/>
        <v>0.33</v>
      </c>
      <c r="V188" s="40">
        <f t="shared" si="84"/>
        <v>0.33</v>
      </c>
      <c r="W188" s="40">
        <f t="shared" si="84"/>
        <v>0.33</v>
      </c>
      <c r="X188" s="40">
        <f t="shared" si="84"/>
        <v>0.33</v>
      </c>
      <c r="Y188" s="40">
        <f t="shared" si="84"/>
        <v>0.33</v>
      </c>
      <c r="Z188" s="40">
        <f t="shared" si="84"/>
        <v>0.26005010496960951</v>
      </c>
      <c r="AA188" s="40">
        <f t="shared" si="84"/>
        <v>0.26005010496960951</v>
      </c>
      <c r="AB188" s="40">
        <f t="shared" si="84"/>
        <v>0.33</v>
      </c>
      <c r="AC188" s="40">
        <f t="shared" si="84"/>
        <v>0.33</v>
      </c>
      <c r="AD188" s="40">
        <f t="shared" si="84"/>
        <v>0.33</v>
      </c>
      <c r="AE188" s="40">
        <f t="shared" si="84"/>
        <v>0.33</v>
      </c>
      <c r="AF188" s="40">
        <f t="shared" si="84"/>
        <v>0.33</v>
      </c>
      <c r="AG188" s="40">
        <f t="shared" si="84"/>
        <v>0.33</v>
      </c>
      <c r="AH188" s="40">
        <f t="shared" si="84"/>
        <v>0.33</v>
      </c>
      <c r="AI188" s="40">
        <f t="shared" si="84"/>
        <v>0.33</v>
      </c>
      <c r="AJ188" s="40">
        <f t="shared" si="84"/>
        <v>0.33</v>
      </c>
      <c r="AK188" s="40">
        <f t="shared" si="84"/>
        <v>0.33</v>
      </c>
      <c r="AL188" s="40">
        <f t="shared" si="84"/>
        <v>0.33</v>
      </c>
      <c r="AM188" s="40">
        <f t="shared" si="84"/>
        <v>0.33</v>
      </c>
      <c r="AN188" s="40">
        <f t="shared" si="84"/>
        <v>0.33</v>
      </c>
      <c r="AO188" s="40">
        <f t="shared" si="84"/>
        <v>0.33</v>
      </c>
      <c r="AP188" s="40">
        <f t="shared" si="84"/>
        <v>0.33</v>
      </c>
      <c r="AQ188" s="40">
        <f t="shared" si="84"/>
        <v>0.33</v>
      </c>
      <c r="AR188" s="40">
        <f t="shared" si="84"/>
        <v>0.33</v>
      </c>
      <c r="AS188" s="40">
        <f t="shared" si="84"/>
        <v>0.33</v>
      </c>
      <c r="AT188" s="40">
        <f t="shared" si="84"/>
        <v>0.33</v>
      </c>
      <c r="AU188" s="40">
        <f t="shared" si="84"/>
        <v>0.33</v>
      </c>
      <c r="AV188" s="40">
        <f t="shared" si="84"/>
        <v>0.33</v>
      </c>
      <c r="AW188" s="40">
        <f t="shared" si="84"/>
        <v>0.33</v>
      </c>
      <c r="AX188" s="40">
        <f t="shared" si="84"/>
        <v>0.33</v>
      </c>
      <c r="AY188" s="40">
        <f t="shared" si="84"/>
        <v>0.33</v>
      </c>
      <c r="AZ188" s="40">
        <f t="shared" si="84"/>
        <v>0.33</v>
      </c>
      <c r="BA188" s="40">
        <f t="shared" si="84"/>
        <v>0.33</v>
      </c>
    </row>
    <row r="189" spans="2:53" x14ac:dyDescent="0.35">
      <c r="B189" t="s">
        <v>128</v>
      </c>
      <c r="C189" t="s">
        <v>121</v>
      </c>
      <c r="O189" s="40">
        <f t="shared" si="85"/>
        <v>0.25</v>
      </c>
      <c r="P189" s="40">
        <f t="shared" si="85"/>
        <v>0.25</v>
      </c>
      <c r="Q189" s="40">
        <f t="shared" si="85"/>
        <v>0.25</v>
      </c>
      <c r="R189" s="40">
        <f t="shared" si="84"/>
        <v>0.25</v>
      </c>
      <c r="S189" s="40">
        <f t="shared" si="84"/>
        <v>0.25</v>
      </c>
      <c r="T189" s="40">
        <f t="shared" si="84"/>
        <v>0.25</v>
      </c>
      <c r="U189" s="40">
        <f t="shared" si="84"/>
        <v>0.25</v>
      </c>
      <c r="V189" s="40">
        <f t="shared" si="84"/>
        <v>0.25</v>
      </c>
      <c r="W189" s="40">
        <f t="shared" si="84"/>
        <v>0.25</v>
      </c>
      <c r="X189" s="40">
        <f t="shared" si="84"/>
        <v>0.25</v>
      </c>
      <c r="Y189" s="40">
        <f t="shared" si="84"/>
        <v>0.25</v>
      </c>
      <c r="Z189" s="40">
        <f t="shared" si="84"/>
        <v>0.25</v>
      </c>
      <c r="AA189" s="40">
        <f t="shared" si="84"/>
        <v>0.25</v>
      </c>
      <c r="AB189" s="40">
        <f t="shared" si="84"/>
        <v>0.25</v>
      </c>
      <c r="AC189" s="40">
        <f t="shared" si="84"/>
        <v>0.25</v>
      </c>
      <c r="AD189" s="40">
        <f t="shared" si="84"/>
        <v>0.25</v>
      </c>
      <c r="AE189" s="40">
        <f t="shared" si="84"/>
        <v>0.25</v>
      </c>
      <c r="AF189" s="40">
        <f t="shared" si="84"/>
        <v>0.25</v>
      </c>
      <c r="AG189" s="40">
        <f t="shared" si="84"/>
        <v>0.25</v>
      </c>
      <c r="AH189" s="40">
        <f t="shared" si="84"/>
        <v>0.25</v>
      </c>
      <c r="AI189" s="40">
        <f t="shared" si="84"/>
        <v>0.25</v>
      </c>
      <c r="AJ189" s="40">
        <f t="shared" si="84"/>
        <v>0.25</v>
      </c>
      <c r="AK189" s="40">
        <f t="shared" si="84"/>
        <v>0.25</v>
      </c>
      <c r="AL189" s="40">
        <f t="shared" si="84"/>
        <v>0.25</v>
      </c>
      <c r="AM189" s="40">
        <f t="shared" si="84"/>
        <v>0.25</v>
      </c>
      <c r="AN189" s="40">
        <f t="shared" si="84"/>
        <v>0.25</v>
      </c>
      <c r="AO189" s="40">
        <f t="shared" si="84"/>
        <v>0.25</v>
      </c>
      <c r="AP189" s="40">
        <f t="shared" si="84"/>
        <v>0.25</v>
      </c>
      <c r="AQ189" s="40">
        <f t="shared" si="84"/>
        <v>0.25</v>
      </c>
      <c r="AR189" s="40">
        <f t="shared" si="84"/>
        <v>0.25</v>
      </c>
      <c r="AS189" s="40">
        <f t="shared" si="84"/>
        <v>0.25</v>
      </c>
      <c r="AT189" s="40">
        <f t="shared" si="84"/>
        <v>0.25</v>
      </c>
      <c r="AU189" s="40">
        <f t="shared" si="84"/>
        <v>0.25</v>
      </c>
      <c r="AV189" s="40">
        <f t="shared" si="84"/>
        <v>0.25</v>
      </c>
      <c r="AW189" s="40">
        <f t="shared" si="84"/>
        <v>0.25</v>
      </c>
      <c r="AX189" s="40">
        <f t="shared" si="84"/>
        <v>0.25</v>
      </c>
      <c r="AY189" s="40">
        <f t="shared" si="84"/>
        <v>0.25</v>
      </c>
      <c r="AZ189" s="40">
        <f t="shared" si="84"/>
        <v>0.25</v>
      </c>
      <c r="BA189" s="40">
        <f t="shared" si="84"/>
        <v>0.25</v>
      </c>
    </row>
    <row r="191" spans="2:53" x14ac:dyDescent="0.35">
      <c r="B191" s="3" t="s">
        <v>129</v>
      </c>
      <c r="Q191" s="40"/>
    </row>
    <row r="192" spans="2:53" x14ac:dyDescent="0.35">
      <c r="C192" t="s">
        <v>130</v>
      </c>
    </row>
    <row r="193" spans="3:53" x14ac:dyDescent="0.35">
      <c r="C193" s="34" t="s">
        <v>116</v>
      </c>
      <c r="P193">
        <f>P144</f>
        <v>0</v>
      </c>
      <c r="Q193" s="35">
        <f>Q144</f>
        <v>0</v>
      </c>
      <c r="R193" s="35">
        <f t="shared" ref="R193:BA198" si="86">R144</f>
        <v>0</v>
      </c>
      <c r="S193" s="35">
        <f t="shared" si="86"/>
        <v>0</v>
      </c>
      <c r="T193" s="35">
        <f>T144</f>
        <v>77963.454746351228</v>
      </c>
      <c r="U193" s="35">
        <f>U144</f>
        <v>608106.26409525704</v>
      </c>
      <c r="V193" s="35">
        <f t="shared" si="86"/>
        <v>1123121.8437093298</v>
      </c>
      <c r="W193" s="35">
        <f t="shared" si="86"/>
        <v>1214037.7490585204</v>
      </c>
      <c r="X193" s="35">
        <f t="shared" si="86"/>
        <v>1080040.830715663</v>
      </c>
      <c r="Y193" s="35">
        <f t="shared" si="86"/>
        <v>989933.97965232329</v>
      </c>
      <c r="Z193" s="35">
        <f t="shared" si="86"/>
        <v>783221.40466149349</v>
      </c>
      <c r="AA193" s="35">
        <f t="shared" si="86"/>
        <v>844018.68326861609</v>
      </c>
      <c r="AB193" s="35">
        <f t="shared" si="86"/>
        <v>1719794.6384737873</v>
      </c>
      <c r="AC193" s="35">
        <f t="shared" si="86"/>
        <v>1446915.3288255564</v>
      </c>
      <c r="AD193" s="35">
        <f t="shared" si="86"/>
        <v>1191992.8686123476</v>
      </c>
      <c r="AE193" s="35">
        <f t="shared" si="86"/>
        <v>1615501.1238491419</v>
      </c>
      <c r="AF193" s="35">
        <f t="shared" si="86"/>
        <v>1144074.8963308432</v>
      </c>
      <c r="AG193" s="35">
        <f t="shared" si="86"/>
        <v>984802.11976024904</v>
      </c>
      <c r="AH193" s="35">
        <f t="shared" si="86"/>
        <v>1072984.2172445457</v>
      </c>
      <c r="AI193" s="35">
        <f t="shared" si="86"/>
        <v>1288048.3184746932</v>
      </c>
      <c r="AJ193" s="35">
        <f t="shared" si="86"/>
        <v>925826.67499198299</v>
      </c>
      <c r="AK193" s="35">
        <f t="shared" si="86"/>
        <v>1694579.7238764397</v>
      </c>
      <c r="AL193" s="35">
        <f t="shared" si="86"/>
        <v>1252757.3399943777</v>
      </c>
      <c r="AM193" s="35">
        <f t="shared" si="86"/>
        <v>1283323.1897891925</v>
      </c>
      <c r="AN193" s="35">
        <f t="shared" si="86"/>
        <v>1561039.4867851448</v>
      </c>
      <c r="AO193" s="35">
        <f t="shared" si="86"/>
        <v>1446516.2363996941</v>
      </c>
      <c r="AP193" s="35">
        <f t="shared" si="86"/>
        <v>1246366.4582874356</v>
      </c>
      <c r="AQ193" s="35">
        <f t="shared" si="86"/>
        <v>1618821.41411378</v>
      </c>
      <c r="AR193" s="35">
        <f t="shared" si="86"/>
        <v>1223040.99413796</v>
      </c>
      <c r="AS193" s="35">
        <f t="shared" si="86"/>
        <v>1342577.8694117891</v>
      </c>
      <c r="AT193" s="35">
        <f t="shared" si="86"/>
        <v>1410472.6580927973</v>
      </c>
      <c r="AU193" s="35">
        <f t="shared" si="86"/>
        <v>1270976.6909474088</v>
      </c>
      <c r="AV193" s="35">
        <f t="shared" si="86"/>
        <v>1078575.7725742389</v>
      </c>
      <c r="AW193" s="35">
        <f t="shared" si="86"/>
        <v>1432774.8938892712</v>
      </c>
      <c r="AX193" s="35">
        <f t="shared" si="86"/>
        <v>1095105.9965715013</v>
      </c>
      <c r="AY193" s="35">
        <f t="shared" si="86"/>
        <v>1113076.448460324</v>
      </c>
      <c r="AZ193" s="35">
        <f t="shared" si="86"/>
        <v>1536232.0459498949</v>
      </c>
      <c r="BA193" s="35">
        <f t="shared" si="86"/>
        <v>1183602.3813752525</v>
      </c>
    </row>
    <row r="194" spans="3:53" x14ac:dyDescent="0.35">
      <c r="C194" s="34" t="s">
        <v>117</v>
      </c>
      <c r="P194">
        <f>P145</f>
        <v>0</v>
      </c>
      <c r="Q194" s="35">
        <f t="shared" ref="Q194:Z198" si="87">Q145</f>
        <v>0</v>
      </c>
      <c r="R194" s="35">
        <f t="shared" si="87"/>
        <v>0</v>
      </c>
      <c r="S194" s="35">
        <f t="shared" si="87"/>
        <v>0</v>
      </c>
      <c r="T194" s="35">
        <f t="shared" si="87"/>
        <v>23568.625110791647</v>
      </c>
      <c r="U194" s="35">
        <f t="shared" si="87"/>
        <v>186175.48819045722</v>
      </c>
      <c r="V194" s="35">
        <f t="shared" si="87"/>
        <v>514162.22090971755</v>
      </c>
      <c r="W194" s="35">
        <f t="shared" si="87"/>
        <v>399240.06089386041</v>
      </c>
      <c r="X194" s="35">
        <f t="shared" si="87"/>
        <v>441798.66866528941</v>
      </c>
      <c r="Y194" s="35">
        <f t="shared" si="87"/>
        <v>349735.90530005738</v>
      </c>
      <c r="Z194" s="35">
        <f t="shared" si="87"/>
        <v>313879.5625817632</v>
      </c>
      <c r="AA194" s="35">
        <f t="shared" si="86"/>
        <v>328867.24997733894</v>
      </c>
      <c r="AB194" s="35">
        <f t="shared" si="86"/>
        <v>496605.04047342652</v>
      </c>
      <c r="AC194" s="35">
        <f t="shared" si="86"/>
        <v>379874.62425602408</v>
      </c>
      <c r="AD194" s="35">
        <f t="shared" si="86"/>
        <v>383566.08281234809</v>
      </c>
      <c r="AE194" s="35">
        <f t="shared" si="86"/>
        <v>542703.64205045265</v>
      </c>
      <c r="AF194" s="35">
        <f t="shared" si="86"/>
        <v>399833.36552242393</v>
      </c>
      <c r="AG194" s="35">
        <f t="shared" si="86"/>
        <v>852088.2039540367</v>
      </c>
      <c r="AH194" s="35">
        <f t="shared" si="86"/>
        <v>1285205.5616602167</v>
      </c>
      <c r="AI194" s="35">
        <f t="shared" si="86"/>
        <v>1399518.0629062594</v>
      </c>
      <c r="AJ194" s="35">
        <f t="shared" si="86"/>
        <v>1572291.3958175406</v>
      </c>
      <c r="AK194" s="35">
        <f t="shared" si="86"/>
        <v>2815750.8753616549</v>
      </c>
      <c r="AL194" s="35">
        <f t="shared" si="86"/>
        <v>2060924.588109897</v>
      </c>
      <c r="AM194" s="35">
        <f t="shared" si="86"/>
        <v>2106143.7043177816</v>
      </c>
      <c r="AN194" s="35">
        <f t="shared" si="86"/>
        <v>2699296.7114053317</v>
      </c>
      <c r="AO194" s="35">
        <f t="shared" si="86"/>
        <v>1965422.9320764965</v>
      </c>
      <c r="AP194" s="35">
        <f t="shared" si="86"/>
        <v>1799644.882569707</v>
      </c>
      <c r="AQ194" s="35">
        <f t="shared" si="86"/>
        <v>2583319.8710290776</v>
      </c>
      <c r="AR194" s="35">
        <f t="shared" si="86"/>
        <v>1791319.657147754</v>
      </c>
      <c r="AS194" s="35">
        <f t="shared" si="86"/>
        <v>2430232.4543024963</v>
      </c>
      <c r="AT194" s="35">
        <f t="shared" si="86"/>
        <v>3367767.2291452987</v>
      </c>
      <c r="AU194" s="35">
        <f t="shared" si="86"/>
        <v>2688800.6580527923</v>
      </c>
      <c r="AV194" s="35">
        <f t="shared" si="86"/>
        <v>3052082.2365686181</v>
      </c>
      <c r="AW194" s="35">
        <f t="shared" si="86"/>
        <v>4179576.9286821568</v>
      </c>
      <c r="AX194" s="35">
        <f t="shared" si="86"/>
        <v>3047042.4148661066</v>
      </c>
      <c r="AY194" s="35">
        <f t="shared" si="86"/>
        <v>3105589.2589799836</v>
      </c>
      <c r="AZ194" s="35">
        <f t="shared" si="86"/>
        <v>4286233.6614904124</v>
      </c>
      <c r="BA194" s="35">
        <f t="shared" si="86"/>
        <v>3302363.3260650551</v>
      </c>
    </row>
    <row r="195" spans="3:53" x14ac:dyDescent="0.35">
      <c r="C195" s="34" t="s">
        <v>118</v>
      </c>
      <c r="O195" s="35"/>
      <c r="P195" s="35">
        <f>P146</f>
        <v>0</v>
      </c>
      <c r="Q195" s="35">
        <f t="shared" si="87"/>
        <v>0</v>
      </c>
      <c r="R195" s="35">
        <f t="shared" si="87"/>
        <v>0</v>
      </c>
      <c r="S195" s="35">
        <f t="shared" si="87"/>
        <v>230400</v>
      </c>
      <c r="T195" s="35">
        <f t="shared" si="87"/>
        <v>576000</v>
      </c>
      <c r="U195" s="35">
        <f t="shared" si="87"/>
        <v>1152000</v>
      </c>
      <c r="V195" s="35">
        <f t="shared" si="87"/>
        <v>1658880</v>
      </c>
      <c r="W195" s="35">
        <f t="shared" si="87"/>
        <v>1728000</v>
      </c>
      <c r="X195" s="35">
        <f t="shared" si="87"/>
        <v>1969920</v>
      </c>
      <c r="Y195" s="35">
        <f>Y146</f>
        <v>2592000</v>
      </c>
      <c r="Z195" s="35">
        <f t="shared" si="87"/>
        <v>1969920</v>
      </c>
      <c r="AA195" s="35">
        <f t="shared" si="86"/>
        <v>1969920</v>
      </c>
      <c r="AB195" s="35">
        <f t="shared" si="86"/>
        <v>2592000</v>
      </c>
      <c r="AC195" s="35">
        <f t="shared" si="86"/>
        <v>2073600</v>
      </c>
      <c r="AD195" s="35">
        <f t="shared" si="86"/>
        <v>1969920</v>
      </c>
      <c r="AE195" s="35">
        <f t="shared" si="86"/>
        <v>2592000</v>
      </c>
      <c r="AF195" s="35">
        <f t="shared" si="86"/>
        <v>1969920</v>
      </c>
      <c r="AG195" s="35">
        <f t="shared" si="86"/>
        <v>2073600</v>
      </c>
      <c r="AH195" s="35">
        <f t="shared" si="86"/>
        <v>2710806.0886507044</v>
      </c>
      <c r="AI195" s="35">
        <f t="shared" si="86"/>
        <v>2295149.5669444087</v>
      </c>
      <c r="AJ195" s="35">
        <f t="shared" si="86"/>
        <v>2240109.6617961954</v>
      </c>
      <c r="AK195" s="35">
        <f t="shared" si="86"/>
        <v>2973480.2958503901</v>
      </c>
      <c r="AL195" s="35">
        <f t="shared" si="86"/>
        <v>2259845.0248462963</v>
      </c>
      <c r="AM195" s="35">
        <f t="shared" si="86"/>
        <v>2259845.0248462963</v>
      </c>
      <c r="AN195" s="35">
        <f t="shared" si="86"/>
        <v>2987715.1922895103</v>
      </c>
      <c r="AO195" s="35">
        <f t="shared" si="86"/>
        <v>2390172.1538316081</v>
      </c>
      <c r="AP195" s="35">
        <f t="shared" si="86"/>
        <v>2306364.5381063228</v>
      </c>
      <c r="AQ195" s="35">
        <f t="shared" si="86"/>
        <v>3034690.1817188459</v>
      </c>
      <c r="AR195" s="35">
        <f t="shared" si="86"/>
        <v>2306364.5381063228</v>
      </c>
      <c r="AS195" s="35">
        <f t="shared" si="86"/>
        <v>2427752.1453750767</v>
      </c>
      <c r="AT195" s="35">
        <f t="shared" si="86"/>
        <v>2913302.5744500924</v>
      </c>
      <c r="AU195" s="35">
        <f t="shared" si="86"/>
        <v>2427752.1453750767</v>
      </c>
      <c r="AV195" s="35">
        <f t="shared" si="86"/>
        <v>2306364.5381063228</v>
      </c>
      <c r="AW195" s="35">
        <f t="shared" si="86"/>
        <v>3034690.1817188459</v>
      </c>
      <c r="AX195" s="35">
        <f t="shared" si="86"/>
        <v>2306364.5381063228</v>
      </c>
      <c r="AY195" s="35">
        <f t="shared" si="86"/>
        <v>2306364.5381063228</v>
      </c>
      <c r="AZ195" s="35">
        <f t="shared" si="86"/>
        <v>3034690.1817188459</v>
      </c>
      <c r="BA195" s="35">
        <f t="shared" si="86"/>
        <v>2427752.1453750767</v>
      </c>
    </row>
    <row r="196" spans="3:53" x14ac:dyDescent="0.35">
      <c r="C196" s="34" t="s">
        <v>119</v>
      </c>
      <c r="O196" s="35"/>
      <c r="P196" s="35">
        <f>P147</f>
        <v>0</v>
      </c>
      <c r="Q196" s="35">
        <f t="shared" si="87"/>
        <v>0</v>
      </c>
      <c r="R196" s="35">
        <f t="shared" si="87"/>
        <v>0</v>
      </c>
      <c r="S196" s="35">
        <f t="shared" si="87"/>
        <v>174600</v>
      </c>
      <c r="T196" s="35">
        <f t="shared" si="87"/>
        <v>251267.92014285713</v>
      </c>
      <c r="U196" s="35">
        <f t="shared" si="87"/>
        <v>235318.24771428574</v>
      </c>
      <c r="V196" s="35">
        <f t="shared" si="87"/>
        <v>196690.93538095237</v>
      </c>
      <c r="W196" s="35">
        <f t="shared" si="87"/>
        <v>240002.19004761905</v>
      </c>
      <c r="X196" s="35">
        <f t="shared" si="87"/>
        <v>215610.50061904761</v>
      </c>
      <c r="Y196" s="35">
        <f t="shared" si="87"/>
        <v>843330.1150476191</v>
      </c>
      <c r="Z196" s="35">
        <f t="shared" si="87"/>
        <v>701946.64332429646</v>
      </c>
      <c r="AA196" s="35">
        <f t="shared" si="86"/>
        <v>626161.67732159782</v>
      </c>
      <c r="AB196" s="35">
        <f t="shared" si="86"/>
        <v>835663.80180952384</v>
      </c>
      <c r="AC196" s="35">
        <f t="shared" si="86"/>
        <v>614860.83152380958</v>
      </c>
      <c r="AD196" s="35">
        <f t="shared" si="86"/>
        <v>713488.65914285718</v>
      </c>
      <c r="AE196" s="35">
        <f t="shared" si="86"/>
        <v>893858.71485714288</v>
      </c>
      <c r="AF196" s="35">
        <f t="shared" si="86"/>
        <v>745139.34871428576</v>
      </c>
      <c r="AG196" s="35">
        <f t="shared" si="86"/>
        <v>729189.67628571426</v>
      </c>
      <c r="AH196" s="35">
        <f t="shared" si="86"/>
        <v>689030.22109523811</v>
      </c>
      <c r="AI196" s="35">
        <f t="shared" si="86"/>
        <v>733873.61861904757</v>
      </c>
      <c r="AJ196" s="35">
        <f t="shared" si="86"/>
        <v>709481.92919047619</v>
      </c>
      <c r="AK196" s="35">
        <f t="shared" si="86"/>
        <v>835669.40076190478</v>
      </c>
      <c r="AL196" s="35">
        <f t="shared" si="86"/>
        <v>695818.07189572509</v>
      </c>
      <c r="AM196" s="35">
        <f t="shared" si="86"/>
        <v>620033.10589302634</v>
      </c>
      <c r="AN196" s="35">
        <f t="shared" si="86"/>
        <v>1085663.8018095237</v>
      </c>
      <c r="AO196" s="35">
        <f t="shared" si="86"/>
        <v>864860.83152380958</v>
      </c>
      <c r="AP196" s="35">
        <f t="shared" si="86"/>
        <v>963488.65914285718</v>
      </c>
      <c r="AQ196" s="35">
        <f t="shared" si="86"/>
        <v>1143858.7148571429</v>
      </c>
      <c r="AR196" s="35">
        <f t="shared" si="86"/>
        <v>995139.34871428576</v>
      </c>
      <c r="AS196" s="35">
        <f t="shared" si="86"/>
        <v>979189.67628571426</v>
      </c>
      <c r="AT196" s="35">
        <f t="shared" si="86"/>
        <v>924160.11276190472</v>
      </c>
      <c r="AU196" s="35">
        <f t="shared" si="86"/>
        <v>970200.90028571431</v>
      </c>
      <c r="AV196" s="35">
        <f t="shared" si="86"/>
        <v>948041.99085714284</v>
      </c>
      <c r="AW196" s="35">
        <f t="shared" si="86"/>
        <v>1070148.1774285715</v>
      </c>
      <c r="AX196" s="35">
        <f t="shared" si="86"/>
        <v>936551.5885623917</v>
      </c>
      <c r="AY196" s="35">
        <f t="shared" si="86"/>
        <v>860034.2925596931</v>
      </c>
      <c r="AZ196" s="35">
        <f t="shared" si="86"/>
        <v>860034.2925596931</v>
      </c>
      <c r="BA196" s="35">
        <f t="shared" si="86"/>
        <v>860034.2925596931</v>
      </c>
    </row>
    <row r="197" spans="3:53" x14ac:dyDescent="0.35">
      <c r="C197" s="34" t="s">
        <v>120</v>
      </c>
      <c r="O197" s="35"/>
      <c r="P197" s="35">
        <f>P148</f>
        <v>0</v>
      </c>
      <c r="Q197" s="35">
        <f t="shared" si="87"/>
        <v>0</v>
      </c>
      <c r="R197" s="35">
        <f t="shared" si="87"/>
        <v>0</v>
      </c>
      <c r="S197" s="35">
        <f t="shared" si="87"/>
        <v>63000</v>
      </c>
      <c r="T197" s="35">
        <f t="shared" si="87"/>
        <v>63000</v>
      </c>
      <c r="U197" s="35">
        <f t="shared" si="87"/>
        <v>0</v>
      </c>
      <c r="V197" s="35">
        <f t="shared" si="87"/>
        <v>0</v>
      </c>
      <c r="W197" s="35">
        <f t="shared" si="87"/>
        <v>0</v>
      </c>
      <c r="X197" s="35">
        <f t="shared" si="87"/>
        <v>0</v>
      </c>
      <c r="Y197" s="35">
        <f t="shared" si="87"/>
        <v>490000</v>
      </c>
      <c r="Z197" s="35">
        <f t="shared" si="87"/>
        <v>490000</v>
      </c>
      <c r="AA197" s="35">
        <f t="shared" si="86"/>
        <v>490000</v>
      </c>
      <c r="AB197" s="35">
        <f t="shared" si="86"/>
        <v>0</v>
      </c>
      <c r="AC197" s="35">
        <f t="shared" si="86"/>
        <v>0</v>
      </c>
      <c r="AD197" s="35">
        <f t="shared" si="86"/>
        <v>0</v>
      </c>
      <c r="AE197" s="35">
        <f t="shared" si="86"/>
        <v>0</v>
      </c>
      <c r="AF197" s="35">
        <f t="shared" si="86"/>
        <v>0</v>
      </c>
      <c r="AG197" s="35">
        <f t="shared" si="86"/>
        <v>0</v>
      </c>
      <c r="AH197" s="35">
        <f t="shared" si="86"/>
        <v>0</v>
      </c>
      <c r="AI197" s="35">
        <f t="shared" si="86"/>
        <v>0</v>
      </c>
      <c r="AJ197" s="35">
        <f t="shared" si="86"/>
        <v>0</v>
      </c>
      <c r="AK197" s="35">
        <f t="shared" si="86"/>
        <v>0</v>
      </c>
      <c r="AL197" s="35">
        <f t="shared" si="86"/>
        <v>0</v>
      </c>
      <c r="AM197" s="35">
        <f t="shared" si="86"/>
        <v>0</v>
      </c>
      <c r="AN197" s="35">
        <f t="shared" si="86"/>
        <v>0</v>
      </c>
      <c r="AO197" s="35">
        <f t="shared" si="86"/>
        <v>0</v>
      </c>
      <c r="AP197" s="35">
        <f t="shared" si="86"/>
        <v>0</v>
      </c>
      <c r="AQ197" s="35">
        <f t="shared" si="86"/>
        <v>0</v>
      </c>
      <c r="AR197" s="35">
        <f t="shared" si="86"/>
        <v>0</v>
      </c>
      <c r="AS197" s="35">
        <f t="shared" si="86"/>
        <v>0</v>
      </c>
      <c r="AT197" s="35">
        <f t="shared" si="86"/>
        <v>0</v>
      </c>
      <c r="AU197" s="35">
        <f t="shared" si="86"/>
        <v>0</v>
      </c>
      <c r="AV197" s="35">
        <f t="shared" si="86"/>
        <v>0</v>
      </c>
      <c r="AW197" s="35">
        <f t="shared" si="86"/>
        <v>0</v>
      </c>
      <c r="AX197" s="35">
        <f t="shared" si="86"/>
        <v>0</v>
      </c>
      <c r="AY197" s="35">
        <f t="shared" si="86"/>
        <v>0</v>
      </c>
      <c r="AZ197" s="35">
        <f t="shared" si="86"/>
        <v>0</v>
      </c>
      <c r="BA197" s="35">
        <f t="shared" si="86"/>
        <v>0</v>
      </c>
    </row>
    <row r="198" spans="3:53" x14ac:dyDescent="0.35">
      <c r="C198" s="34" t="s">
        <v>121</v>
      </c>
      <c r="O198" s="35"/>
      <c r="P198" s="35">
        <f>P149</f>
        <v>0</v>
      </c>
      <c r="Q198" s="35">
        <f t="shared" si="87"/>
        <v>0</v>
      </c>
      <c r="R198" s="35">
        <f t="shared" si="87"/>
        <v>0</v>
      </c>
      <c r="S198" s="35">
        <f t="shared" si="87"/>
        <v>0</v>
      </c>
      <c r="T198" s="35">
        <f t="shared" si="87"/>
        <v>0</v>
      </c>
      <c r="U198" s="35">
        <f t="shared" si="87"/>
        <v>0</v>
      </c>
      <c r="V198" s="35">
        <f t="shared" si="87"/>
        <v>0</v>
      </c>
      <c r="W198" s="35">
        <f t="shared" si="87"/>
        <v>0</v>
      </c>
      <c r="X198" s="35">
        <f t="shared" si="87"/>
        <v>0</v>
      </c>
      <c r="Y198" s="35">
        <f t="shared" si="87"/>
        <v>0</v>
      </c>
      <c r="Z198" s="35">
        <f t="shared" si="87"/>
        <v>0</v>
      </c>
      <c r="AA198" s="35">
        <f t="shared" si="86"/>
        <v>0</v>
      </c>
      <c r="AB198" s="35">
        <f t="shared" si="86"/>
        <v>0</v>
      </c>
      <c r="AC198" s="35">
        <f t="shared" si="86"/>
        <v>0</v>
      </c>
      <c r="AD198" s="35">
        <f t="shared" si="86"/>
        <v>0</v>
      </c>
      <c r="AE198" s="35">
        <f t="shared" si="86"/>
        <v>0</v>
      </c>
      <c r="AF198" s="35">
        <f t="shared" si="86"/>
        <v>0</v>
      </c>
      <c r="AG198" s="35">
        <f t="shared" si="86"/>
        <v>0</v>
      </c>
      <c r="AH198" s="35">
        <f t="shared" si="86"/>
        <v>0</v>
      </c>
      <c r="AI198" s="35">
        <f t="shared" si="86"/>
        <v>0</v>
      </c>
      <c r="AJ198" s="35">
        <f t="shared" si="86"/>
        <v>0</v>
      </c>
      <c r="AK198" s="35">
        <f t="shared" si="86"/>
        <v>0</v>
      </c>
      <c r="AL198" s="35">
        <f t="shared" si="86"/>
        <v>0</v>
      </c>
      <c r="AM198" s="35">
        <f t="shared" si="86"/>
        <v>0</v>
      </c>
      <c r="AN198" s="35">
        <f t="shared" si="86"/>
        <v>0</v>
      </c>
      <c r="AO198" s="35">
        <f t="shared" si="86"/>
        <v>0</v>
      </c>
      <c r="AP198" s="35">
        <f t="shared" si="86"/>
        <v>0</v>
      </c>
      <c r="AQ198" s="35">
        <f t="shared" si="86"/>
        <v>0</v>
      </c>
      <c r="AR198" s="35">
        <f t="shared" si="86"/>
        <v>0</v>
      </c>
      <c r="AS198" s="35">
        <f t="shared" si="86"/>
        <v>0</v>
      </c>
      <c r="AT198" s="35">
        <f t="shared" si="86"/>
        <v>0</v>
      </c>
      <c r="AU198" s="35">
        <f t="shared" si="86"/>
        <v>0</v>
      </c>
      <c r="AV198" s="35">
        <f t="shared" si="86"/>
        <v>0</v>
      </c>
      <c r="AW198" s="35">
        <f t="shared" si="86"/>
        <v>0</v>
      </c>
      <c r="AX198" s="35">
        <f t="shared" si="86"/>
        <v>0</v>
      </c>
      <c r="AY198" s="35">
        <f t="shared" si="86"/>
        <v>0</v>
      </c>
      <c r="AZ198" s="35">
        <f t="shared" si="86"/>
        <v>0</v>
      </c>
      <c r="BA198" s="35">
        <f t="shared" si="86"/>
        <v>0</v>
      </c>
    </row>
    <row r="200" spans="3:53" x14ac:dyDescent="0.35">
      <c r="C200" t="s">
        <v>131</v>
      </c>
    </row>
    <row r="201" spans="3:53" x14ac:dyDescent="0.35">
      <c r="C201" s="34" t="s">
        <v>116</v>
      </c>
      <c r="O201" s="35"/>
      <c r="P201" s="35">
        <f t="shared" ref="P201:BA203" si="88">MIN(P6,O209)</f>
        <v>0</v>
      </c>
      <c r="Q201" s="35">
        <f t="shared" si="88"/>
        <v>0</v>
      </c>
      <c r="R201" s="35">
        <f t="shared" si="88"/>
        <v>0</v>
      </c>
      <c r="S201" s="35">
        <f t="shared" si="88"/>
        <v>0</v>
      </c>
      <c r="T201" s="35">
        <f t="shared" si="88"/>
        <v>0</v>
      </c>
      <c r="U201" s="35">
        <f t="shared" si="88"/>
        <v>77963.454746351228</v>
      </c>
      <c r="V201" s="35">
        <f t="shared" si="88"/>
        <v>608106.26409525704</v>
      </c>
      <c r="W201" s="35">
        <f t="shared" si="88"/>
        <v>1017796.724005963</v>
      </c>
      <c r="X201" s="35">
        <f t="shared" si="88"/>
        <v>874056.32756560086</v>
      </c>
      <c r="Y201" s="35">
        <f t="shared" si="88"/>
        <v>1168080.2774983186</v>
      </c>
      <c r="Z201" s="35">
        <f t="shared" si="88"/>
        <v>892164.95306255517</v>
      </c>
      <c r="AA201" s="35">
        <f t="shared" si="88"/>
        <v>859002.45415805734</v>
      </c>
      <c r="AB201" s="35">
        <f t="shared" si="88"/>
        <v>1223273.7547754515</v>
      </c>
      <c r="AC201" s="35">
        <f t="shared" si="88"/>
        <v>1274869.7171042659</v>
      </c>
      <c r="AD201" s="35">
        <f t="shared" si="88"/>
        <v>1111110.1364362505</v>
      </c>
      <c r="AE201" s="35">
        <f t="shared" si="88"/>
        <v>1228432.2481189682</v>
      </c>
      <c r="AF201" s="35">
        <f t="shared" si="88"/>
        <v>1062548.3372848467</v>
      </c>
      <c r="AG201" s="35">
        <f t="shared" si="88"/>
        <v>1067568.3125914931</v>
      </c>
      <c r="AH201" s="35">
        <f t="shared" si="88"/>
        <v>1249581.4891762324</v>
      </c>
      <c r="AI201" s="35">
        <f t="shared" si="88"/>
        <v>1099176.2058173278</v>
      </c>
      <c r="AJ201" s="35">
        <f t="shared" si="88"/>
        <v>1090772.3372848467</v>
      </c>
      <c r="AK201" s="35">
        <f t="shared" si="88"/>
        <v>1334904.3193201865</v>
      </c>
      <c r="AL201" s="35">
        <f t="shared" si="88"/>
        <v>1090772.3372848467</v>
      </c>
      <c r="AM201" s="35">
        <f t="shared" si="88"/>
        <v>1078838.4066659245</v>
      </c>
      <c r="AN201" s="35">
        <f t="shared" si="88"/>
        <v>1337622.9395007673</v>
      </c>
      <c r="AO201" s="35">
        <f t="shared" si="88"/>
        <v>1303093.7171042659</v>
      </c>
      <c r="AP201" s="35">
        <f t="shared" si="88"/>
        <v>1282910.6215663315</v>
      </c>
      <c r="AQ201" s="35">
        <f t="shared" si="88"/>
        <v>1398112.2481189682</v>
      </c>
      <c r="AR201" s="35">
        <f t="shared" si="88"/>
        <v>1225172.3372848467</v>
      </c>
      <c r="AS201" s="35">
        <f t="shared" si="88"/>
        <v>1230192.3125914931</v>
      </c>
      <c r="AT201" s="35">
        <f t="shared" si="88"/>
        <v>1419261.4891762324</v>
      </c>
      <c r="AU201" s="35">
        <f t="shared" si="88"/>
        <v>1270976.690947409</v>
      </c>
      <c r="AV201" s="35">
        <f t="shared" si="88"/>
        <v>1225172.3372848467</v>
      </c>
      <c r="AW201" s="35">
        <f t="shared" si="88"/>
        <v>1469304.3193201865</v>
      </c>
      <c r="AX201" s="35">
        <f t="shared" si="88"/>
        <v>1225172.3372848467</v>
      </c>
      <c r="AY201" s="35">
        <f t="shared" si="88"/>
        <v>1213238.4066659245</v>
      </c>
      <c r="AZ201" s="35">
        <f t="shared" si="88"/>
        <v>1213238.4066659245</v>
      </c>
      <c r="BA201" s="35">
        <f t="shared" si="88"/>
        <v>1213238.4066659245</v>
      </c>
    </row>
    <row r="202" spans="3:53" x14ac:dyDescent="0.35">
      <c r="C202" s="34" t="s">
        <v>117</v>
      </c>
      <c r="O202" s="35"/>
      <c r="P202" s="35">
        <f t="shared" si="88"/>
        <v>0</v>
      </c>
      <c r="Q202" s="35">
        <f t="shared" si="88"/>
        <v>0</v>
      </c>
      <c r="R202" s="35">
        <f t="shared" si="88"/>
        <v>0</v>
      </c>
      <c r="S202" s="35">
        <f t="shared" si="88"/>
        <v>0</v>
      </c>
      <c r="T202" s="35">
        <f t="shared" si="88"/>
        <v>0</v>
      </c>
      <c r="U202" s="35">
        <f t="shared" si="88"/>
        <v>23568.625110791647</v>
      </c>
      <c r="V202" s="35">
        <f t="shared" si="88"/>
        <v>186175.48819045722</v>
      </c>
      <c r="W202" s="35">
        <f t="shared" si="88"/>
        <v>334705.59410926944</v>
      </c>
      <c r="X202" s="35">
        <f t="shared" si="88"/>
        <v>357539.18821853888</v>
      </c>
      <c r="Y202" s="35">
        <f t="shared" si="88"/>
        <v>412673.59410926944</v>
      </c>
      <c r="Z202" s="35">
        <f t="shared" si="88"/>
        <v>357539.18821853888</v>
      </c>
      <c r="AA202" s="35">
        <f t="shared" si="88"/>
        <v>334705.59410926944</v>
      </c>
      <c r="AB202" s="35">
        <f t="shared" si="88"/>
        <v>435507.18821853894</v>
      </c>
      <c r="AC202" s="35">
        <f t="shared" si="88"/>
        <v>334705.59410926944</v>
      </c>
      <c r="AD202" s="35">
        <f t="shared" si="88"/>
        <v>357539.18821853888</v>
      </c>
      <c r="AE202" s="35">
        <f t="shared" si="88"/>
        <v>412673.59410926944</v>
      </c>
      <c r="AF202" s="35">
        <f t="shared" si="88"/>
        <v>371341.31610558496</v>
      </c>
      <c r="AG202" s="35">
        <f t="shared" si="88"/>
        <v>841336.38391661423</v>
      </c>
      <c r="AH202" s="35">
        <f t="shared" si="88"/>
        <v>852088.2039540367</v>
      </c>
      <c r="AI202" s="35">
        <f t="shared" si="88"/>
        <v>1194300.6580527923</v>
      </c>
      <c r="AJ202" s="35">
        <f t="shared" si="88"/>
        <v>1490422.9665136836</v>
      </c>
      <c r="AK202" s="35">
        <f t="shared" si="88"/>
        <v>1572291.3958175406</v>
      </c>
      <c r="AL202" s="35">
        <f t="shared" si="88"/>
        <v>1794441.3161055848</v>
      </c>
      <c r="AM202" s="35">
        <f t="shared" si="88"/>
        <v>1770550.6580527923</v>
      </c>
      <c r="AN202" s="35">
        <f t="shared" si="88"/>
        <v>2312972.3701804788</v>
      </c>
      <c r="AO202" s="35">
        <f t="shared" si="88"/>
        <v>1770550.6580527923</v>
      </c>
      <c r="AP202" s="35">
        <f t="shared" si="88"/>
        <v>1852411.4794203821</v>
      </c>
      <c r="AQ202" s="35">
        <f t="shared" si="88"/>
        <v>2231111.548812889</v>
      </c>
      <c r="AR202" s="35">
        <f t="shared" si="88"/>
        <v>1794441.3161055848</v>
      </c>
      <c r="AS202" s="35">
        <f t="shared" si="88"/>
        <v>2226800.6580527923</v>
      </c>
      <c r="AT202" s="35">
        <f t="shared" si="88"/>
        <v>3388752.2068656818</v>
      </c>
      <c r="AU202" s="35">
        <f t="shared" si="88"/>
        <v>2688800.6580527923</v>
      </c>
      <c r="AV202" s="35">
        <f t="shared" si="88"/>
        <v>3466911.4794203821</v>
      </c>
      <c r="AW202" s="35">
        <f t="shared" si="88"/>
        <v>4062961.4509647531</v>
      </c>
      <c r="AX202" s="35">
        <f t="shared" si="88"/>
        <v>3408941.3161055846</v>
      </c>
      <c r="AY202" s="35">
        <f t="shared" si="88"/>
        <v>3385050.6580527923</v>
      </c>
      <c r="AZ202" s="35">
        <f t="shared" si="88"/>
        <v>3385050.6580527923</v>
      </c>
      <c r="BA202" s="35">
        <f t="shared" si="88"/>
        <v>3385050.6580527923</v>
      </c>
    </row>
    <row r="203" spans="3:53" x14ac:dyDescent="0.35">
      <c r="C203" s="34" t="s">
        <v>118</v>
      </c>
      <c r="O203" s="35"/>
      <c r="P203" s="35">
        <f t="shared" si="88"/>
        <v>0</v>
      </c>
      <c r="Q203" s="35">
        <f t="shared" si="88"/>
        <v>0</v>
      </c>
      <c r="R203" s="35">
        <f t="shared" si="88"/>
        <v>0</v>
      </c>
      <c r="S203" s="35">
        <f t="shared" si="88"/>
        <v>0</v>
      </c>
      <c r="T203" s="35">
        <f t="shared" si="88"/>
        <v>230400</v>
      </c>
      <c r="U203" s="35">
        <f t="shared" si="88"/>
        <v>576000</v>
      </c>
      <c r="V203" s="35">
        <f t="shared" si="88"/>
        <v>1152000</v>
      </c>
      <c r="W203" s="35">
        <f t="shared" si="88"/>
        <v>1658880</v>
      </c>
      <c r="X203" s="35">
        <f t="shared" si="88"/>
        <v>1728000</v>
      </c>
      <c r="Y203" s="35">
        <f t="shared" si="88"/>
        <v>1969920</v>
      </c>
      <c r="Z203" s="35">
        <f t="shared" si="88"/>
        <v>2583304.4336221544</v>
      </c>
      <c r="AA203" s="35">
        <f t="shared" si="88"/>
        <v>1978615.5663778456</v>
      </c>
      <c r="AB203" s="35">
        <f t="shared" si="88"/>
        <v>1969920</v>
      </c>
      <c r="AC203" s="35">
        <f t="shared" si="88"/>
        <v>2023642.1995929112</v>
      </c>
      <c r="AD203" s="35">
        <f t="shared" si="88"/>
        <v>2083801.0226335214</v>
      </c>
      <c r="AE203" s="35">
        <f t="shared" si="88"/>
        <v>2528076.7777735679</v>
      </c>
      <c r="AF203" s="35">
        <f t="shared" si="88"/>
        <v>2100946.1703117848</v>
      </c>
      <c r="AG203" s="35">
        <f t="shared" si="88"/>
        <v>2080502.7368280939</v>
      </c>
      <c r="AH203" s="35">
        <f t="shared" si="88"/>
        <v>2454071.0928601217</v>
      </c>
      <c r="AI203" s="35">
        <f t="shared" si="88"/>
        <v>2295149.5669444082</v>
      </c>
      <c r="AJ203" s="35">
        <f t="shared" si="88"/>
        <v>2358010.1703117844</v>
      </c>
      <c r="AK203" s="35">
        <f t="shared" si="88"/>
        <v>2592905.5801351164</v>
      </c>
      <c r="AL203" s="35">
        <f t="shared" si="88"/>
        <v>2358010.1703117844</v>
      </c>
      <c r="AM203" s="35">
        <f t="shared" si="88"/>
        <v>2328027.2860631659</v>
      </c>
      <c r="AN203" s="35">
        <f t="shared" si="88"/>
        <v>2807132.8891680338</v>
      </c>
      <c r="AO203" s="35">
        <f t="shared" si="88"/>
        <v>2343775.2738726637</v>
      </c>
      <c r="AP203" s="35">
        <f t="shared" si="88"/>
        <v>2427752.1453750767</v>
      </c>
      <c r="AQ203" s="35">
        <f t="shared" si="88"/>
        <v>2912724.4649797007</v>
      </c>
      <c r="AR203" s="35">
        <f t="shared" si="88"/>
        <v>2358010.1703117844</v>
      </c>
      <c r="AS203" s="35">
        <f t="shared" si="88"/>
        <v>2337566.7368280934</v>
      </c>
      <c r="AT203" s="35">
        <f t="shared" si="88"/>
        <v>2931336.3423444838</v>
      </c>
      <c r="AU203" s="35">
        <f t="shared" si="88"/>
        <v>2397769.2611264586</v>
      </c>
      <c r="AV203" s="35">
        <f t="shared" si="88"/>
        <v>2358010.1703117844</v>
      </c>
      <c r="AW203" s="35">
        <f t="shared" si="88"/>
        <v>2973480.2958503896</v>
      </c>
      <c r="AX203" s="35">
        <f t="shared" si="88"/>
        <v>2358010.1703117844</v>
      </c>
      <c r="AY203" s="35">
        <f t="shared" si="88"/>
        <v>2328027.2860631659</v>
      </c>
      <c r="AZ203" s="35">
        <f t="shared" si="88"/>
        <v>2328027.2860631659</v>
      </c>
      <c r="BA203" s="35">
        <f t="shared" si="88"/>
        <v>2328027.2860631659</v>
      </c>
    </row>
    <row r="204" spans="3:53" x14ac:dyDescent="0.35">
      <c r="C204" s="34" t="s">
        <v>119</v>
      </c>
      <c r="O204" s="35"/>
      <c r="P204" s="35">
        <f t="shared" ref="P204:BA206" si="89">MIN(O212,P11+P16)</f>
        <v>0</v>
      </c>
      <c r="Q204" s="35">
        <f t="shared" si="89"/>
        <v>0</v>
      </c>
      <c r="R204" s="35">
        <f t="shared" si="89"/>
        <v>0</v>
      </c>
      <c r="S204" s="35">
        <f t="shared" si="89"/>
        <v>0</v>
      </c>
      <c r="T204" s="35">
        <f t="shared" si="89"/>
        <v>174600</v>
      </c>
      <c r="U204" s="35">
        <f t="shared" si="89"/>
        <v>235318.24771428574</v>
      </c>
      <c r="V204" s="35">
        <f t="shared" si="89"/>
        <v>196690.93538095237</v>
      </c>
      <c r="W204" s="35">
        <f t="shared" si="89"/>
        <v>240002.19004761905</v>
      </c>
      <c r="X204" s="35">
        <f t="shared" si="89"/>
        <v>215610.50061904761</v>
      </c>
      <c r="Y204" s="35">
        <f t="shared" si="89"/>
        <v>251267.92014285713</v>
      </c>
      <c r="Z204" s="35">
        <f t="shared" si="89"/>
        <v>701946.64332429646</v>
      </c>
      <c r="AA204" s="35">
        <f t="shared" si="89"/>
        <v>626161.67732159782</v>
      </c>
      <c r="AB204" s="35">
        <f t="shared" si="89"/>
        <v>835663.80180952384</v>
      </c>
      <c r="AC204" s="35">
        <f t="shared" si="89"/>
        <v>614860.83152380958</v>
      </c>
      <c r="AD204" s="35">
        <f t="shared" si="89"/>
        <v>713488.65914285718</v>
      </c>
      <c r="AE204" s="35">
        <f t="shared" si="89"/>
        <v>843330.11504761875</v>
      </c>
      <c r="AF204" s="35">
        <f t="shared" si="89"/>
        <v>745139.34871428576</v>
      </c>
      <c r="AG204" s="35">
        <f t="shared" si="89"/>
        <v>729189.67628571426</v>
      </c>
      <c r="AH204" s="35">
        <f t="shared" si="89"/>
        <v>689030.22109523811</v>
      </c>
      <c r="AI204" s="35">
        <f t="shared" si="89"/>
        <v>733873.61861904757</v>
      </c>
      <c r="AJ204" s="35">
        <f t="shared" si="89"/>
        <v>709481.92919047619</v>
      </c>
      <c r="AK204" s="35">
        <f t="shared" si="89"/>
        <v>835669.40076190478</v>
      </c>
      <c r="AL204" s="35">
        <f t="shared" si="89"/>
        <v>695818.07189572509</v>
      </c>
      <c r="AM204" s="35">
        <f t="shared" si="89"/>
        <v>620033.10589302634</v>
      </c>
      <c r="AN204" s="35">
        <f t="shared" si="89"/>
        <v>893858.71485714335</v>
      </c>
      <c r="AO204" s="35">
        <f t="shared" si="89"/>
        <v>864860.83152380958</v>
      </c>
      <c r="AP204" s="35">
        <f t="shared" si="89"/>
        <v>963488.65914285718</v>
      </c>
      <c r="AQ204" s="35">
        <f t="shared" si="89"/>
        <v>1085663.8018095237</v>
      </c>
      <c r="AR204" s="35">
        <f t="shared" si="89"/>
        <v>995139.34871428576</v>
      </c>
      <c r="AS204" s="35">
        <f t="shared" si="89"/>
        <v>979189.67628571426</v>
      </c>
      <c r="AT204" s="35">
        <f t="shared" si="89"/>
        <v>924160.11276190472</v>
      </c>
      <c r="AU204" s="35">
        <f t="shared" si="89"/>
        <v>970200.90028571431</v>
      </c>
      <c r="AV204" s="35">
        <f t="shared" si="89"/>
        <v>948041.99085714284</v>
      </c>
      <c r="AW204" s="35">
        <f t="shared" si="89"/>
        <v>1070148.1774285715</v>
      </c>
      <c r="AX204" s="35">
        <f t="shared" si="89"/>
        <v>936551.5885623917</v>
      </c>
      <c r="AY204" s="35">
        <f t="shared" si="89"/>
        <v>860034.2925596931</v>
      </c>
      <c r="AZ204" s="35">
        <f t="shared" si="89"/>
        <v>860034.2925596931</v>
      </c>
      <c r="BA204" s="35">
        <f t="shared" si="89"/>
        <v>860034.2925596931</v>
      </c>
    </row>
    <row r="205" spans="3:53" x14ac:dyDescent="0.35">
      <c r="C205" s="34" t="s">
        <v>120</v>
      </c>
      <c r="O205" s="35"/>
      <c r="P205" s="35">
        <f t="shared" si="89"/>
        <v>0</v>
      </c>
      <c r="Q205" s="35">
        <f t="shared" si="89"/>
        <v>0</v>
      </c>
      <c r="R205" s="35">
        <f t="shared" si="89"/>
        <v>0</v>
      </c>
      <c r="S205" s="35">
        <f t="shared" si="89"/>
        <v>0</v>
      </c>
      <c r="T205" s="35">
        <f t="shared" si="89"/>
        <v>63000</v>
      </c>
      <c r="U205" s="35">
        <f t="shared" si="89"/>
        <v>0</v>
      </c>
      <c r="V205" s="35">
        <f t="shared" si="89"/>
        <v>0</v>
      </c>
      <c r="W205" s="35">
        <f t="shared" si="89"/>
        <v>0</v>
      </c>
      <c r="X205" s="35">
        <f t="shared" si="89"/>
        <v>0</v>
      </c>
      <c r="Y205" s="35">
        <f t="shared" si="89"/>
        <v>63000</v>
      </c>
      <c r="Z205" s="35">
        <f t="shared" si="89"/>
        <v>490000</v>
      </c>
      <c r="AA205" s="35">
        <f t="shared" si="89"/>
        <v>490000</v>
      </c>
      <c r="AB205" s="35">
        <f t="shared" si="89"/>
        <v>0</v>
      </c>
      <c r="AC205" s="35">
        <f t="shared" si="89"/>
        <v>0</v>
      </c>
      <c r="AD205" s="35">
        <f t="shared" si="89"/>
        <v>0</v>
      </c>
      <c r="AE205" s="35">
        <f t="shared" si="89"/>
        <v>0</v>
      </c>
      <c r="AF205" s="35">
        <f t="shared" si="89"/>
        <v>0</v>
      </c>
      <c r="AG205" s="35">
        <f t="shared" si="89"/>
        <v>0</v>
      </c>
      <c r="AH205" s="35">
        <f t="shared" si="89"/>
        <v>0</v>
      </c>
      <c r="AI205" s="35">
        <f t="shared" si="89"/>
        <v>0</v>
      </c>
      <c r="AJ205" s="35">
        <f t="shared" si="89"/>
        <v>0</v>
      </c>
      <c r="AK205" s="35">
        <f t="shared" si="89"/>
        <v>0</v>
      </c>
      <c r="AL205" s="35">
        <f t="shared" si="89"/>
        <v>0</v>
      </c>
      <c r="AM205" s="35">
        <f t="shared" si="89"/>
        <v>0</v>
      </c>
      <c r="AN205" s="35">
        <f t="shared" si="89"/>
        <v>0</v>
      </c>
      <c r="AO205" s="35">
        <f t="shared" si="89"/>
        <v>0</v>
      </c>
      <c r="AP205" s="35">
        <f t="shared" si="89"/>
        <v>0</v>
      </c>
      <c r="AQ205" s="35">
        <f t="shared" si="89"/>
        <v>0</v>
      </c>
      <c r="AR205" s="35">
        <f t="shared" si="89"/>
        <v>0</v>
      </c>
      <c r="AS205" s="35">
        <f t="shared" si="89"/>
        <v>0</v>
      </c>
      <c r="AT205" s="35">
        <f t="shared" si="89"/>
        <v>0</v>
      </c>
      <c r="AU205" s="35">
        <f t="shared" si="89"/>
        <v>0</v>
      </c>
      <c r="AV205" s="35">
        <f t="shared" si="89"/>
        <v>0</v>
      </c>
      <c r="AW205" s="35">
        <f t="shared" si="89"/>
        <v>0</v>
      </c>
      <c r="AX205" s="35">
        <f t="shared" si="89"/>
        <v>0</v>
      </c>
      <c r="AY205" s="35">
        <f t="shared" si="89"/>
        <v>0</v>
      </c>
      <c r="AZ205" s="35">
        <f t="shared" si="89"/>
        <v>0</v>
      </c>
      <c r="BA205" s="35">
        <f t="shared" si="89"/>
        <v>0</v>
      </c>
    </row>
    <row r="206" spans="3:53" x14ac:dyDescent="0.35">
      <c r="C206" s="34" t="s">
        <v>121</v>
      </c>
      <c r="O206" s="35"/>
      <c r="P206" s="35">
        <f t="shared" si="89"/>
        <v>0</v>
      </c>
      <c r="Q206" s="35">
        <f t="shared" si="89"/>
        <v>0</v>
      </c>
      <c r="R206" s="35">
        <f t="shared" si="89"/>
        <v>0</v>
      </c>
      <c r="S206" s="35">
        <f t="shared" si="89"/>
        <v>0</v>
      </c>
      <c r="T206" s="35">
        <f t="shared" si="89"/>
        <v>0</v>
      </c>
      <c r="U206" s="35">
        <f t="shared" si="89"/>
        <v>0</v>
      </c>
      <c r="V206" s="35">
        <f t="shared" si="89"/>
        <v>0</v>
      </c>
      <c r="W206" s="35">
        <f t="shared" si="89"/>
        <v>0</v>
      </c>
      <c r="X206" s="35">
        <f t="shared" si="89"/>
        <v>0</v>
      </c>
      <c r="Y206" s="35">
        <f t="shared" si="89"/>
        <v>0</v>
      </c>
      <c r="Z206" s="35">
        <f t="shared" si="89"/>
        <v>0</v>
      </c>
      <c r="AA206" s="35">
        <f t="shared" si="89"/>
        <v>0</v>
      </c>
      <c r="AB206" s="35">
        <f t="shared" si="89"/>
        <v>0</v>
      </c>
      <c r="AC206" s="35">
        <f t="shared" si="89"/>
        <v>0</v>
      </c>
      <c r="AD206" s="35">
        <f t="shared" si="89"/>
        <v>0</v>
      </c>
      <c r="AE206" s="35">
        <f t="shared" si="89"/>
        <v>0</v>
      </c>
      <c r="AF206" s="35">
        <f t="shared" si="89"/>
        <v>0</v>
      </c>
      <c r="AG206" s="35">
        <f t="shared" si="89"/>
        <v>0</v>
      </c>
      <c r="AH206" s="35">
        <f t="shared" si="89"/>
        <v>0</v>
      </c>
      <c r="AI206" s="35">
        <f t="shared" si="89"/>
        <v>0</v>
      </c>
      <c r="AJ206" s="35">
        <f t="shared" si="89"/>
        <v>0</v>
      </c>
      <c r="AK206" s="35">
        <f t="shared" si="89"/>
        <v>0</v>
      </c>
      <c r="AL206" s="35">
        <f t="shared" si="89"/>
        <v>0</v>
      </c>
      <c r="AM206" s="35">
        <f t="shared" si="89"/>
        <v>0</v>
      </c>
      <c r="AN206" s="35">
        <f t="shared" si="89"/>
        <v>0</v>
      </c>
      <c r="AO206" s="35">
        <f t="shared" si="89"/>
        <v>0</v>
      </c>
      <c r="AP206" s="35">
        <f t="shared" si="89"/>
        <v>0</v>
      </c>
      <c r="AQ206" s="35">
        <f t="shared" si="89"/>
        <v>0</v>
      </c>
      <c r="AR206" s="35">
        <f t="shared" si="89"/>
        <v>0</v>
      </c>
      <c r="AS206" s="35">
        <f t="shared" si="89"/>
        <v>0</v>
      </c>
      <c r="AT206" s="35">
        <f t="shared" si="89"/>
        <v>0</v>
      </c>
      <c r="AU206" s="35">
        <f t="shared" si="89"/>
        <v>0</v>
      </c>
      <c r="AV206" s="35">
        <f t="shared" si="89"/>
        <v>0</v>
      </c>
      <c r="AW206" s="35">
        <f t="shared" si="89"/>
        <v>0</v>
      </c>
      <c r="AX206" s="35">
        <f t="shared" si="89"/>
        <v>0</v>
      </c>
      <c r="AY206" s="35">
        <f t="shared" si="89"/>
        <v>0</v>
      </c>
      <c r="AZ206" s="35">
        <f t="shared" si="89"/>
        <v>0</v>
      </c>
      <c r="BA206" s="35">
        <f t="shared" si="89"/>
        <v>0</v>
      </c>
    </row>
    <row r="208" spans="3:53" x14ac:dyDescent="0.35">
      <c r="C208" t="s">
        <v>132</v>
      </c>
    </row>
    <row r="209" spans="2:53" x14ac:dyDescent="0.35">
      <c r="C209" s="34" t="s">
        <v>116</v>
      </c>
      <c r="N209" s="42">
        <v>0</v>
      </c>
      <c r="O209" s="42">
        <v>0</v>
      </c>
      <c r="P209" s="35">
        <f>O209+P193-P201</f>
        <v>0</v>
      </c>
      <c r="Q209" s="35">
        <f>P209+Q193-Q201</f>
        <v>0</v>
      </c>
      <c r="R209" s="35">
        <f t="shared" ref="R209:BA214" si="90">Q209+R193-R201</f>
        <v>0</v>
      </c>
      <c r="S209" s="35">
        <f t="shared" si="90"/>
        <v>0</v>
      </c>
      <c r="T209" s="35">
        <f t="shared" si="90"/>
        <v>77963.454746351228</v>
      </c>
      <c r="U209" s="35">
        <f t="shared" si="90"/>
        <v>608106.26409525704</v>
      </c>
      <c r="V209" s="35">
        <f t="shared" si="90"/>
        <v>1123121.8437093298</v>
      </c>
      <c r="W209" s="35">
        <f t="shared" si="90"/>
        <v>1319362.8687618875</v>
      </c>
      <c r="X209" s="35">
        <f t="shared" si="90"/>
        <v>1525347.3719119497</v>
      </c>
      <c r="Y209" s="35">
        <f t="shared" si="90"/>
        <v>1347201.0740659547</v>
      </c>
      <c r="Z209" s="35">
        <f t="shared" si="90"/>
        <v>1238257.525664893</v>
      </c>
      <c r="AA209" s="35">
        <f t="shared" si="90"/>
        <v>1223273.7547754515</v>
      </c>
      <c r="AB209" s="35">
        <f t="shared" si="90"/>
        <v>1719794.6384737873</v>
      </c>
      <c r="AC209" s="35">
        <f t="shared" si="90"/>
        <v>1891840.2501950781</v>
      </c>
      <c r="AD209" s="35">
        <f t="shared" si="90"/>
        <v>1972722.9823711752</v>
      </c>
      <c r="AE209" s="35">
        <f t="shared" si="90"/>
        <v>2359791.8581013489</v>
      </c>
      <c r="AF209" s="35">
        <f t="shared" si="90"/>
        <v>2441318.4171473454</v>
      </c>
      <c r="AG209" s="35">
        <f t="shared" si="90"/>
        <v>2358552.2243161015</v>
      </c>
      <c r="AH209" s="35">
        <f t="shared" si="90"/>
        <v>2181954.9523844151</v>
      </c>
      <c r="AI209" s="35">
        <f t="shared" si="90"/>
        <v>2370827.0650417805</v>
      </c>
      <c r="AJ209" s="35">
        <f t="shared" si="90"/>
        <v>2205881.4027489168</v>
      </c>
      <c r="AK209" s="35">
        <f t="shared" si="90"/>
        <v>2565556.8073051698</v>
      </c>
      <c r="AL209" s="35">
        <f t="shared" si="90"/>
        <v>2727541.810014701</v>
      </c>
      <c r="AM209" s="35">
        <f t="shared" si="90"/>
        <v>2932026.5931379688</v>
      </c>
      <c r="AN209" s="35">
        <f t="shared" si="90"/>
        <v>3155443.1404223465</v>
      </c>
      <c r="AO209" s="35">
        <f t="shared" si="90"/>
        <v>3298865.6597177745</v>
      </c>
      <c r="AP209" s="35">
        <f t="shared" si="90"/>
        <v>3262321.4964388791</v>
      </c>
      <c r="AQ209" s="35">
        <f t="shared" si="90"/>
        <v>3483030.6624336909</v>
      </c>
      <c r="AR209" s="35">
        <f t="shared" si="90"/>
        <v>3480899.3192868042</v>
      </c>
      <c r="AS209" s="35">
        <f t="shared" si="90"/>
        <v>3593284.8761071004</v>
      </c>
      <c r="AT209" s="35">
        <f t="shared" si="90"/>
        <v>3584496.0450236648</v>
      </c>
      <c r="AU209" s="35">
        <f t="shared" si="90"/>
        <v>3584496.0450236648</v>
      </c>
      <c r="AV209" s="35">
        <f t="shared" si="90"/>
        <v>3437899.4803130566</v>
      </c>
      <c r="AW209" s="35">
        <f t="shared" si="90"/>
        <v>3401370.0548821413</v>
      </c>
      <c r="AX209" s="35">
        <f t="shared" si="90"/>
        <v>3271303.7141687959</v>
      </c>
      <c r="AY209" s="35">
        <f t="shared" si="90"/>
        <v>3171141.7559631956</v>
      </c>
      <c r="AZ209" s="35">
        <f t="shared" si="90"/>
        <v>3494135.3952471656</v>
      </c>
      <c r="BA209" s="35">
        <f t="shared" si="90"/>
        <v>3464499.3699564938</v>
      </c>
    </row>
    <row r="210" spans="2:53" x14ac:dyDescent="0.35">
      <c r="C210" s="34" t="s">
        <v>117</v>
      </c>
      <c r="N210" s="42">
        <v>0</v>
      </c>
      <c r="O210" s="42">
        <v>0</v>
      </c>
      <c r="P210" s="35">
        <f t="shared" ref="P210:Z214" si="91">O210+P194-P202</f>
        <v>0</v>
      </c>
      <c r="Q210" s="35">
        <f t="shared" si="91"/>
        <v>0</v>
      </c>
      <c r="R210" s="35">
        <f t="shared" si="91"/>
        <v>0</v>
      </c>
      <c r="S210" s="35">
        <f t="shared" si="91"/>
        <v>0</v>
      </c>
      <c r="T210" s="35">
        <f t="shared" si="91"/>
        <v>23568.625110791647</v>
      </c>
      <c r="U210" s="35">
        <f t="shared" si="91"/>
        <v>186175.48819045722</v>
      </c>
      <c r="V210" s="35">
        <f t="shared" si="91"/>
        <v>514162.22090971749</v>
      </c>
      <c r="W210" s="35">
        <f t="shared" si="91"/>
        <v>578696.68769430846</v>
      </c>
      <c r="X210" s="35">
        <f t="shared" si="91"/>
        <v>662956.168141059</v>
      </c>
      <c r="Y210" s="35">
        <f t="shared" si="91"/>
        <v>600018.47933184693</v>
      </c>
      <c r="Z210" s="35">
        <f t="shared" si="91"/>
        <v>556358.8536950713</v>
      </c>
      <c r="AA210" s="35">
        <f t="shared" si="90"/>
        <v>550520.5095631408</v>
      </c>
      <c r="AB210" s="35">
        <f t="shared" si="90"/>
        <v>611618.36181802838</v>
      </c>
      <c r="AC210" s="35">
        <f t="shared" si="90"/>
        <v>656787.39196478308</v>
      </c>
      <c r="AD210" s="35">
        <f t="shared" si="90"/>
        <v>682814.28655859223</v>
      </c>
      <c r="AE210" s="35">
        <f t="shared" si="90"/>
        <v>812844.33449977532</v>
      </c>
      <c r="AF210" s="35">
        <f t="shared" si="90"/>
        <v>841336.38391661423</v>
      </c>
      <c r="AG210" s="35">
        <f t="shared" si="90"/>
        <v>852088.2039540367</v>
      </c>
      <c r="AH210" s="35">
        <f t="shared" si="90"/>
        <v>1285205.5616602167</v>
      </c>
      <c r="AI210" s="35">
        <f t="shared" si="90"/>
        <v>1490422.9665136836</v>
      </c>
      <c r="AJ210" s="35">
        <f t="shared" si="90"/>
        <v>1572291.3958175406</v>
      </c>
      <c r="AK210" s="35">
        <f t="shared" si="90"/>
        <v>2815750.8753616549</v>
      </c>
      <c r="AL210" s="35">
        <f t="shared" si="90"/>
        <v>3082234.1473659677</v>
      </c>
      <c r="AM210" s="35">
        <f t="shared" si="90"/>
        <v>3417827.1936309566</v>
      </c>
      <c r="AN210" s="35">
        <f t="shared" si="90"/>
        <v>3804151.5348558095</v>
      </c>
      <c r="AO210" s="35">
        <f t="shared" si="90"/>
        <v>3999023.8088795138</v>
      </c>
      <c r="AP210" s="35">
        <f t="shared" si="90"/>
        <v>3946257.2120288392</v>
      </c>
      <c r="AQ210" s="35">
        <f t="shared" si="90"/>
        <v>4298465.5342450272</v>
      </c>
      <c r="AR210" s="35">
        <f t="shared" si="90"/>
        <v>4295343.8752871966</v>
      </c>
      <c r="AS210" s="35">
        <f t="shared" si="90"/>
        <v>4498775.6715369001</v>
      </c>
      <c r="AT210" s="35">
        <f t="shared" si="90"/>
        <v>4477790.6938165165</v>
      </c>
      <c r="AU210" s="35">
        <f t="shared" si="90"/>
        <v>4477790.6938165165</v>
      </c>
      <c r="AV210" s="35">
        <f t="shared" si="90"/>
        <v>4062961.4509647531</v>
      </c>
      <c r="AW210" s="35">
        <f t="shared" si="90"/>
        <v>4179576.9286821573</v>
      </c>
      <c r="AX210" s="35">
        <f t="shared" si="90"/>
        <v>3817678.0274426797</v>
      </c>
      <c r="AY210" s="35">
        <f t="shared" si="90"/>
        <v>3538216.6283698711</v>
      </c>
      <c r="AZ210" s="35">
        <f t="shared" si="90"/>
        <v>4439399.6318074912</v>
      </c>
      <c r="BA210" s="35">
        <f t="shared" si="90"/>
        <v>4356712.2998197544</v>
      </c>
    </row>
    <row r="211" spans="2:53" x14ac:dyDescent="0.35">
      <c r="C211" s="34" t="s">
        <v>118</v>
      </c>
      <c r="N211" s="42">
        <v>0</v>
      </c>
      <c r="O211" s="42">
        <v>0</v>
      </c>
      <c r="P211" s="35">
        <f t="shared" si="91"/>
        <v>0</v>
      </c>
      <c r="Q211" s="35">
        <f t="shared" si="91"/>
        <v>0</v>
      </c>
      <c r="R211" s="35">
        <f t="shared" si="91"/>
        <v>0</v>
      </c>
      <c r="S211" s="35">
        <f>R211+S195-S203</f>
        <v>230400</v>
      </c>
      <c r="T211" s="35">
        <f t="shared" si="91"/>
        <v>576000</v>
      </c>
      <c r="U211" s="35">
        <f t="shared" si="91"/>
        <v>1152000</v>
      </c>
      <c r="V211" s="35">
        <f t="shared" si="91"/>
        <v>1658880</v>
      </c>
      <c r="W211" s="35">
        <f t="shared" si="91"/>
        <v>1728000</v>
      </c>
      <c r="X211" s="35">
        <f t="shared" si="91"/>
        <v>1969920</v>
      </c>
      <c r="Y211" s="35">
        <f t="shared" si="91"/>
        <v>2592000</v>
      </c>
      <c r="Z211" s="35">
        <f t="shared" si="91"/>
        <v>1978615.5663778456</v>
      </c>
      <c r="AA211" s="35">
        <f t="shared" si="90"/>
        <v>1969920</v>
      </c>
      <c r="AB211" s="35">
        <f t="shared" si="90"/>
        <v>2592000</v>
      </c>
      <c r="AC211" s="35">
        <f t="shared" si="90"/>
        <v>2641957.8004070888</v>
      </c>
      <c r="AD211" s="35">
        <f t="shared" si="90"/>
        <v>2528076.7777735679</v>
      </c>
      <c r="AE211" s="35">
        <f t="shared" si="90"/>
        <v>2592000.0000000005</v>
      </c>
      <c r="AF211" s="35">
        <f t="shared" si="90"/>
        <v>2460973.8296882152</v>
      </c>
      <c r="AG211" s="35">
        <f t="shared" si="90"/>
        <v>2454071.0928601217</v>
      </c>
      <c r="AH211" s="35">
        <f t="shared" si="90"/>
        <v>2710806.0886507048</v>
      </c>
      <c r="AI211" s="35">
        <f t="shared" si="90"/>
        <v>2710806.0886507053</v>
      </c>
      <c r="AJ211" s="35">
        <f t="shared" si="90"/>
        <v>2592905.5801351164</v>
      </c>
      <c r="AK211" s="35">
        <f t="shared" si="90"/>
        <v>2973480.2958503906</v>
      </c>
      <c r="AL211" s="35">
        <f t="shared" si="90"/>
        <v>2875315.150384903</v>
      </c>
      <c r="AM211" s="35">
        <f t="shared" si="90"/>
        <v>2807132.8891680338</v>
      </c>
      <c r="AN211" s="35">
        <f t="shared" si="90"/>
        <v>2987715.1922895103</v>
      </c>
      <c r="AO211" s="35">
        <f t="shared" si="90"/>
        <v>3034112.0722484547</v>
      </c>
      <c r="AP211" s="35">
        <f t="shared" si="90"/>
        <v>2912724.4649797007</v>
      </c>
      <c r="AQ211" s="35">
        <f t="shared" si="90"/>
        <v>3034690.1817188459</v>
      </c>
      <c r="AR211" s="35">
        <f t="shared" si="90"/>
        <v>2983044.5495133847</v>
      </c>
      <c r="AS211" s="35">
        <f t="shared" si="90"/>
        <v>3073229.958060368</v>
      </c>
      <c r="AT211" s="35">
        <f t="shared" si="90"/>
        <v>3055196.1901659765</v>
      </c>
      <c r="AU211" s="35">
        <f t="shared" si="90"/>
        <v>3085179.0744145941</v>
      </c>
      <c r="AV211" s="35">
        <f t="shared" si="90"/>
        <v>3033533.442209132</v>
      </c>
      <c r="AW211" s="35">
        <f t="shared" si="90"/>
        <v>3094743.3280775882</v>
      </c>
      <c r="AX211" s="35">
        <f t="shared" si="90"/>
        <v>3043097.6958721261</v>
      </c>
      <c r="AY211" s="35">
        <f t="shared" si="90"/>
        <v>3021434.9479152826</v>
      </c>
      <c r="AZ211" s="35">
        <f t="shared" si="90"/>
        <v>3728097.843570963</v>
      </c>
      <c r="BA211" s="35">
        <f t="shared" si="90"/>
        <v>3827822.7028828734</v>
      </c>
    </row>
    <row r="212" spans="2:53" x14ac:dyDescent="0.35">
      <c r="C212" s="34" t="s">
        <v>119</v>
      </c>
      <c r="N212" s="42">
        <v>0</v>
      </c>
      <c r="O212" s="42">
        <v>0</v>
      </c>
      <c r="P212" s="35">
        <f t="shared" si="91"/>
        <v>0</v>
      </c>
      <c r="Q212" s="35">
        <f t="shared" si="91"/>
        <v>0</v>
      </c>
      <c r="R212" s="35">
        <f t="shared" si="91"/>
        <v>0</v>
      </c>
      <c r="S212" s="35">
        <f t="shared" si="91"/>
        <v>174600</v>
      </c>
      <c r="T212" s="35">
        <f t="shared" si="91"/>
        <v>251267.92014285713</v>
      </c>
      <c r="U212" s="35">
        <f t="shared" si="91"/>
        <v>251267.92014285713</v>
      </c>
      <c r="V212" s="35">
        <f t="shared" si="91"/>
        <v>251267.92014285713</v>
      </c>
      <c r="W212" s="35">
        <f t="shared" si="91"/>
        <v>251267.92014285713</v>
      </c>
      <c r="X212" s="35">
        <f t="shared" si="91"/>
        <v>251267.92014285713</v>
      </c>
      <c r="Y212" s="35">
        <f t="shared" si="91"/>
        <v>843330.11504761898</v>
      </c>
      <c r="Z212" s="35">
        <f t="shared" si="91"/>
        <v>843330.11504761898</v>
      </c>
      <c r="AA212" s="35">
        <f t="shared" si="90"/>
        <v>843330.11504761886</v>
      </c>
      <c r="AB212" s="35">
        <f t="shared" si="90"/>
        <v>843330.11504761886</v>
      </c>
      <c r="AC212" s="35">
        <f t="shared" si="90"/>
        <v>843330.11504761875</v>
      </c>
      <c r="AD212" s="35">
        <f t="shared" si="90"/>
        <v>843330.11504761875</v>
      </c>
      <c r="AE212" s="35">
        <f t="shared" si="90"/>
        <v>893858.71485714288</v>
      </c>
      <c r="AF212" s="35">
        <f t="shared" si="90"/>
        <v>893858.71485714288</v>
      </c>
      <c r="AG212" s="35">
        <f t="shared" si="90"/>
        <v>893858.714857143</v>
      </c>
      <c r="AH212" s="35">
        <f t="shared" si="90"/>
        <v>893858.71485714312</v>
      </c>
      <c r="AI212" s="35">
        <f t="shared" si="90"/>
        <v>893858.71485714312</v>
      </c>
      <c r="AJ212" s="35">
        <f t="shared" si="90"/>
        <v>893858.71485714312</v>
      </c>
      <c r="AK212" s="35">
        <f t="shared" si="90"/>
        <v>893858.71485714323</v>
      </c>
      <c r="AL212" s="35">
        <f t="shared" si="90"/>
        <v>893858.71485714335</v>
      </c>
      <c r="AM212" s="35">
        <f t="shared" si="90"/>
        <v>893858.71485714335</v>
      </c>
      <c r="AN212" s="35">
        <f t="shared" si="90"/>
        <v>1085663.8018095237</v>
      </c>
      <c r="AO212" s="35">
        <f t="shared" si="90"/>
        <v>1085663.8018095237</v>
      </c>
      <c r="AP212" s="35">
        <f t="shared" si="90"/>
        <v>1085663.8018095237</v>
      </c>
      <c r="AQ212" s="35">
        <f t="shared" si="90"/>
        <v>1143858.7148571429</v>
      </c>
      <c r="AR212" s="35">
        <f t="shared" si="90"/>
        <v>1143858.7148571431</v>
      </c>
      <c r="AS212" s="35">
        <f t="shared" si="90"/>
        <v>1143858.7148571429</v>
      </c>
      <c r="AT212" s="35">
        <f t="shared" si="90"/>
        <v>1143858.7148571429</v>
      </c>
      <c r="AU212" s="35">
        <f t="shared" si="90"/>
        <v>1143858.7148571429</v>
      </c>
      <c r="AV212" s="35">
        <f t="shared" si="90"/>
        <v>1143858.7148571429</v>
      </c>
      <c r="AW212" s="35">
        <f t="shared" si="90"/>
        <v>1143858.7148571429</v>
      </c>
      <c r="AX212" s="35">
        <f t="shared" si="90"/>
        <v>1143858.7148571429</v>
      </c>
      <c r="AY212" s="35">
        <f t="shared" si="90"/>
        <v>1143858.7148571429</v>
      </c>
      <c r="AZ212" s="35">
        <f t="shared" si="90"/>
        <v>1143858.7148571429</v>
      </c>
      <c r="BA212" s="35">
        <f t="shared" si="90"/>
        <v>1143858.7148571429</v>
      </c>
    </row>
    <row r="213" spans="2:53" x14ac:dyDescent="0.35">
      <c r="C213" s="34" t="s">
        <v>120</v>
      </c>
      <c r="N213" s="42">
        <v>0</v>
      </c>
      <c r="O213" s="42">
        <v>0</v>
      </c>
      <c r="P213" s="35">
        <f t="shared" si="91"/>
        <v>0</v>
      </c>
      <c r="Q213" s="35">
        <f t="shared" si="91"/>
        <v>0</v>
      </c>
      <c r="R213" s="35">
        <f t="shared" si="91"/>
        <v>0</v>
      </c>
      <c r="S213" s="35">
        <f t="shared" si="91"/>
        <v>63000</v>
      </c>
      <c r="T213" s="35">
        <f t="shared" si="91"/>
        <v>63000</v>
      </c>
      <c r="U213" s="35">
        <f t="shared" si="91"/>
        <v>63000</v>
      </c>
      <c r="V213" s="35">
        <f t="shared" si="91"/>
        <v>63000</v>
      </c>
      <c r="W213" s="35">
        <f t="shared" si="91"/>
        <v>63000</v>
      </c>
      <c r="X213" s="35">
        <f t="shared" si="91"/>
        <v>63000</v>
      </c>
      <c r="Y213" s="35">
        <f t="shared" si="91"/>
        <v>490000</v>
      </c>
      <c r="Z213" s="35">
        <f t="shared" si="91"/>
        <v>490000</v>
      </c>
      <c r="AA213" s="35">
        <f t="shared" si="90"/>
        <v>490000</v>
      </c>
      <c r="AB213" s="35">
        <f t="shared" si="90"/>
        <v>490000</v>
      </c>
      <c r="AC213" s="35">
        <f t="shared" si="90"/>
        <v>490000</v>
      </c>
      <c r="AD213" s="35">
        <f t="shared" si="90"/>
        <v>490000</v>
      </c>
      <c r="AE213" s="35">
        <f t="shared" si="90"/>
        <v>490000</v>
      </c>
      <c r="AF213" s="35">
        <f t="shared" si="90"/>
        <v>490000</v>
      </c>
      <c r="AG213" s="35">
        <f t="shared" si="90"/>
        <v>490000</v>
      </c>
      <c r="AH213" s="35">
        <f t="shared" si="90"/>
        <v>490000</v>
      </c>
      <c r="AI213" s="35">
        <f t="shared" si="90"/>
        <v>490000</v>
      </c>
      <c r="AJ213" s="35">
        <f t="shared" si="90"/>
        <v>490000</v>
      </c>
      <c r="AK213" s="35">
        <f t="shared" si="90"/>
        <v>490000</v>
      </c>
      <c r="AL213" s="35">
        <f t="shared" si="90"/>
        <v>490000</v>
      </c>
      <c r="AM213" s="35">
        <f t="shared" si="90"/>
        <v>490000</v>
      </c>
      <c r="AN213" s="35">
        <f t="shared" si="90"/>
        <v>490000</v>
      </c>
      <c r="AO213" s="35">
        <f t="shared" si="90"/>
        <v>490000</v>
      </c>
      <c r="AP213" s="35">
        <f t="shared" si="90"/>
        <v>490000</v>
      </c>
      <c r="AQ213" s="35">
        <f t="shared" si="90"/>
        <v>490000</v>
      </c>
      <c r="AR213" s="35">
        <f t="shared" si="90"/>
        <v>490000</v>
      </c>
      <c r="AS213" s="35">
        <f t="shared" si="90"/>
        <v>490000</v>
      </c>
      <c r="AT213" s="35">
        <f t="shared" si="90"/>
        <v>490000</v>
      </c>
      <c r="AU213" s="35">
        <f t="shared" si="90"/>
        <v>490000</v>
      </c>
      <c r="AV213" s="35">
        <f t="shared" si="90"/>
        <v>490000</v>
      </c>
      <c r="AW213" s="35">
        <f t="shared" si="90"/>
        <v>490000</v>
      </c>
      <c r="AX213" s="35">
        <f t="shared" si="90"/>
        <v>490000</v>
      </c>
      <c r="AY213" s="35">
        <f t="shared" si="90"/>
        <v>490000</v>
      </c>
      <c r="AZ213" s="35">
        <f t="shared" si="90"/>
        <v>490000</v>
      </c>
      <c r="BA213" s="35">
        <f t="shared" si="90"/>
        <v>490000</v>
      </c>
    </row>
    <row r="214" spans="2:53" x14ac:dyDescent="0.35">
      <c r="C214" s="34" t="s">
        <v>121</v>
      </c>
      <c r="N214" s="42">
        <v>0</v>
      </c>
      <c r="O214" s="42">
        <v>0</v>
      </c>
      <c r="P214" s="35">
        <f t="shared" si="91"/>
        <v>0</v>
      </c>
      <c r="Q214" s="35">
        <f t="shared" si="91"/>
        <v>0</v>
      </c>
      <c r="R214" s="35">
        <f t="shared" si="91"/>
        <v>0</v>
      </c>
      <c r="S214" s="35">
        <f t="shared" si="91"/>
        <v>0</v>
      </c>
      <c r="T214" s="35">
        <f t="shared" si="91"/>
        <v>0</v>
      </c>
      <c r="U214" s="35">
        <f t="shared" si="91"/>
        <v>0</v>
      </c>
      <c r="V214" s="35">
        <f t="shared" si="91"/>
        <v>0</v>
      </c>
      <c r="W214" s="35">
        <f t="shared" si="91"/>
        <v>0</v>
      </c>
      <c r="X214" s="35">
        <f t="shared" si="91"/>
        <v>0</v>
      </c>
      <c r="Y214" s="35">
        <f t="shared" si="91"/>
        <v>0</v>
      </c>
      <c r="Z214" s="35">
        <f t="shared" si="91"/>
        <v>0</v>
      </c>
      <c r="AA214" s="35">
        <f t="shared" si="90"/>
        <v>0</v>
      </c>
      <c r="AB214" s="35">
        <f t="shared" si="90"/>
        <v>0</v>
      </c>
      <c r="AC214" s="35">
        <f t="shared" si="90"/>
        <v>0</v>
      </c>
      <c r="AD214" s="35">
        <f t="shared" si="90"/>
        <v>0</v>
      </c>
      <c r="AE214" s="35">
        <f t="shared" si="90"/>
        <v>0</v>
      </c>
      <c r="AF214" s="35">
        <f t="shared" si="90"/>
        <v>0</v>
      </c>
      <c r="AG214" s="35">
        <f t="shared" si="90"/>
        <v>0</v>
      </c>
      <c r="AH214" s="35">
        <f t="shared" si="90"/>
        <v>0</v>
      </c>
      <c r="AI214" s="35">
        <f t="shared" si="90"/>
        <v>0</v>
      </c>
      <c r="AJ214" s="35">
        <f t="shared" si="90"/>
        <v>0</v>
      </c>
      <c r="AK214" s="35">
        <f t="shared" si="90"/>
        <v>0</v>
      </c>
      <c r="AL214" s="35">
        <f t="shared" si="90"/>
        <v>0</v>
      </c>
      <c r="AM214" s="35">
        <f t="shared" si="90"/>
        <v>0</v>
      </c>
      <c r="AN214" s="35">
        <f t="shared" si="90"/>
        <v>0</v>
      </c>
      <c r="AO214" s="35">
        <f t="shared" si="90"/>
        <v>0</v>
      </c>
      <c r="AP214" s="35">
        <f t="shared" si="90"/>
        <v>0</v>
      </c>
      <c r="AQ214" s="35">
        <f t="shared" si="90"/>
        <v>0</v>
      </c>
      <c r="AR214" s="35">
        <f t="shared" si="90"/>
        <v>0</v>
      </c>
      <c r="AS214" s="35">
        <f t="shared" si="90"/>
        <v>0</v>
      </c>
      <c r="AT214" s="35">
        <f t="shared" si="90"/>
        <v>0</v>
      </c>
      <c r="AU214" s="35">
        <f t="shared" si="90"/>
        <v>0</v>
      </c>
      <c r="AV214" s="35">
        <f t="shared" si="90"/>
        <v>0</v>
      </c>
      <c r="AW214" s="35">
        <f t="shared" si="90"/>
        <v>0</v>
      </c>
      <c r="AX214" s="35">
        <f t="shared" si="90"/>
        <v>0</v>
      </c>
      <c r="AY214" s="35">
        <f t="shared" si="90"/>
        <v>0</v>
      </c>
      <c r="AZ214" s="35">
        <f t="shared" si="90"/>
        <v>0</v>
      </c>
      <c r="BA214" s="35">
        <f t="shared" si="90"/>
        <v>0</v>
      </c>
    </row>
    <row r="216" spans="2:53" x14ac:dyDescent="0.35">
      <c r="C216" s="3" t="s">
        <v>133</v>
      </c>
      <c r="N216">
        <f>SUMPRODUCT(N209:N214,N163:N168)</f>
        <v>0</v>
      </c>
      <c r="O216" s="35">
        <f>SUMPRODUCT(O209:O214,O163:O168)</f>
        <v>0</v>
      </c>
      <c r="P216" s="35">
        <f>SUMPRODUCT(P209:P214,P163:P168)</f>
        <v>0</v>
      </c>
      <c r="Q216" s="35">
        <f t="shared" ref="Q216:Z216" si="92">SUMPRODUCT(Q209:Q214,Q163:Q168)</f>
        <v>0</v>
      </c>
      <c r="R216" s="35">
        <f t="shared" si="92"/>
        <v>0</v>
      </c>
      <c r="S216" s="35">
        <f t="shared" si="92"/>
        <v>595403.59864896606</v>
      </c>
      <c r="T216" s="35">
        <f t="shared" si="92"/>
        <v>617282.93552974146</v>
      </c>
      <c r="U216" s="35">
        <f t="shared" si="92"/>
        <v>944707.05612233607</v>
      </c>
      <c r="V216" s="35">
        <f t="shared" si="92"/>
        <v>1359975.5949174876</v>
      </c>
      <c r="W216" s="35">
        <f t="shared" si="92"/>
        <v>1384731.2088508874</v>
      </c>
      <c r="X216" s="35">
        <f t="shared" si="92"/>
        <v>1569596.1250908468</v>
      </c>
      <c r="Y216" s="35">
        <f t="shared" si="92"/>
        <v>1890031.3962245008</v>
      </c>
      <c r="Z216" s="35">
        <f t="shared" si="92"/>
        <v>1736986.0773307881</v>
      </c>
      <c r="AA216" s="35">
        <f>SUMPRODUCT(AA209:AA214,AA163:AA168)</f>
        <v>1726202.8696456118</v>
      </c>
      <c r="AB216" s="35">
        <f>SUMPRODUCT(AB209:AB214,AB163:AB168)</f>
        <v>1985010.338921041</v>
      </c>
      <c r="AC216" s="35">
        <f t="shared" ref="AC216:AY216" si="93">SUMPRODUCT(AC209:AC214,AC163:AC168)</f>
        <v>2128511.9780997261</v>
      </c>
      <c r="AD216" s="35">
        <f t="shared" si="93"/>
        <v>2189861.3735872214</v>
      </c>
      <c r="AE216" s="35">
        <f t="shared" si="93"/>
        <v>2336757.9258981165</v>
      </c>
      <c r="AF216" s="35">
        <f t="shared" si="93"/>
        <v>2443514.1879044739</v>
      </c>
      <c r="AG216" s="35">
        <f t="shared" si="93"/>
        <v>2336877.1350147603</v>
      </c>
      <c r="AH216" s="35">
        <f t="shared" si="93"/>
        <v>2414493.6456111083</v>
      </c>
      <c r="AI216" s="35">
        <f t="shared" si="93"/>
        <v>2463281.0289832009</v>
      </c>
      <c r="AJ216" s="35">
        <f t="shared" si="93"/>
        <v>2435286.9633003324</v>
      </c>
      <c r="AK216" s="35">
        <f t="shared" si="93"/>
        <v>2816145.0572526357</v>
      </c>
      <c r="AL216" s="35">
        <f t="shared" si="93"/>
        <v>3069516.4772243733</v>
      </c>
      <c r="AM216" s="35">
        <f t="shared" si="93"/>
        <v>3220728.6195827997</v>
      </c>
      <c r="AN216" s="35">
        <f t="shared" si="93"/>
        <v>3182188.3878625748</v>
      </c>
      <c r="AO216" s="35">
        <f t="shared" si="93"/>
        <v>3349022.4339116565</v>
      </c>
      <c r="AP216" s="35">
        <f t="shared" si="93"/>
        <v>3369637.3310168274</v>
      </c>
      <c r="AQ216" s="35">
        <f t="shared" si="93"/>
        <v>3447859.1073200647</v>
      </c>
      <c r="AR216" s="35">
        <f t="shared" si="93"/>
        <v>3575006.6808141596</v>
      </c>
      <c r="AS216" s="35">
        <f t="shared" si="93"/>
        <v>3562463.3494843962</v>
      </c>
      <c r="AT216" s="35">
        <f t="shared" si="93"/>
        <v>3560287.4223698592</v>
      </c>
      <c r="AU216" s="35">
        <f t="shared" si="93"/>
        <v>3547644.8395537082</v>
      </c>
      <c r="AV216" s="35">
        <f t="shared" si="93"/>
        <v>3420655.8101852047</v>
      </c>
      <c r="AW216" s="35">
        <f t="shared" si="93"/>
        <v>3330043.6888756743</v>
      </c>
      <c r="AX216" s="35">
        <f t="shared" si="93"/>
        <v>3349638.9724279083</v>
      </c>
      <c r="AY216" s="35">
        <f t="shared" si="93"/>
        <v>3241717.5181214446</v>
      </c>
      <c r="AZ216" s="35">
        <f>SUMPRODUCT(AZ209:AZ214,AZ163:AZ168)</f>
        <v>3282247.7192703225</v>
      </c>
      <c r="BA216" s="35">
        <f>SUMPRODUCT(BA209:BA214,BA163:BA168)</f>
        <v>3329560.9415378105</v>
      </c>
    </row>
    <row r="217" spans="2:53" x14ac:dyDescent="0.35">
      <c r="B217" s="44">
        <v>3</v>
      </c>
      <c r="C217" s="3" t="s">
        <v>134</v>
      </c>
      <c r="N217" s="35">
        <f>$B217/O$1*(SUMPRODUCT(O$23:O$25,O$193:O$195)+SUMPRODUCT(O$196:O$198,O$28:O$30))</f>
        <v>0</v>
      </c>
      <c r="O217" s="35">
        <f>$B217/P$1*(SUMPRODUCT(P$23:P$25,P$193:P$195)+SUMPRODUCT(P$196:P$198,P$28:P$30))</f>
        <v>0</v>
      </c>
      <c r="P217" s="35">
        <f>$B217/Q$1*(SUMPRODUCT(Q$23:Q$25,Q$193:Q$195)+SUMPRODUCT(Q$196:Q$198,Q$28:Q$30))</f>
        <v>0</v>
      </c>
      <c r="Q217" s="35">
        <f>$B217/R$1*(SUMPRODUCT(R$23:R$25,R$193:R$195)+SUMPRODUCT(R$196:R$198,R$28:R$30))</f>
        <v>0</v>
      </c>
      <c r="R217" s="35">
        <f>(SUMPRODUCT(S$23:S$25,S$193:S$195)+SUMPRODUCT(S$196:S$198,S$28:S$30))*1.5</f>
        <v>96579</v>
      </c>
      <c r="S217" s="35">
        <f>(SUMPRODUCT(T$23:T$25,T$193:T$195)+SUMPRODUCT(T$196:T$198,T$28:T$30))*1.2</f>
        <v>155721.03568165289</v>
      </c>
      <c r="T217" s="35">
        <f t="shared" ref="T217:BA217" si="94">$B217/U$1*(SUMPRODUCT(U$23:U$25,U$193:U$195)+SUMPRODUCT(U$196:U$198,U$28:U$30))</f>
        <v>227456.83697228768</v>
      </c>
      <c r="U217" s="35">
        <f t="shared" si="94"/>
        <v>290142.15810867539</v>
      </c>
      <c r="V217" s="35">
        <f t="shared" si="94"/>
        <v>382049.45369748538</v>
      </c>
      <c r="W217" s="35">
        <f t="shared" si="94"/>
        <v>372179.16279314255</v>
      </c>
      <c r="X217" s="35">
        <f t="shared" si="94"/>
        <v>423759.86704115523</v>
      </c>
      <c r="Y217" s="35">
        <f t="shared" si="94"/>
        <v>429854.37809569045</v>
      </c>
      <c r="Z217" s="35">
        <f t="shared" si="94"/>
        <v>428303.15245024825</v>
      </c>
      <c r="AA217" s="35">
        <f t="shared" si="94"/>
        <v>504481.86299323005</v>
      </c>
      <c r="AB217" s="35">
        <f t="shared" si="94"/>
        <v>506283.73673393129</v>
      </c>
      <c r="AC217" s="35">
        <f t="shared" si="94"/>
        <v>473356.82325182488</v>
      </c>
      <c r="AD217" s="35">
        <f t="shared" si="94"/>
        <v>500664.89878265222</v>
      </c>
      <c r="AE217" s="35">
        <f t="shared" si="94"/>
        <v>471673.15949133202</v>
      </c>
      <c r="AF217" s="35">
        <f t="shared" si="94"/>
        <v>478873.67089075717</v>
      </c>
      <c r="AG217" s="35">
        <f t="shared" si="94"/>
        <v>444220.03174976795</v>
      </c>
      <c r="AH217" s="35">
        <f t="shared" si="94"/>
        <v>583057.25450586667</v>
      </c>
      <c r="AI217" s="35">
        <f t="shared" si="94"/>
        <v>524985.42024065624</v>
      </c>
      <c r="AJ217" s="35">
        <f t="shared" si="94"/>
        <v>647330.88172087364</v>
      </c>
      <c r="AK217" s="35">
        <f t="shared" si="94"/>
        <v>613923.7566214035</v>
      </c>
      <c r="AL217" s="35">
        <f t="shared" si="94"/>
        <v>609243.57809388754</v>
      </c>
      <c r="AM217" s="35">
        <f t="shared" si="94"/>
        <v>591890.90537298156</v>
      </c>
      <c r="AN217" s="35">
        <f t="shared" si="94"/>
        <v>609963.35018398124</v>
      </c>
      <c r="AO217" s="35">
        <f t="shared" si="94"/>
        <v>579381.6392463732</v>
      </c>
      <c r="AP217" s="35">
        <f t="shared" si="94"/>
        <v>602562.81906116731</v>
      </c>
      <c r="AQ217" s="35">
        <f t="shared" si="94"/>
        <v>580157.13399442821</v>
      </c>
      <c r="AR217" s="35">
        <f t="shared" si="94"/>
        <v>642470.46273197653</v>
      </c>
      <c r="AS217" s="35">
        <f t="shared" si="94"/>
        <v>583126.73730033648</v>
      </c>
      <c r="AT217" s="35">
        <f t="shared" si="94"/>
        <v>646015.95775427495</v>
      </c>
      <c r="AU217" s="35">
        <f t="shared" si="94"/>
        <v>628710.39972137474</v>
      </c>
      <c r="AV217" s="35">
        <f t="shared" si="94"/>
        <v>649603.0431248598</v>
      </c>
      <c r="AW217" s="35">
        <f t="shared" si="94"/>
        <v>629179.85911296355</v>
      </c>
      <c r="AX217" s="35">
        <f t="shared" si="94"/>
        <v>623726.22058375622</v>
      </c>
      <c r="AY217" s="35">
        <f t="shared" si="94"/>
        <v>577489.48505638982</v>
      </c>
      <c r="AZ217" s="35">
        <f t="shared" si="94"/>
        <v>588104.974824565</v>
      </c>
      <c r="BA217" s="35" t="e">
        <f t="shared" si="94"/>
        <v>#DIV/0!</v>
      </c>
    </row>
    <row r="218" spans="2:53" x14ac:dyDescent="0.35">
      <c r="B218" s="44">
        <v>6</v>
      </c>
      <c r="C218" s="3" t="s">
        <v>135</v>
      </c>
      <c r="N218" s="35">
        <f t="shared" ref="N218:BA218" si="95">$B218/O$1*(SUMPRODUCT(O$34:O$36,O$193:O$195)+SUMPRODUCT(O$196:O$198,O$39:O$41))</f>
        <v>0</v>
      </c>
      <c r="O218" s="35">
        <f t="shared" si="95"/>
        <v>0</v>
      </c>
      <c r="P218" s="35">
        <f t="shared" si="95"/>
        <v>0</v>
      </c>
      <c r="Q218" s="35">
        <f t="shared" si="95"/>
        <v>0</v>
      </c>
      <c r="R218" s="35">
        <f t="shared" si="95"/>
        <v>22291.200000000001</v>
      </c>
      <c r="S218" s="35">
        <f t="shared" si="95"/>
        <v>70444.082607305842</v>
      </c>
      <c r="T218" s="35">
        <f t="shared" si="95"/>
        <v>182410.07566542976</v>
      </c>
      <c r="U218" s="35">
        <f t="shared" si="95"/>
        <v>235778.02794329307</v>
      </c>
      <c r="V218" s="35">
        <f t="shared" si="95"/>
        <v>306962.11191011535</v>
      </c>
      <c r="W218" s="35">
        <f t="shared" si="95"/>
        <v>315720.94632765825</v>
      </c>
      <c r="X218" s="35">
        <f t="shared" si="95"/>
        <v>313529.50347001996</v>
      </c>
      <c r="Y218" s="35">
        <f t="shared" si="95"/>
        <v>308472.38841761975</v>
      </c>
      <c r="Z218" s="35">
        <f t="shared" si="95"/>
        <v>313212.03656190087</v>
      </c>
      <c r="AA218" s="35">
        <f t="shared" si="95"/>
        <v>367828.61023513385</v>
      </c>
      <c r="AB218" s="35">
        <f t="shared" si="95"/>
        <v>372950.66869115073</v>
      </c>
      <c r="AC218" s="35">
        <f t="shared" si="95"/>
        <v>339966.48645670083</v>
      </c>
      <c r="AD218" s="35">
        <f t="shared" si="95"/>
        <v>362013.54593279451</v>
      </c>
      <c r="AE218" s="35">
        <f t="shared" si="95"/>
        <v>336567.84592810896</v>
      </c>
      <c r="AF218" s="35">
        <f t="shared" si="95"/>
        <v>347691.61742946715</v>
      </c>
      <c r="AG218" s="35">
        <f t="shared" si="95"/>
        <v>345028.34480946162</v>
      </c>
      <c r="AH218" s="35">
        <f t="shared" si="95"/>
        <v>422604.50166547392</v>
      </c>
      <c r="AI218" s="35">
        <f t="shared" si="95"/>
        <v>386142.36693586677</v>
      </c>
      <c r="AJ218" s="35">
        <f t="shared" si="95"/>
        <v>471100.57313728635</v>
      </c>
      <c r="AK218" s="35">
        <f t="shared" si="95"/>
        <v>442358.94779306377</v>
      </c>
      <c r="AL218" s="35">
        <f t="shared" si="95"/>
        <v>445194.01592216949</v>
      </c>
      <c r="AM218" s="35">
        <f t="shared" si="95"/>
        <v>462995.11148144462</v>
      </c>
      <c r="AN218" s="35">
        <f t="shared" si="95"/>
        <v>475493.28675973974</v>
      </c>
      <c r="AO218" s="35">
        <f t="shared" si="95"/>
        <v>442931.03139196325</v>
      </c>
      <c r="AP218" s="35">
        <f t="shared" si="95"/>
        <v>468730.84869246278</v>
      </c>
      <c r="AQ218" s="35">
        <f t="shared" si="95"/>
        <v>441081.71887568908</v>
      </c>
      <c r="AR218" s="35">
        <f t="shared" si="95"/>
        <v>490913.82274127105</v>
      </c>
      <c r="AS218" s="35">
        <f t="shared" si="95"/>
        <v>463574.31024576933</v>
      </c>
      <c r="AT218" s="35">
        <f t="shared" si="95"/>
        <v>493985.90028002352</v>
      </c>
      <c r="AU218" s="35">
        <f t="shared" si="95"/>
        <v>477451.9782114604</v>
      </c>
      <c r="AV218" s="35">
        <f t="shared" si="95"/>
        <v>504968.1252324619</v>
      </c>
      <c r="AW218" s="35">
        <f t="shared" si="95"/>
        <v>478631.26715082501</v>
      </c>
      <c r="AX218" s="35">
        <f t="shared" si="95"/>
        <v>480681.61317185318</v>
      </c>
      <c r="AY218" s="35">
        <f t="shared" si="95"/>
        <v>512199.45899105852</v>
      </c>
      <c r="AZ218" s="35">
        <f t="shared" si="95"/>
        <v>507276.23159968149</v>
      </c>
      <c r="BA218" s="35" t="e">
        <f t="shared" si="95"/>
        <v>#DIV/0!</v>
      </c>
    </row>
    <row r="221" spans="2:53" x14ac:dyDescent="0.35">
      <c r="C221" s="3" t="s">
        <v>136</v>
      </c>
      <c r="P221" s="35">
        <f t="shared" ref="P221:W221" si="96">P223-P222</f>
        <v>0</v>
      </c>
      <c r="Q221" s="35">
        <f t="shared" si="96"/>
        <v>0</v>
      </c>
      <c r="R221" s="35">
        <f t="shared" si="96"/>
        <v>0</v>
      </c>
      <c r="S221" s="35">
        <f t="shared" si="96"/>
        <v>-448966.76022507646</v>
      </c>
      <c r="T221" s="35">
        <f t="shared" si="96"/>
        <v>-294983.72127137339</v>
      </c>
      <c r="U221" s="35">
        <f t="shared" si="96"/>
        <v>-163170.6415929622</v>
      </c>
      <c r="V221" s="35">
        <f t="shared" si="96"/>
        <v>-101653.12610956025</v>
      </c>
      <c r="W221" s="35">
        <f t="shared" si="96"/>
        <v>0</v>
      </c>
    </row>
    <row r="222" spans="2:53" x14ac:dyDescent="0.35">
      <c r="C222" s="3" t="s">
        <v>137</v>
      </c>
      <c r="P222" s="35">
        <f>P216</f>
        <v>0</v>
      </c>
      <c r="Q222" s="35">
        <f>Q216</f>
        <v>0</v>
      </c>
      <c r="R222" s="35">
        <f>R216</f>
        <v>0</v>
      </c>
      <c r="S222" s="35">
        <f>SUMPRODUCT(S193:S198,S163:S168)</f>
        <v>595403.59864896606</v>
      </c>
      <c r="T222" s="35">
        <f>SUMPRODUCT(T193:T198,T163:T168)</f>
        <v>617282.93552974146</v>
      </c>
      <c r="U222" s="35">
        <f>SUMPRODUCT(U193:U198,U163:U168)</f>
        <v>929970.93764298409</v>
      </c>
      <c r="V222" s="35">
        <f>SUMPRODUCT(V193:V198,V163:V168)</f>
        <v>1329133.2444238616</v>
      </c>
      <c r="W222" s="35">
        <f>SUMPRODUCT(W193:W198,W163:W168)</f>
        <v>1275327.5174397051</v>
      </c>
      <c r="X222" s="35"/>
    </row>
    <row r="223" spans="2:53" x14ac:dyDescent="0.35">
      <c r="C223" s="3" t="s">
        <v>138</v>
      </c>
      <c r="P223" s="35">
        <f>SUMPRODUCT(P209:P214,$W$163:$W$168)</f>
        <v>0</v>
      </c>
      <c r="Q223" s="35">
        <f>SUMPRODUCT(Q209:Q214,$W$163:$W$168)</f>
        <v>0</v>
      </c>
      <c r="R223" s="35">
        <f>SUMPRODUCT(R209:R214,$W$163:$W$168)</f>
        <v>0</v>
      </c>
      <c r="S223" s="35">
        <f>SUMPRODUCT(S193:S198,$W$163:$W$168)</f>
        <v>146436.83842388957</v>
      </c>
      <c r="T223" s="35">
        <f>SUMPRODUCT(T193:T198,$W$163:$W$168)</f>
        <v>322299.21425836807</v>
      </c>
      <c r="U223" s="35">
        <f>SUMPRODUCT(U193:U198,$W$163:$W$168)</f>
        <v>766800.29605002189</v>
      </c>
      <c r="V223" s="35">
        <f>SUMPRODUCT(V193:V198,$W$163:$W$168)</f>
        <v>1227480.1183143014</v>
      </c>
      <c r="W223" s="35">
        <f>SUMPRODUCT(W193:W198,$W$163:$W$168)</f>
        <v>1275327.5174397051</v>
      </c>
      <c r="X223" s="35"/>
    </row>
    <row r="229" spans="1:19" x14ac:dyDescent="0.35">
      <c r="A229" t="s">
        <v>139</v>
      </c>
      <c r="B229" t="s">
        <v>140</v>
      </c>
      <c r="C229" t="s">
        <v>33</v>
      </c>
    </row>
    <row r="230" spans="1:19" x14ac:dyDescent="0.35">
      <c r="A230" s="57">
        <v>122239</v>
      </c>
      <c r="B230">
        <v>24.05</v>
      </c>
      <c r="C230" s="57">
        <v>2939847.95</v>
      </c>
      <c r="R230" s="11"/>
      <c r="S230" s="11"/>
    </row>
    <row r="231" spans="1:19" x14ac:dyDescent="0.35">
      <c r="A231" s="57">
        <v>115562</v>
      </c>
      <c r="B231">
        <v>21.49</v>
      </c>
      <c r="C231" s="57">
        <v>2483427.38</v>
      </c>
      <c r="R231" s="58"/>
    </row>
    <row r="232" spans="1:19" x14ac:dyDescent="0.35">
      <c r="A232" s="57">
        <v>50543</v>
      </c>
      <c r="B232">
        <v>24.05</v>
      </c>
      <c r="C232" s="57">
        <v>1215559.1499999999</v>
      </c>
    </row>
    <row r="233" spans="1:19" x14ac:dyDescent="0.35">
      <c r="A233" s="57">
        <v>43761</v>
      </c>
      <c r="B233">
        <v>24.05</v>
      </c>
      <c r="C233" s="57">
        <v>1052452.05</v>
      </c>
    </row>
    <row r="234" spans="1:19" x14ac:dyDescent="0.35">
      <c r="A234" s="57">
        <v>12591</v>
      </c>
      <c r="B234">
        <v>25.6</v>
      </c>
      <c r="C234" s="57">
        <v>322329.59999999998</v>
      </c>
    </row>
    <row r="235" spans="1:19" x14ac:dyDescent="0.35">
      <c r="A235" s="57">
        <v>5065.41</v>
      </c>
      <c r="B235">
        <v>21.22</v>
      </c>
      <c r="C235" s="57">
        <v>107488</v>
      </c>
    </row>
    <row r="236" spans="1:19" x14ac:dyDescent="0.35">
      <c r="A236" s="57">
        <v>4485</v>
      </c>
      <c r="B236">
        <v>22.7</v>
      </c>
      <c r="C236" s="57">
        <v>101809.5</v>
      </c>
    </row>
    <row r="237" spans="1:19" x14ac:dyDescent="0.35">
      <c r="A237" s="57">
        <v>4040.41</v>
      </c>
      <c r="B237">
        <v>20.29</v>
      </c>
      <c r="C237" s="57">
        <v>81979.92</v>
      </c>
    </row>
    <row r="238" spans="1:19" x14ac:dyDescent="0.35">
      <c r="A238" s="57">
        <v>3248</v>
      </c>
      <c r="B238">
        <v>21.74</v>
      </c>
      <c r="C238" s="57">
        <v>70611.520000000004</v>
      </c>
    </row>
    <row r="239" spans="1:19" x14ac:dyDescent="0.35">
      <c r="A239" s="57">
        <v>2426</v>
      </c>
      <c r="B239">
        <v>24.05</v>
      </c>
      <c r="C239" s="57">
        <v>58345.3</v>
      </c>
    </row>
    <row r="240" spans="1:19" x14ac:dyDescent="0.35">
      <c r="A240" s="57">
        <v>2123</v>
      </c>
      <c r="B240">
        <v>24.13</v>
      </c>
      <c r="C240" s="57">
        <v>51227.99</v>
      </c>
    </row>
    <row r="241" spans="1:28" x14ac:dyDescent="0.35">
      <c r="A241">
        <v>890.41</v>
      </c>
      <c r="B241">
        <v>23.16</v>
      </c>
      <c r="C241" s="57">
        <v>20621.900000000001</v>
      </c>
    </row>
    <row r="242" spans="1:28" x14ac:dyDescent="0.35">
      <c r="A242">
        <v>884</v>
      </c>
      <c r="B242">
        <v>21.57</v>
      </c>
      <c r="C242" s="57">
        <v>19067.88</v>
      </c>
    </row>
    <row r="243" spans="1:28" x14ac:dyDescent="0.35">
      <c r="A243">
        <v>440</v>
      </c>
      <c r="B243">
        <v>23.16</v>
      </c>
      <c r="C243" s="57">
        <v>10190.4</v>
      </c>
    </row>
    <row r="244" spans="1:28" x14ac:dyDescent="0.35">
      <c r="A244" s="57">
        <f>SUM(A230:A243)</f>
        <v>368298.22999999992</v>
      </c>
      <c r="C244" s="57">
        <f>SUM(C230:C243)</f>
        <v>8534958.540000001</v>
      </c>
    </row>
    <row r="245" spans="1:28" x14ac:dyDescent="0.35">
      <c r="B245" t="s">
        <v>141</v>
      </c>
      <c r="C245" s="59">
        <f>C244/A244</f>
        <v>23.174041699847439</v>
      </c>
    </row>
    <row r="246" spans="1:28" x14ac:dyDescent="0.35">
      <c r="B246" t="s">
        <v>142</v>
      </c>
      <c r="C246" s="59">
        <f>C245/8</f>
        <v>2.8967552124809299</v>
      </c>
    </row>
    <row r="247" spans="1:28" x14ac:dyDescent="0.35">
      <c r="B247" t="s">
        <v>143</v>
      </c>
      <c r="C247" s="59">
        <f>C246/4</f>
        <v>0.72418880312023248</v>
      </c>
    </row>
    <row r="252" spans="1:28" x14ac:dyDescent="0.35">
      <c r="B252" t="s">
        <v>144</v>
      </c>
    </row>
    <row r="253" spans="1:28" x14ac:dyDescent="0.35">
      <c r="B253" t="s">
        <v>125</v>
      </c>
      <c r="C253" t="s">
        <v>116</v>
      </c>
      <c r="P253" s="40">
        <f>P163</f>
        <v>0.30000000000000004</v>
      </c>
      <c r="Q253" s="40">
        <f t="shared" ref="Q253:AA253" si="97">Q163</f>
        <v>0.30000000000000004</v>
      </c>
      <c r="R253" s="40">
        <f t="shared" si="97"/>
        <v>0.30000000000000004</v>
      </c>
      <c r="S253" s="40">
        <f t="shared" si="97"/>
        <v>0.30000000000000004</v>
      </c>
      <c r="T253" s="40">
        <f t="shared" si="97"/>
        <v>0.74419508374352383</v>
      </c>
      <c r="U253" s="40">
        <f t="shared" si="97"/>
        <v>0.53152201957415701</v>
      </c>
      <c r="V253" s="40">
        <f t="shared" si="97"/>
        <v>0.48583115845251479</v>
      </c>
      <c r="W253" s="40">
        <f t="shared" si="97"/>
        <v>0.45672799610836934</v>
      </c>
      <c r="X253" s="40">
        <f t="shared" si="97"/>
        <v>0.45574934196019845</v>
      </c>
      <c r="Y253" s="40">
        <f t="shared" si="97"/>
        <v>0.43371982734219533</v>
      </c>
      <c r="Z253" s="40">
        <f t="shared" si="97"/>
        <v>0.44805010496960956</v>
      </c>
      <c r="AA253" s="40">
        <f t="shared" si="97"/>
        <v>0.44805010496960956</v>
      </c>
      <c r="AB253" s="40"/>
    </row>
    <row r="254" spans="1:28" x14ac:dyDescent="0.35">
      <c r="B254" t="s">
        <v>125</v>
      </c>
      <c r="C254" t="s">
        <v>117</v>
      </c>
      <c r="P254" s="40">
        <f t="shared" ref="P254:AA258" si="98">P164</f>
        <v>0.12</v>
      </c>
      <c r="Q254" s="40">
        <f t="shared" si="98"/>
        <v>0.12</v>
      </c>
      <c r="R254" s="40">
        <f t="shared" si="98"/>
        <v>0.12</v>
      </c>
      <c r="S254" s="40">
        <f t="shared" si="98"/>
        <v>0.12</v>
      </c>
      <c r="T254" s="40">
        <f t="shared" si="98"/>
        <v>0.5641950837435239</v>
      </c>
      <c r="U254" s="40">
        <f t="shared" si="98"/>
        <v>0.35152201957415685</v>
      </c>
      <c r="V254" s="40">
        <f t="shared" si="98"/>
        <v>0.30583115845251474</v>
      </c>
      <c r="W254" s="40">
        <f t="shared" si="98"/>
        <v>0.27672799610836929</v>
      </c>
      <c r="X254" s="40">
        <f t="shared" si="98"/>
        <v>0.27574934196019835</v>
      </c>
      <c r="Y254" s="40">
        <f t="shared" si="98"/>
        <v>0.25371982734219528</v>
      </c>
      <c r="Z254" s="40">
        <f t="shared" si="98"/>
        <v>0.26805010496960946</v>
      </c>
      <c r="AA254" s="40">
        <f t="shared" si="98"/>
        <v>0.26805010496960952</v>
      </c>
      <c r="AB254" s="40"/>
    </row>
    <row r="255" spans="1:28" x14ac:dyDescent="0.35">
      <c r="B255" t="s">
        <v>125</v>
      </c>
      <c r="C255" t="s">
        <v>118</v>
      </c>
      <c r="P255" s="40">
        <f t="shared" si="98"/>
        <v>0.14000000000000001</v>
      </c>
      <c r="Q255" s="40">
        <f t="shared" si="98"/>
        <v>0.14000000000000001</v>
      </c>
      <c r="R255" s="40">
        <f t="shared" si="98"/>
        <v>0.14000000000000001</v>
      </c>
      <c r="S255" s="40">
        <f t="shared" si="98"/>
        <v>1.2349606808738591</v>
      </c>
      <c r="T255" s="40">
        <f t="shared" si="98"/>
        <v>0.5841950837435238</v>
      </c>
      <c r="U255" s="40">
        <f t="shared" si="98"/>
        <v>0.37152201957415687</v>
      </c>
      <c r="V255" s="40">
        <f t="shared" si="98"/>
        <v>0.32583115845251476</v>
      </c>
      <c r="W255" s="40">
        <f t="shared" si="98"/>
        <v>0.29672799610836931</v>
      </c>
      <c r="X255" s="40">
        <f t="shared" si="98"/>
        <v>0.29574934196019842</v>
      </c>
      <c r="Y255" s="40">
        <f t="shared" si="98"/>
        <v>0.2737198273421953</v>
      </c>
      <c r="Z255" s="40">
        <f t="shared" si="98"/>
        <v>0.28805010496960959</v>
      </c>
      <c r="AA255" s="40">
        <f t="shared" si="98"/>
        <v>0.28805010496960959</v>
      </c>
      <c r="AB255" s="40"/>
    </row>
    <row r="256" spans="1:28" x14ac:dyDescent="0.35">
      <c r="B256" t="s">
        <v>125</v>
      </c>
      <c r="C256" t="s">
        <v>119</v>
      </c>
      <c r="P256" s="40">
        <f t="shared" si="98"/>
        <v>0.25</v>
      </c>
      <c r="Q256" s="40">
        <f t="shared" si="98"/>
        <v>0.25</v>
      </c>
      <c r="R256" s="40">
        <f t="shared" si="98"/>
        <v>0.25</v>
      </c>
      <c r="S256" s="40">
        <f t="shared" si="98"/>
        <v>1.3449606808738588</v>
      </c>
      <c r="T256" s="40">
        <f t="shared" si="98"/>
        <v>0.69419508374352379</v>
      </c>
      <c r="U256" s="40">
        <f t="shared" si="98"/>
        <v>0.48152201957415686</v>
      </c>
      <c r="V256" s="40">
        <f t="shared" si="98"/>
        <v>0.43583115845251474</v>
      </c>
      <c r="W256" s="40">
        <f t="shared" si="98"/>
        <v>0.40672799610836929</v>
      </c>
      <c r="X256" s="40">
        <f t="shared" si="98"/>
        <v>0.40574934196019835</v>
      </c>
      <c r="Y256" s="40">
        <f t="shared" si="98"/>
        <v>0.38371982734219529</v>
      </c>
      <c r="Z256" s="40">
        <f t="shared" si="98"/>
        <v>0.39805010496960952</v>
      </c>
      <c r="AA256" s="40">
        <f t="shared" si="98"/>
        <v>0.39805010496960952</v>
      </c>
      <c r="AB256" s="40"/>
    </row>
    <row r="257" spans="2:28" x14ac:dyDescent="0.35">
      <c r="B257" t="s">
        <v>125</v>
      </c>
      <c r="C257" t="s">
        <v>120</v>
      </c>
      <c r="P257" s="40">
        <f t="shared" si="98"/>
        <v>0.112</v>
      </c>
      <c r="Q257" s="40">
        <f t="shared" si="98"/>
        <v>0.112</v>
      </c>
      <c r="R257" s="40">
        <f t="shared" si="98"/>
        <v>0.112</v>
      </c>
      <c r="S257" s="40">
        <f t="shared" si="98"/>
        <v>1.2069606808738589</v>
      </c>
      <c r="T257" s="40">
        <f t="shared" si="98"/>
        <v>0.55619508374352389</v>
      </c>
      <c r="U257" s="40">
        <f t="shared" si="98"/>
        <v>0.112</v>
      </c>
      <c r="V257" s="40">
        <f t="shared" si="98"/>
        <v>0.112</v>
      </c>
      <c r="W257" s="40">
        <f t="shared" si="98"/>
        <v>0.112</v>
      </c>
      <c r="X257" s="40">
        <f t="shared" si="98"/>
        <v>0.112</v>
      </c>
      <c r="Y257" s="40">
        <f t="shared" si="98"/>
        <v>0.24571982734219527</v>
      </c>
      <c r="Z257" s="40">
        <f t="shared" si="98"/>
        <v>0.26005010496960951</v>
      </c>
      <c r="AA257" s="40">
        <f t="shared" si="98"/>
        <v>0.26005010496960951</v>
      </c>
      <c r="AB257" s="40"/>
    </row>
    <row r="258" spans="2:28" x14ac:dyDescent="0.35">
      <c r="B258" t="s">
        <v>125</v>
      </c>
      <c r="C258" t="s">
        <v>121</v>
      </c>
      <c r="P258" s="40">
        <f t="shared" si="98"/>
        <v>0.1</v>
      </c>
      <c r="Q258" s="40">
        <f t="shared" si="98"/>
        <v>0.1</v>
      </c>
      <c r="R258" s="40">
        <f t="shared" si="98"/>
        <v>0.1</v>
      </c>
      <c r="S258" s="40">
        <f t="shared" si="98"/>
        <v>0.1</v>
      </c>
      <c r="T258" s="40">
        <f t="shared" si="98"/>
        <v>0.1</v>
      </c>
      <c r="U258" s="40">
        <f t="shared" si="98"/>
        <v>0.1</v>
      </c>
      <c r="V258" s="40">
        <f t="shared" si="98"/>
        <v>0.1</v>
      </c>
      <c r="W258" s="40">
        <f t="shared" si="98"/>
        <v>0.1</v>
      </c>
      <c r="X258" s="40">
        <f t="shared" si="98"/>
        <v>0.1</v>
      </c>
      <c r="Y258" s="40">
        <f t="shared" si="98"/>
        <v>0.1</v>
      </c>
      <c r="Z258" s="40">
        <f t="shared" si="98"/>
        <v>0.1</v>
      </c>
      <c r="AA258" s="40">
        <f t="shared" si="98"/>
        <v>0.1</v>
      </c>
      <c r="AB258" s="40"/>
    </row>
    <row r="260" spans="2:28" x14ac:dyDescent="0.35">
      <c r="B260" t="s">
        <v>145</v>
      </c>
    </row>
    <row r="261" spans="2:28" x14ac:dyDescent="0.35">
      <c r="B261" t="s">
        <v>127</v>
      </c>
      <c r="C261" t="s">
        <v>116</v>
      </c>
      <c r="P261" s="40">
        <f>P177</f>
        <v>0.72418880312023248</v>
      </c>
      <c r="Q261" s="40">
        <f t="shared" ref="Q261:AA261" si="99">Q177</f>
        <v>0.72418880312023248</v>
      </c>
      <c r="R261" s="40">
        <f t="shared" si="99"/>
        <v>0.72418880312023248</v>
      </c>
      <c r="S261" s="40">
        <f t="shared" si="99"/>
        <v>0.72418880312023248</v>
      </c>
      <c r="T261" s="40">
        <f t="shared" si="99"/>
        <v>0.72418880312023248</v>
      </c>
      <c r="U261" s="40">
        <f t="shared" si="99"/>
        <v>0.72418880312023248</v>
      </c>
      <c r="V261" s="40">
        <f t="shared" si="99"/>
        <v>0.72418880312023248</v>
      </c>
      <c r="W261" s="40">
        <f t="shared" si="99"/>
        <v>0.72418880312023248</v>
      </c>
      <c r="X261" s="40">
        <f t="shared" si="99"/>
        <v>0.72418880312023248</v>
      </c>
      <c r="Y261" s="40">
        <f t="shared" si="99"/>
        <v>0.72418880312023248</v>
      </c>
      <c r="Z261" s="40">
        <f t="shared" si="99"/>
        <v>0.72418880312023248</v>
      </c>
      <c r="AA261" s="40">
        <f t="shared" si="99"/>
        <v>0.72418880312023248</v>
      </c>
      <c r="AB261" s="40"/>
    </row>
    <row r="262" spans="2:28" x14ac:dyDescent="0.35">
      <c r="B262" t="s">
        <v>127</v>
      </c>
      <c r="C262" t="s">
        <v>117</v>
      </c>
      <c r="P262" s="40">
        <f t="shared" ref="P262:AA266" si="100">P178</f>
        <v>0.35</v>
      </c>
      <c r="Q262" s="40">
        <f t="shared" si="100"/>
        <v>0.35</v>
      </c>
      <c r="R262" s="40">
        <f t="shared" si="100"/>
        <v>0.35</v>
      </c>
      <c r="S262" s="40">
        <f t="shared" si="100"/>
        <v>0.35</v>
      </c>
      <c r="T262" s="40">
        <f t="shared" si="100"/>
        <v>0.35</v>
      </c>
      <c r="U262" s="40">
        <f t="shared" si="100"/>
        <v>0.35</v>
      </c>
      <c r="V262" s="40">
        <f t="shared" si="100"/>
        <v>0.35</v>
      </c>
      <c r="W262" s="40">
        <f t="shared" si="100"/>
        <v>0.35</v>
      </c>
      <c r="X262" s="40">
        <f t="shared" si="100"/>
        <v>0.35</v>
      </c>
      <c r="Y262" s="40">
        <f t="shared" si="100"/>
        <v>0.35</v>
      </c>
      <c r="Z262" s="40">
        <f t="shared" si="100"/>
        <v>0.35</v>
      </c>
      <c r="AA262" s="40">
        <f t="shared" si="100"/>
        <v>0.35</v>
      </c>
      <c r="AB262" s="40"/>
    </row>
    <row r="263" spans="2:28" x14ac:dyDescent="0.35">
      <c r="B263" t="s">
        <v>127</v>
      </c>
      <c r="C263" t="s">
        <v>118</v>
      </c>
      <c r="P263" s="40">
        <f t="shared" si="100"/>
        <v>0.33333333333333331</v>
      </c>
      <c r="Q263" s="40">
        <f t="shared" si="100"/>
        <v>0.33333333333333331</v>
      </c>
      <c r="R263" s="40">
        <f t="shared" si="100"/>
        <v>0.33333333333333331</v>
      </c>
      <c r="S263" s="40">
        <f t="shared" si="100"/>
        <v>0.33333333333333331</v>
      </c>
      <c r="T263" s="40">
        <f t="shared" si="100"/>
        <v>0.33333333333333331</v>
      </c>
      <c r="U263" s="40">
        <f t="shared" si="100"/>
        <v>0.33333333333333331</v>
      </c>
      <c r="V263" s="40">
        <f t="shared" si="100"/>
        <v>0.33333333333333331</v>
      </c>
      <c r="W263" s="40">
        <f t="shared" si="100"/>
        <v>0.33333333333333331</v>
      </c>
      <c r="X263" s="40">
        <f t="shared" si="100"/>
        <v>0.33333333333333331</v>
      </c>
      <c r="Y263" s="40">
        <f t="shared" si="100"/>
        <v>0.33333333333333331</v>
      </c>
      <c r="Z263" s="40">
        <f t="shared" si="100"/>
        <v>0.33333333333333331</v>
      </c>
      <c r="AA263" s="40">
        <f t="shared" si="100"/>
        <v>0.33333333333333331</v>
      </c>
      <c r="AB263" s="40"/>
    </row>
    <row r="264" spans="2:28" x14ac:dyDescent="0.35">
      <c r="B264" t="s">
        <v>127</v>
      </c>
      <c r="C264" t="s">
        <v>119</v>
      </c>
      <c r="P264" s="40">
        <f t="shared" si="100"/>
        <v>0.6</v>
      </c>
      <c r="Q264" s="40">
        <f t="shared" si="100"/>
        <v>0.6</v>
      </c>
      <c r="R264" s="40">
        <f t="shared" si="100"/>
        <v>0.6</v>
      </c>
      <c r="S264" s="40">
        <f t="shared" si="100"/>
        <v>0.6</v>
      </c>
      <c r="T264" s="40">
        <f t="shared" si="100"/>
        <v>0.6</v>
      </c>
      <c r="U264" s="40">
        <f t="shared" si="100"/>
        <v>0.6</v>
      </c>
      <c r="V264" s="40">
        <f t="shared" si="100"/>
        <v>0.6</v>
      </c>
      <c r="W264" s="40">
        <f t="shared" si="100"/>
        <v>0.6</v>
      </c>
      <c r="X264" s="40">
        <f t="shared" si="100"/>
        <v>0.6</v>
      </c>
      <c r="Y264" s="40">
        <f t="shared" si="100"/>
        <v>0.6</v>
      </c>
      <c r="Z264" s="40">
        <f t="shared" si="100"/>
        <v>0.6</v>
      </c>
      <c r="AA264" s="40">
        <f t="shared" si="100"/>
        <v>0.6</v>
      </c>
      <c r="AB264" s="40"/>
    </row>
    <row r="265" spans="2:28" x14ac:dyDescent="0.35">
      <c r="B265" t="s">
        <v>127</v>
      </c>
      <c r="C265" t="s">
        <v>120</v>
      </c>
      <c r="P265" s="40">
        <f t="shared" si="100"/>
        <v>0.33</v>
      </c>
      <c r="Q265" s="40">
        <f t="shared" si="100"/>
        <v>0.33</v>
      </c>
      <c r="R265" s="40">
        <f t="shared" si="100"/>
        <v>0.33</v>
      </c>
      <c r="S265" s="40">
        <f t="shared" si="100"/>
        <v>0.33</v>
      </c>
      <c r="T265" s="40">
        <f t="shared" si="100"/>
        <v>0.33</v>
      </c>
      <c r="U265" s="40">
        <f t="shared" si="100"/>
        <v>0.33</v>
      </c>
      <c r="V265" s="40">
        <f t="shared" si="100"/>
        <v>0.33</v>
      </c>
      <c r="W265" s="40">
        <f t="shared" si="100"/>
        <v>0.33</v>
      </c>
      <c r="X265" s="40">
        <f t="shared" si="100"/>
        <v>0.33</v>
      </c>
      <c r="Y265" s="40">
        <f t="shared" si="100"/>
        <v>0.33</v>
      </c>
      <c r="Z265" s="40">
        <f t="shared" si="100"/>
        <v>0.33</v>
      </c>
      <c r="AA265" s="40">
        <f t="shared" si="100"/>
        <v>0.33</v>
      </c>
      <c r="AB265" s="40"/>
    </row>
    <row r="266" spans="2:28" x14ac:dyDescent="0.35">
      <c r="B266" t="s">
        <v>127</v>
      </c>
      <c r="C266" t="s">
        <v>121</v>
      </c>
      <c r="P266" s="40">
        <f t="shared" si="100"/>
        <v>0.25</v>
      </c>
      <c r="Q266" s="40">
        <f t="shared" si="100"/>
        <v>0.25</v>
      </c>
      <c r="R266" s="40">
        <f t="shared" si="100"/>
        <v>0.25</v>
      </c>
      <c r="S266" s="40">
        <f t="shared" si="100"/>
        <v>0.25</v>
      </c>
      <c r="T266" s="40">
        <f t="shared" si="100"/>
        <v>0.25</v>
      </c>
      <c r="U266" s="40">
        <f t="shared" si="100"/>
        <v>0.25</v>
      </c>
      <c r="V266" s="40">
        <f t="shared" si="100"/>
        <v>0.25</v>
      </c>
      <c r="W266" s="40">
        <f t="shared" si="100"/>
        <v>0.25</v>
      </c>
      <c r="X266" s="40">
        <f t="shared" si="100"/>
        <v>0.25</v>
      </c>
      <c r="Y266" s="40">
        <f t="shared" si="100"/>
        <v>0.25</v>
      </c>
      <c r="Z266" s="40">
        <f t="shared" si="100"/>
        <v>0.25</v>
      </c>
      <c r="AA266" s="40">
        <f t="shared" si="100"/>
        <v>0.25</v>
      </c>
      <c r="AB266" s="40"/>
    </row>
    <row r="269" spans="2:28" outlineLevel="1" x14ac:dyDescent="0.35">
      <c r="B269" t="s">
        <v>146</v>
      </c>
    </row>
    <row r="270" spans="2:28" outlineLevel="1" x14ac:dyDescent="0.35">
      <c r="C270" t="s">
        <v>45</v>
      </c>
    </row>
    <row r="271" spans="2:28" outlineLevel="1" x14ac:dyDescent="0.35">
      <c r="C271" s="34" t="s">
        <v>46</v>
      </c>
      <c r="P271" s="35">
        <f t="shared" ref="P271:AA273" si="101">P6</f>
        <v>1871965.606803996</v>
      </c>
      <c r="Q271" s="35">
        <f t="shared" si="101"/>
        <v>1095184.9199430179</v>
      </c>
      <c r="R271" s="35">
        <f t="shared" si="101"/>
        <v>1185171.7819489613</v>
      </c>
      <c r="S271" s="35">
        <f t="shared" si="101"/>
        <v>1144529.0733811308</v>
      </c>
      <c r="T271" s="35">
        <f t="shared" si="101"/>
        <v>986224.73731600761</v>
      </c>
      <c r="U271" s="35">
        <f t="shared" si="101"/>
        <v>1023030.1171324417</v>
      </c>
      <c r="V271" s="35">
        <f t="shared" si="101"/>
        <v>1116891.479141077</v>
      </c>
      <c r="W271" s="35">
        <f t="shared" si="101"/>
        <v>1017796.724005963</v>
      </c>
      <c r="X271" s="35">
        <f t="shared" si="101"/>
        <v>874056.32756560086</v>
      </c>
      <c r="Y271" s="35">
        <f t="shared" si="101"/>
        <v>1168080.2774983186</v>
      </c>
      <c r="Z271" s="35">
        <f t="shared" si="101"/>
        <v>892164.95306255517</v>
      </c>
      <c r="AA271" s="35">
        <f t="shared" si="101"/>
        <v>859002.45415805734</v>
      </c>
      <c r="AB271" s="35"/>
    </row>
    <row r="272" spans="2:28" outlineLevel="1" x14ac:dyDescent="0.35">
      <c r="C272" s="34" t="s">
        <v>47</v>
      </c>
      <c r="P272" s="35">
        <f t="shared" si="101"/>
        <v>0</v>
      </c>
      <c r="Q272" s="35">
        <f t="shared" si="101"/>
        <v>0</v>
      </c>
      <c r="R272" s="35">
        <f t="shared" si="101"/>
        <v>0</v>
      </c>
      <c r="S272" s="35">
        <f t="shared" si="101"/>
        <v>0</v>
      </c>
      <c r="T272" s="35">
        <f t="shared" si="101"/>
        <v>298139.18821853894</v>
      </c>
      <c r="U272" s="35">
        <f t="shared" si="101"/>
        <v>313206.98821289866</v>
      </c>
      <c r="V272" s="35">
        <f t="shared" si="101"/>
        <v>511309.97642579745</v>
      </c>
      <c r="W272" s="35">
        <f t="shared" si="101"/>
        <v>334705.59410926944</v>
      </c>
      <c r="X272" s="35">
        <f t="shared" si="101"/>
        <v>357539.18821853888</v>
      </c>
      <c r="Y272" s="35">
        <f t="shared" si="101"/>
        <v>412673.59410926944</v>
      </c>
      <c r="Z272" s="35">
        <f t="shared" si="101"/>
        <v>357539.18821853888</v>
      </c>
      <c r="AA272" s="35">
        <f t="shared" si="101"/>
        <v>334705.59410926944</v>
      </c>
      <c r="AB272" s="35"/>
    </row>
    <row r="273" spans="2:28" outlineLevel="1" x14ac:dyDescent="0.35">
      <c r="C273" s="34" t="s">
        <v>48</v>
      </c>
      <c r="P273" s="35">
        <f t="shared" si="101"/>
        <v>2337247.5256016636</v>
      </c>
      <c r="Q273" s="35">
        <f t="shared" si="101"/>
        <v>1638484.1281490885</v>
      </c>
      <c r="R273" s="35">
        <f t="shared" si="101"/>
        <v>2077402.3332812451</v>
      </c>
      <c r="S273" s="35">
        <f t="shared" si="101"/>
        <v>2047275.2436426086</v>
      </c>
      <c r="T273" s="35">
        <f t="shared" si="101"/>
        <v>1703358.370636892</v>
      </c>
      <c r="U273" s="35">
        <f t="shared" si="101"/>
        <v>1735736.0278597623</v>
      </c>
      <c r="V273" s="35">
        <f t="shared" si="101"/>
        <v>1941223.4761660662</v>
      </c>
      <c r="W273" s="35">
        <f t="shared" si="101"/>
        <v>2473675.4535735543</v>
      </c>
      <c r="X273" s="35">
        <f t="shared" si="101"/>
        <v>2763100.7137016663</v>
      </c>
      <c r="Y273" s="35">
        <f t="shared" si="101"/>
        <v>3271888.5579727218</v>
      </c>
      <c r="Z273" s="35">
        <f t="shared" si="101"/>
        <v>2583304.4336221544</v>
      </c>
      <c r="AA273" s="35">
        <f t="shared" si="101"/>
        <v>2606431.8622601377</v>
      </c>
      <c r="AB273" s="35"/>
    </row>
    <row r="274" spans="2:28" outlineLevel="1" x14ac:dyDescent="0.35"/>
    <row r="275" spans="2:28" outlineLevel="1" x14ac:dyDescent="0.35">
      <c r="C275" t="s">
        <v>49</v>
      </c>
    </row>
    <row r="276" spans="2:28" outlineLevel="1" x14ac:dyDescent="0.35">
      <c r="C276" s="34" t="s">
        <v>46</v>
      </c>
      <c r="P276" s="35">
        <f t="shared" ref="P276:AA278" si="102">P11</f>
        <v>243800</v>
      </c>
      <c r="Q276" s="35">
        <f t="shared" si="102"/>
        <v>28000</v>
      </c>
      <c r="R276" s="35">
        <f t="shared" si="102"/>
        <v>169100</v>
      </c>
      <c r="S276" s="35">
        <f t="shared" si="102"/>
        <v>334500</v>
      </c>
      <c r="T276" s="35">
        <f t="shared" si="102"/>
        <v>190700</v>
      </c>
      <c r="U276" s="35">
        <f t="shared" si="102"/>
        <v>169100</v>
      </c>
      <c r="V276" s="35">
        <f t="shared" si="102"/>
        <v>82500</v>
      </c>
      <c r="W276" s="35">
        <f t="shared" si="102"/>
        <v>176300</v>
      </c>
      <c r="X276" s="35">
        <f t="shared" si="102"/>
        <v>161900</v>
      </c>
      <c r="Y276" s="35">
        <f t="shared" si="102"/>
        <v>776900</v>
      </c>
      <c r="Z276" s="35">
        <f t="shared" si="102"/>
        <v>654700</v>
      </c>
      <c r="AA276" s="35">
        <f t="shared" si="102"/>
        <v>575500</v>
      </c>
      <c r="AB276" s="35"/>
    </row>
    <row r="277" spans="2:28" outlineLevel="1" x14ac:dyDescent="0.35">
      <c r="C277" s="34" t="s">
        <v>47</v>
      </c>
      <c r="P277" s="35">
        <f t="shared" si="102"/>
        <v>52500</v>
      </c>
      <c r="Q277" s="35">
        <f t="shared" si="102"/>
        <v>52500</v>
      </c>
      <c r="R277" s="35">
        <f t="shared" si="102"/>
        <v>63000</v>
      </c>
      <c r="S277" s="35">
        <f t="shared" si="102"/>
        <v>63000</v>
      </c>
      <c r="T277" s="35">
        <f t="shared" si="102"/>
        <v>63000</v>
      </c>
      <c r="U277" s="35">
        <f t="shared" si="102"/>
        <v>0</v>
      </c>
      <c r="V277" s="35">
        <f t="shared" si="102"/>
        <v>0</v>
      </c>
      <c r="W277" s="35">
        <f t="shared" si="102"/>
        <v>0</v>
      </c>
      <c r="X277" s="35">
        <f t="shared" si="102"/>
        <v>0</v>
      </c>
      <c r="Y277" s="35">
        <f t="shared" si="102"/>
        <v>490000</v>
      </c>
      <c r="Z277" s="35">
        <f t="shared" si="102"/>
        <v>490000</v>
      </c>
      <c r="AA277" s="35">
        <f t="shared" si="102"/>
        <v>490000</v>
      </c>
      <c r="AB277" s="35"/>
    </row>
    <row r="278" spans="2:28" outlineLevel="1" x14ac:dyDescent="0.35">
      <c r="C278" s="34" t="s">
        <v>48</v>
      </c>
      <c r="P278" s="35">
        <f t="shared" si="102"/>
        <v>0</v>
      </c>
      <c r="Q278" s="35">
        <f t="shared" si="102"/>
        <v>0</v>
      </c>
      <c r="R278" s="35">
        <f t="shared" si="102"/>
        <v>0</v>
      </c>
      <c r="S278" s="35">
        <f t="shared" si="102"/>
        <v>0</v>
      </c>
      <c r="T278" s="35">
        <f t="shared" si="102"/>
        <v>0</v>
      </c>
      <c r="U278" s="35">
        <f t="shared" si="102"/>
        <v>0</v>
      </c>
      <c r="V278" s="35">
        <f t="shared" si="102"/>
        <v>0</v>
      </c>
      <c r="W278" s="35">
        <f t="shared" si="102"/>
        <v>0</v>
      </c>
      <c r="X278" s="35">
        <f t="shared" si="102"/>
        <v>0</v>
      </c>
      <c r="Y278" s="35">
        <f t="shared" si="102"/>
        <v>0</v>
      </c>
      <c r="Z278" s="35">
        <f t="shared" si="102"/>
        <v>0</v>
      </c>
      <c r="AA278" s="35">
        <f t="shared" si="102"/>
        <v>0</v>
      </c>
      <c r="AB278" s="35"/>
    </row>
    <row r="279" spans="2:28" outlineLevel="1" x14ac:dyDescent="0.35"/>
    <row r="280" spans="2:28" outlineLevel="1" x14ac:dyDescent="0.35">
      <c r="C280" t="s">
        <v>50</v>
      </c>
    </row>
    <row r="281" spans="2:28" outlineLevel="1" x14ac:dyDescent="0.35">
      <c r="C281" s="34" t="s">
        <v>46</v>
      </c>
      <c r="P281" s="35">
        <f t="shared" ref="P281:AA283" si="103">P16</f>
        <v>61399.771095238095</v>
      </c>
      <c r="Q281" s="35">
        <f t="shared" si="103"/>
        <v>52580.067952380952</v>
      </c>
      <c r="R281" s="35">
        <f t="shared" si="103"/>
        <v>58464.09723809523</v>
      </c>
      <c r="S281" s="35">
        <f t="shared" si="103"/>
        <v>67019.429142857145</v>
      </c>
      <c r="T281" s="35">
        <f t="shared" si="103"/>
        <v>60567.920142857132</v>
      </c>
      <c r="U281" s="35">
        <f t="shared" si="103"/>
        <v>66218.247714285724</v>
      </c>
      <c r="V281" s="35">
        <f t="shared" si="103"/>
        <v>114190.93538095237</v>
      </c>
      <c r="W281" s="35">
        <f t="shared" si="103"/>
        <v>63702.190047619042</v>
      </c>
      <c r="X281" s="35">
        <f t="shared" si="103"/>
        <v>53710.500619047627</v>
      </c>
      <c r="Y281" s="35">
        <f t="shared" si="103"/>
        <v>66430.115047619052</v>
      </c>
      <c r="Z281" s="35">
        <f t="shared" si="103"/>
        <v>47246.64332429647</v>
      </c>
      <c r="AA281" s="35">
        <f t="shared" si="103"/>
        <v>50661.677321597803</v>
      </c>
      <c r="AB281" s="35"/>
    </row>
    <row r="282" spans="2:28" outlineLevel="1" x14ac:dyDescent="0.35">
      <c r="C282" s="34" t="s">
        <v>47</v>
      </c>
      <c r="P282" s="35">
        <f t="shared" si="103"/>
        <v>0</v>
      </c>
      <c r="Q282" s="35">
        <f t="shared" si="103"/>
        <v>0</v>
      </c>
      <c r="R282" s="35">
        <f t="shared" si="103"/>
        <v>0</v>
      </c>
      <c r="S282" s="35">
        <f t="shared" si="103"/>
        <v>0</v>
      </c>
      <c r="T282" s="35">
        <f t="shared" si="103"/>
        <v>0</v>
      </c>
      <c r="U282" s="35">
        <f t="shared" si="103"/>
        <v>0</v>
      </c>
      <c r="V282" s="35">
        <f t="shared" si="103"/>
        <v>0</v>
      </c>
      <c r="W282" s="35">
        <f t="shared" si="103"/>
        <v>0</v>
      </c>
      <c r="X282" s="35">
        <f t="shared" si="103"/>
        <v>0</v>
      </c>
      <c r="Y282" s="35">
        <f t="shared" si="103"/>
        <v>0</v>
      </c>
      <c r="Z282" s="35">
        <f t="shared" si="103"/>
        <v>0</v>
      </c>
      <c r="AA282" s="35">
        <f t="shared" si="103"/>
        <v>0</v>
      </c>
      <c r="AB282" s="35"/>
    </row>
    <row r="283" spans="2:28" outlineLevel="1" x14ac:dyDescent="0.35">
      <c r="C283" s="34" t="s">
        <v>48</v>
      </c>
      <c r="P283" s="35">
        <f t="shared" si="103"/>
        <v>0</v>
      </c>
      <c r="Q283" s="35">
        <f t="shared" si="103"/>
        <v>0</v>
      </c>
      <c r="R283" s="35">
        <f t="shared" si="103"/>
        <v>0</v>
      </c>
      <c r="S283" s="35">
        <f t="shared" si="103"/>
        <v>0</v>
      </c>
      <c r="T283" s="35">
        <f t="shared" si="103"/>
        <v>0</v>
      </c>
      <c r="U283" s="35">
        <f t="shared" si="103"/>
        <v>0</v>
      </c>
      <c r="V283" s="35">
        <f t="shared" si="103"/>
        <v>0</v>
      </c>
      <c r="W283" s="35">
        <f t="shared" si="103"/>
        <v>0</v>
      </c>
      <c r="X283" s="35">
        <f t="shared" si="103"/>
        <v>0</v>
      </c>
      <c r="Y283" s="35">
        <f t="shared" si="103"/>
        <v>0</v>
      </c>
      <c r="Z283" s="35">
        <f t="shared" si="103"/>
        <v>0</v>
      </c>
      <c r="AA283" s="35">
        <f t="shared" si="103"/>
        <v>0</v>
      </c>
      <c r="AB283" s="35"/>
    </row>
    <row r="284" spans="2:28" outlineLevel="1" x14ac:dyDescent="0.35"/>
    <row r="285" spans="2:28" x14ac:dyDescent="0.35">
      <c r="B285" s="60"/>
    </row>
    <row r="286" spans="2:28" x14ac:dyDescent="0.35">
      <c r="B286" t="s">
        <v>147</v>
      </c>
    </row>
    <row r="287" spans="2:28" x14ac:dyDescent="0.35">
      <c r="C287" s="34" t="s">
        <v>116</v>
      </c>
      <c r="P287" s="35">
        <f>P201</f>
        <v>0</v>
      </c>
      <c r="Q287" s="35">
        <f t="shared" ref="Q287:AA287" si="104">Q193</f>
        <v>0</v>
      </c>
      <c r="R287" s="35">
        <f t="shared" si="104"/>
        <v>0</v>
      </c>
      <c r="S287" s="35">
        <f t="shared" si="104"/>
        <v>0</v>
      </c>
      <c r="T287" s="35">
        <f t="shared" si="104"/>
        <v>77963.454746351228</v>
      </c>
      <c r="U287" s="35">
        <f t="shared" si="104"/>
        <v>608106.26409525704</v>
      </c>
      <c r="V287" s="35">
        <f t="shared" si="104"/>
        <v>1123121.8437093298</v>
      </c>
      <c r="W287" s="35">
        <f t="shared" si="104"/>
        <v>1214037.7490585204</v>
      </c>
      <c r="X287" s="35">
        <f t="shared" si="104"/>
        <v>1080040.830715663</v>
      </c>
      <c r="Y287" s="35">
        <f t="shared" si="104"/>
        <v>989933.97965232329</v>
      </c>
      <c r="Z287" s="35">
        <f t="shared" si="104"/>
        <v>783221.40466149349</v>
      </c>
      <c r="AA287" s="35">
        <f t="shared" si="104"/>
        <v>844018.68326861609</v>
      </c>
      <c r="AB287" s="35"/>
    </row>
    <row r="288" spans="2:28" x14ac:dyDescent="0.35">
      <c r="C288" s="34" t="s">
        <v>117</v>
      </c>
      <c r="P288" s="35">
        <f t="shared" ref="P288:AA292" si="105">P194</f>
        <v>0</v>
      </c>
      <c r="Q288" s="35">
        <f t="shared" si="105"/>
        <v>0</v>
      </c>
      <c r="R288" s="35">
        <f t="shared" si="105"/>
        <v>0</v>
      </c>
      <c r="S288" s="35">
        <f t="shared" si="105"/>
        <v>0</v>
      </c>
      <c r="T288" s="35">
        <f t="shared" si="105"/>
        <v>23568.625110791647</v>
      </c>
      <c r="U288" s="35">
        <f t="shared" si="105"/>
        <v>186175.48819045722</v>
      </c>
      <c r="V288" s="35">
        <f t="shared" si="105"/>
        <v>514162.22090971755</v>
      </c>
      <c r="W288" s="35">
        <f t="shared" si="105"/>
        <v>399240.06089386041</v>
      </c>
      <c r="X288" s="35">
        <f t="shared" si="105"/>
        <v>441798.66866528941</v>
      </c>
      <c r="Y288" s="35">
        <f t="shared" si="105"/>
        <v>349735.90530005738</v>
      </c>
      <c r="Z288" s="35">
        <f t="shared" si="105"/>
        <v>313879.5625817632</v>
      </c>
      <c r="AA288" s="35">
        <f t="shared" si="105"/>
        <v>328867.24997733894</v>
      </c>
      <c r="AB288" s="35"/>
    </row>
    <row r="289" spans="2:29" x14ac:dyDescent="0.35">
      <c r="C289" s="34" t="s">
        <v>118</v>
      </c>
      <c r="P289" s="35">
        <f t="shared" si="105"/>
        <v>0</v>
      </c>
      <c r="Q289" s="35">
        <f t="shared" si="105"/>
        <v>0</v>
      </c>
      <c r="R289" s="35">
        <f t="shared" si="105"/>
        <v>0</v>
      </c>
      <c r="S289" s="35">
        <f>S195</f>
        <v>230400</v>
      </c>
      <c r="T289" s="35">
        <f t="shared" si="105"/>
        <v>576000</v>
      </c>
      <c r="U289" s="35">
        <f t="shared" si="105"/>
        <v>1152000</v>
      </c>
      <c r="V289" s="35">
        <f t="shared" si="105"/>
        <v>1658880</v>
      </c>
      <c r="W289" s="35">
        <f t="shared" si="105"/>
        <v>1728000</v>
      </c>
      <c r="X289" s="35">
        <f t="shared" si="105"/>
        <v>1969920</v>
      </c>
      <c r="Y289" s="35">
        <f t="shared" si="105"/>
        <v>2592000</v>
      </c>
      <c r="Z289" s="35">
        <f t="shared" si="105"/>
        <v>1969920</v>
      </c>
      <c r="AA289" s="35">
        <f t="shared" si="105"/>
        <v>1969920</v>
      </c>
      <c r="AB289" s="35"/>
      <c r="AC289" s="35">
        <f>Y289/135000</f>
        <v>19.2</v>
      </c>
    </row>
    <row r="290" spans="2:29" x14ac:dyDescent="0.35">
      <c r="C290" s="34" t="s">
        <v>119</v>
      </c>
      <c r="P290" s="35">
        <f t="shared" si="105"/>
        <v>0</v>
      </c>
      <c r="Q290" s="35">
        <f t="shared" si="105"/>
        <v>0</v>
      </c>
      <c r="R290" s="35">
        <f t="shared" si="105"/>
        <v>0</v>
      </c>
      <c r="S290" s="35">
        <f t="shared" si="105"/>
        <v>174600</v>
      </c>
      <c r="T290" s="35">
        <f t="shared" si="105"/>
        <v>251267.92014285713</v>
      </c>
      <c r="U290" s="35">
        <f t="shared" si="105"/>
        <v>235318.24771428574</v>
      </c>
      <c r="V290" s="35">
        <f t="shared" si="105"/>
        <v>196690.93538095237</v>
      </c>
      <c r="W290" s="35">
        <f t="shared" si="105"/>
        <v>240002.19004761905</v>
      </c>
      <c r="X290" s="35">
        <f t="shared" si="105"/>
        <v>215610.50061904761</v>
      </c>
      <c r="Y290" s="35">
        <f t="shared" si="105"/>
        <v>843330.1150476191</v>
      </c>
      <c r="Z290" s="35">
        <f t="shared" si="105"/>
        <v>701946.64332429646</v>
      </c>
      <c r="AA290" s="35">
        <f t="shared" si="105"/>
        <v>626161.67732159782</v>
      </c>
      <c r="AB290" s="35"/>
    </row>
    <row r="291" spans="2:29" x14ac:dyDescent="0.35">
      <c r="C291" s="34" t="s">
        <v>120</v>
      </c>
      <c r="P291" s="35">
        <f t="shared" si="105"/>
        <v>0</v>
      </c>
      <c r="Q291" s="35">
        <f t="shared" si="105"/>
        <v>0</v>
      </c>
      <c r="R291" s="35">
        <f t="shared" si="105"/>
        <v>0</v>
      </c>
      <c r="S291" s="35">
        <f t="shared" si="105"/>
        <v>63000</v>
      </c>
      <c r="T291" s="35">
        <f t="shared" si="105"/>
        <v>63000</v>
      </c>
      <c r="U291" s="35">
        <f t="shared" si="105"/>
        <v>0</v>
      </c>
      <c r="V291" s="35">
        <f t="shared" si="105"/>
        <v>0</v>
      </c>
      <c r="W291" s="35">
        <f t="shared" si="105"/>
        <v>0</v>
      </c>
      <c r="X291" s="35">
        <f t="shared" si="105"/>
        <v>0</v>
      </c>
      <c r="Y291" s="35">
        <f t="shared" si="105"/>
        <v>490000</v>
      </c>
      <c r="Z291" s="35">
        <f t="shared" si="105"/>
        <v>490000</v>
      </c>
      <c r="AA291" s="35">
        <f t="shared" si="105"/>
        <v>490000</v>
      </c>
      <c r="AB291" s="35"/>
    </row>
    <row r="292" spans="2:29" x14ac:dyDescent="0.35">
      <c r="C292" s="34" t="s">
        <v>121</v>
      </c>
      <c r="P292" s="35">
        <f t="shared" si="105"/>
        <v>0</v>
      </c>
      <c r="Q292" s="35">
        <f t="shared" si="105"/>
        <v>0</v>
      </c>
      <c r="R292" s="35">
        <f t="shared" si="105"/>
        <v>0</v>
      </c>
      <c r="S292" s="35">
        <f t="shared" si="105"/>
        <v>0</v>
      </c>
      <c r="T292" s="35">
        <f t="shared" si="105"/>
        <v>0</v>
      </c>
      <c r="U292" s="35">
        <f t="shared" si="105"/>
        <v>0</v>
      </c>
      <c r="V292" s="35">
        <f t="shared" si="105"/>
        <v>0</v>
      </c>
      <c r="W292" s="35">
        <f t="shared" si="105"/>
        <v>0</v>
      </c>
      <c r="X292" s="35">
        <f t="shared" si="105"/>
        <v>0</v>
      </c>
      <c r="Y292" s="35">
        <f t="shared" si="105"/>
        <v>0</v>
      </c>
      <c r="Z292" s="35">
        <f t="shared" si="105"/>
        <v>0</v>
      </c>
      <c r="AA292" s="35">
        <f t="shared" si="105"/>
        <v>0</v>
      </c>
      <c r="AB292" s="35"/>
    </row>
    <row r="294" spans="2:29" x14ac:dyDescent="0.35">
      <c r="B294" t="s">
        <v>148</v>
      </c>
    </row>
    <row r="295" spans="2:29" x14ac:dyDescent="0.35">
      <c r="C295" s="34" t="s">
        <v>116</v>
      </c>
      <c r="P295" s="61">
        <f>P287*(P253-P261)</f>
        <v>0</v>
      </c>
      <c r="Q295" s="61">
        <f t="shared" ref="Q295:AA295" si="106">Q287*(Q261-Q253)</f>
        <v>0</v>
      </c>
      <c r="R295" s="61">
        <f t="shared" si="106"/>
        <v>0</v>
      </c>
      <c r="S295" s="61">
        <f t="shared" si="106"/>
        <v>0</v>
      </c>
      <c r="T295" s="61">
        <f t="shared" si="106"/>
        <v>-1559.7587540167785</v>
      </c>
      <c r="U295" s="61">
        <f t="shared" si="106"/>
        <v>117161.8779574535</v>
      </c>
      <c r="V295" s="61">
        <f t="shared" si="106"/>
        <v>267704.67734142044</v>
      </c>
      <c r="W295" s="61">
        <f t="shared" si="106"/>
        <v>324707.51610605768</v>
      </c>
      <c r="X295" s="61">
        <f t="shared" si="106"/>
        <v>289925.57862814813</v>
      </c>
      <c r="Y295" s="61">
        <f t="shared" si="106"/>
        <v>287545.10915748664</v>
      </c>
      <c r="Z295" s="61">
        <f t="shared" si="106"/>
        <v>216277.73904692705</v>
      </c>
      <c r="AA295" s="61">
        <f t="shared" si="106"/>
        <v>233066.2204125986</v>
      </c>
      <c r="AB295" s="61"/>
    </row>
    <row r="296" spans="2:29" x14ac:dyDescent="0.35">
      <c r="C296" s="34" t="s">
        <v>117</v>
      </c>
      <c r="P296" s="61">
        <f t="shared" ref="P296:AA300" si="107">P288*(P262-P254)</f>
        <v>0</v>
      </c>
      <c r="Q296" s="61">
        <f t="shared" si="107"/>
        <v>0</v>
      </c>
      <c r="R296" s="61">
        <f t="shared" si="107"/>
        <v>0</v>
      </c>
      <c r="S296" s="61">
        <f t="shared" si="107"/>
        <v>0</v>
      </c>
      <c r="T296" s="61">
        <f t="shared" si="107"/>
        <v>-5048.2836293257378</v>
      </c>
      <c r="U296" s="61">
        <f t="shared" si="107"/>
        <v>-283.3627372540879</v>
      </c>
      <c r="V296" s="61">
        <f t="shared" si="107"/>
        <v>22709.949665064414</v>
      </c>
      <c r="W296" s="61">
        <f t="shared" si="107"/>
        <v>29253.119295509812</v>
      </c>
      <c r="X296" s="61">
        <f t="shared" si="107"/>
        <v>32803.841869506032</v>
      </c>
      <c r="Y296" s="61">
        <f t="shared" si="107"/>
        <v>33672.633346923154</v>
      </c>
      <c r="Z296" s="61">
        <f t="shared" si="107"/>
        <v>25722.397205760386</v>
      </c>
      <c r="AA296" s="61">
        <f t="shared" si="107"/>
        <v>26950.636614576106</v>
      </c>
      <c r="AB296" s="61"/>
    </row>
    <row r="297" spans="2:29" x14ac:dyDescent="0.35">
      <c r="C297" s="34" t="s">
        <v>118</v>
      </c>
      <c r="P297" s="61">
        <f t="shared" si="107"/>
        <v>0</v>
      </c>
      <c r="Q297" s="61">
        <f t="shared" si="107"/>
        <v>0</v>
      </c>
      <c r="R297" s="61">
        <f t="shared" si="107"/>
        <v>0</v>
      </c>
      <c r="S297" s="61">
        <f t="shared" si="107"/>
        <v>-207734.94087333715</v>
      </c>
      <c r="T297" s="61">
        <f t="shared" si="107"/>
        <v>-144496.36823626971</v>
      </c>
      <c r="U297" s="61">
        <f t="shared" si="107"/>
        <v>-43993.366549428734</v>
      </c>
      <c r="V297" s="61">
        <f t="shared" si="107"/>
        <v>12445.207866292289</v>
      </c>
      <c r="W297" s="61">
        <f t="shared" si="107"/>
        <v>63254.022724737806</v>
      </c>
      <c r="X297" s="61">
        <f t="shared" si="107"/>
        <v>74037.456285765889</v>
      </c>
      <c r="Y297" s="61">
        <f t="shared" si="107"/>
        <v>154518.20752902975</v>
      </c>
      <c r="Z297" s="61">
        <f t="shared" si="107"/>
        <v>89204.33721826665</v>
      </c>
      <c r="AA297" s="61">
        <f t="shared" si="107"/>
        <v>89204.33721826665</v>
      </c>
      <c r="AB297" s="61"/>
    </row>
    <row r="298" spans="2:29" x14ac:dyDescent="0.35">
      <c r="C298" s="34" t="s">
        <v>119</v>
      </c>
      <c r="P298" s="61">
        <f t="shared" si="107"/>
        <v>0</v>
      </c>
      <c r="Q298" s="61">
        <f t="shared" si="107"/>
        <v>0</v>
      </c>
      <c r="R298" s="61">
        <f t="shared" si="107"/>
        <v>0</v>
      </c>
      <c r="S298" s="61">
        <f t="shared" si="107"/>
        <v>-130070.13488057574</v>
      </c>
      <c r="T298" s="61">
        <f t="shared" si="107"/>
        <v>-23668.202779917479</v>
      </c>
      <c r="U298" s="61">
        <f t="shared" si="107"/>
        <v>27880.03074653685</v>
      </c>
      <c r="V298" s="61">
        <f t="shared" si="107"/>
        <v>32290.523004382227</v>
      </c>
      <c r="W298" s="61">
        <f t="shared" si="107"/>
        <v>46385.704208883319</v>
      </c>
      <c r="X298" s="61">
        <f t="shared" si="107"/>
        <v>41882.481625541055</v>
      </c>
      <c r="Y298" s="61">
        <f t="shared" si="107"/>
        <v>182395.58289002534</v>
      </c>
      <c r="Z298" s="61">
        <f t="shared" si="107"/>
        <v>141758.05093627659</v>
      </c>
      <c r="AA298" s="61">
        <f t="shared" si="107"/>
        <v>126453.2850071499</v>
      </c>
      <c r="AB298" s="61"/>
    </row>
    <row r="299" spans="2:29" x14ac:dyDescent="0.35">
      <c r="C299" s="34" t="s">
        <v>120</v>
      </c>
      <c r="P299" s="61">
        <f t="shared" si="107"/>
        <v>0</v>
      </c>
      <c r="Q299" s="61">
        <f t="shared" si="107"/>
        <v>0</v>
      </c>
      <c r="R299" s="61">
        <f t="shared" si="107"/>
        <v>0</v>
      </c>
      <c r="S299" s="61">
        <f t="shared" si="107"/>
        <v>-55248.522895053102</v>
      </c>
      <c r="T299" s="61">
        <f t="shared" si="107"/>
        <v>-14250.290275842004</v>
      </c>
      <c r="U299" s="61">
        <f t="shared" si="107"/>
        <v>0</v>
      </c>
      <c r="V299" s="61">
        <f t="shared" si="107"/>
        <v>0</v>
      </c>
      <c r="W299" s="61">
        <f t="shared" si="107"/>
        <v>0</v>
      </c>
      <c r="X299" s="61">
        <f t="shared" si="107"/>
        <v>0</v>
      </c>
      <c r="Y299" s="61">
        <f t="shared" si="107"/>
        <v>41297.284602324326</v>
      </c>
      <c r="Z299" s="61">
        <f t="shared" si="107"/>
        <v>34275.448564891347</v>
      </c>
      <c r="AA299" s="61">
        <f t="shared" si="107"/>
        <v>34275.448564891347</v>
      </c>
      <c r="AB299" s="61"/>
    </row>
    <row r="300" spans="2:29" x14ac:dyDescent="0.35">
      <c r="C300" s="34" t="s">
        <v>121</v>
      </c>
      <c r="P300" s="61">
        <f t="shared" si="107"/>
        <v>0</v>
      </c>
      <c r="Q300" s="61">
        <f t="shared" si="107"/>
        <v>0</v>
      </c>
      <c r="R300" s="61">
        <f t="shared" si="107"/>
        <v>0</v>
      </c>
      <c r="S300" s="61">
        <f t="shared" si="107"/>
        <v>0</v>
      </c>
      <c r="T300" s="61">
        <f t="shared" si="107"/>
        <v>0</v>
      </c>
      <c r="U300" s="61">
        <f t="shared" si="107"/>
        <v>0</v>
      </c>
      <c r="V300" s="61">
        <f t="shared" si="107"/>
        <v>0</v>
      </c>
      <c r="W300" s="61">
        <f t="shared" si="107"/>
        <v>0</v>
      </c>
      <c r="X300" s="61">
        <f t="shared" si="107"/>
        <v>0</v>
      </c>
      <c r="Y300" s="61">
        <f t="shared" si="107"/>
        <v>0</v>
      </c>
      <c r="Z300" s="61">
        <f t="shared" si="107"/>
        <v>0</v>
      </c>
      <c r="AA300" s="61">
        <f t="shared" si="107"/>
        <v>0</v>
      </c>
      <c r="AB300" s="61"/>
    </row>
    <row r="301" spans="2:29" x14ac:dyDescent="0.35">
      <c r="S301" s="62">
        <f t="shared" ref="S301:AA301" si="108">SUM(S295:S300)</f>
        <v>-393053.598648966</v>
      </c>
      <c r="T301" s="62">
        <f t="shared" si="108"/>
        <v>-189022.90367537172</v>
      </c>
      <c r="U301" s="62">
        <f t="shared" si="108"/>
        <v>100765.17941730752</v>
      </c>
      <c r="V301" s="62">
        <f t="shared" si="108"/>
        <v>335150.35787715932</v>
      </c>
      <c r="W301" s="62">
        <f t="shared" si="108"/>
        <v>463600.36233518866</v>
      </c>
      <c r="X301" s="62">
        <f t="shared" si="108"/>
        <v>438649.35840896115</v>
      </c>
      <c r="Y301" s="62">
        <f t="shared" si="108"/>
        <v>699428.81752578926</v>
      </c>
      <c r="Z301" s="62">
        <f t="shared" si="108"/>
        <v>507237.97297212202</v>
      </c>
      <c r="AA301" s="62">
        <f t="shared" si="108"/>
        <v>509949.92781748262</v>
      </c>
      <c r="AB301" s="62"/>
    </row>
    <row r="302" spans="2:29" x14ac:dyDescent="0.35">
      <c r="S302" s="62"/>
      <c r="T302" s="62"/>
      <c r="U302" s="62"/>
      <c r="V302" s="62"/>
      <c r="W302" s="62"/>
      <c r="X302" s="62"/>
      <c r="Y302" s="62"/>
      <c r="Z302" s="62"/>
      <c r="AA302" s="62"/>
      <c r="AB302" s="62"/>
    </row>
    <row r="304" spans="2:29" x14ac:dyDescent="0.35">
      <c r="B304" s="62">
        <f>A306/B306</f>
        <v>1.2251904755316527</v>
      </c>
    </row>
    <row r="305" spans="1:27" x14ac:dyDescent="0.35">
      <c r="B305" s="62">
        <f>A308/B308</f>
        <v>0.61468977294585025</v>
      </c>
      <c r="C305" s="34" t="s">
        <v>149</v>
      </c>
      <c r="R305" s="35"/>
    </row>
    <row r="306" spans="1:27" x14ac:dyDescent="0.35">
      <c r="A306" s="61">
        <v>4.9007619021266109</v>
      </c>
      <c r="B306" s="63">
        <v>4</v>
      </c>
      <c r="C306" s="34" t="s">
        <v>116</v>
      </c>
      <c r="P306" s="62">
        <f t="shared" ref="P306:AA311" si="109">P209*$A306/$B306</f>
        <v>0</v>
      </c>
      <c r="Q306" s="62">
        <f t="shared" si="109"/>
        <v>0</v>
      </c>
      <c r="R306" s="62">
        <f t="shared" si="109"/>
        <v>0</v>
      </c>
      <c r="S306" s="62">
        <f t="shared" si="109"/>
        <v>0</v>
      </c>
      <c r="T306" s="62">
        <f t="shared" si="109"/>
        <v>95520.082194772549</v>
      </c>
      <c r="U306" s="62">
        <f t="shared" si="109"/>
        <v>745046.00288064475</v>
      </c>
      <c r="V306" s="62">
        <f t="shared" si="109"/>
        <v>1376038.1857742204</v>
      </c>
      <c r="W306" s="62">
        <f t="shared" si="109"/>
        <v>1616470.8205771826</v>
      </c>
      <c r="X306" s="62">
        <f t="shared" si="109"/>
        <v>1868841.0719437585</v>
      </c>
      <c r="Y306" s="62">
        <f t="shared" si="109"/>
        <v>1650577.9245716203</v>
      </c>
      <c r="Z306" s="62">
        <f t="shared" si="109"/>
        <v>1517101.326700018</v>
      </c>
      <c r="AA306" s="62">
        <f t="shared" si="109"/>
        <v>1498743.3533187257</v>
      </c>
    </row>
    <row r="307" spans="1:27" x14ac:dyDescent="0.35">
      <c r="A307" s="61">
        <v>4.91</v>
      </c>
      <c r="B307" s="63">
        <v>10</v>
      </c>
      <c r="C307" s="34" t="s">
        <v>117</v>
      </c>
      <c r="P307" s="62">
        <f t="shared" si="109"/>
        <v>0</v>
      </c>
      <c r="Q307" s="62">
        <f t="shared" si="109"/>
        <v>0</v>
      </c>
      <c r="R307" s="62">
        <f t="shared" si="109"/>
        <v>0</v>
      </c>
      <c r="S307" s="62">
        <f t="shared" si="109"/>
        <v>0</v>
      </c>
      <c r="T307" s="62">
        <f t="shared" si="109"/>
        <v>11572.1949293987</v>
      </c>
      <c r="U307" s="62">
        <f t="shared" si="109"/>
        <v>91412.164701514499</v>
      </c>
      <c r="V307" s="62">
        <f t="shared" si="109"/>
        <v>252453.6504666713</v>
      </c>
      <c r="W307" s="62">
        <f t="shared" si="109"/>
        <v>284140.07365790545</v>
      </c>
      <c r="X307" s="62">
        <f t="shared" si="109"/>
        <v>325511.47855725995</v>
      </c>
      <c r="Y307" s="62">
        <f t="shared" si="109"/>
        <v>294609.07335193682</v>
      </c>
      <c r="Z307" s="62">
        <f t="shared" si="109"/>
        <v>273172.19716427999</v>
      </c>
      <c r="AA307" s="62">
        <f t="shared" si="109"/>
        <v>270305.57019550214</v>
      </c>
    </row>
    <row r="308" spans="1:27" x14ac:dyDescent="0.35">
      <c r="A308" s="61">
        <v>3.6881386376751015</v>
      </c>
      <c r="B308" s="63">
        <v>6</v>
      </c>
      <c r="C308" s="34" t="s">
        <v>118</v>
      </c>
      <c r="P308" s="62">
        <f t="shared" si="109"/>
        <v>0</v>
      </c>
      <c r="Q308" s="62">
        <f t="shared" si="109"/>
        <v>0</v>
      </c>
      <c r="R308" s="62">
        <f t="shared" si="109"/>
        <v>0</v>
      </c>
      <c r="S308" s="62">
        <f t="shared" si="109"/>
        <v>141624.5236867239</v>
      </c>
      <c r="T308" s="62">
        <f t="shared" si="109"/>
        <v>354061.30921680975</v>
      </c>
      <c r="U308" s="62">
        <f t="shared" si="109"/>
        <v>708122.6184336195</v>
      </c>
      <c r="V308" s="62">
        <f t="shared" si="109"/>
        <v>1019696.570544412</v>
      </c>
      <c r="W308" s="62">
        <f t="shared" si="109"/>
        <v>1062183.9276504293</v>
      </c>
      <c r="X308" s="62">
        <f t="shared" si="109"/>
        <v>1210889.6775214893</v>
      </c>
      <c r="Y308" s="62">
        <f t="shared" si="109"/>
        <v>1593275.891475644</v>
      </c>
      <c r="Z308" s="62">
        <f t="shared" si="109"/>
        <v>1216234.753243923</v>
      </c>
      <c r="AA308" s="62">
        <f t="shared" si="109"/>
        <v>1210889.6775214893</v>
      </c>
    </row>
    <row r="309" spans="1:27" x14ac:dyDescent="0.35">
      <c r="A309" s="61">
        <v>4.9007619021266109</v>
      </c>
      <c r="B309" s="63">
        <v>4</v>
      </c>
      <c r="C309" s="34" t="s">
        <v>119</v>
      </c>
      <c r="P309" s="62">
        <f t="shared" si="109"/>
        <v>0</v>
      </c>
      <c r="Q309" s="62">
        <f t="shared" si="109"/>
        <v>0</v>
      </c>
      <c r="R309" s="62">
        <f t="shared" si="109"/>
        <v>0</v>
      </c>
      <c r="S309" s="62">
        <f t="shared" si="109"/>
        <v>213918.25702782656</v>
      </c>
      <c r="T309" s="62">
        <f t="shared" si="109"/>
        <v>307851.06256567646</v>
      </c>
      <c r="U309" s="62">
        <f t="shared" si="109"/>
        <v>307851.06256567646</v>
      </c>
      <c r="V309" s="62">
        <f t="shared" si="109"/>
        <v>307851.06256567646</v>
      </c>
      <c r="W309" s="62">
        <f t="shared" si="109"/>
        <v>307851.06256567646</v>
      </c>
      <c r="X309" s="62">
        <f t="shared" si="109"/>
        <v>307851.06256567646</v>
      </c>
      <c r="Y309" s="62">
        <f t="shared" si="109"/>
        <v>1033240.0246853557</v>
      </c>
      <c r="Z309" s="62">
        <f t="shared" si="109"/>
        <v>1033240.0246853557</v>
      </c>
      <c r="AA309" s="62">
        <f t="shared" si="109"/>
        <v>1033240.0246853556</v>
      </c>
    </row>
    <row r="310" spans="1:27" x14ac:dyDescent="0.35">
      <c r="A310" s="61">
        <v>4.91</v>
      </c>
      <c r="B310" s="63">
        <v>10</v>
      </c>
      <c r="C310" s="34" t="s">
        <v>120</v>
      </c>
      <c r="P310" s="62">
        <f t="shared" si="109"/>
        <v>0</v>
      </c>
      <c r="Q310" s="62">
        <f t="shared" si="109"/>
        <v>0</v>
      </c>
      <c r="R310" s="62">
        <f t="shared" si="109"/>
        <v>0</v>
      </c>
      <c r="S310" s="62">
        <f t="shared" si="109"/>
        <v>30933</v>
      </c>
      <c r="T310" s="62">
        <f t="shared" si="109"/>
        <v>30933</v>
      </c>
      <c r="U310" s="62">
        <f t="shared" si="109"/>
        <v>30933</v>
      </c>
      <c r="V310" s="62">
        <f t="shared" si="109"/>
        <v>30933</v>
      </c>
      <c r="W310" s="62">
        <f t="shared" si="109"/>
        <v>30933</v>
      </c>
      <c r="X310" s="62">
        <f t="shared" si="109"/>
        <v>30933</v>
      </c>
      <c r="Y310" s="62">
        <f t="shared" si="109"/>
        <v>240590</v>
      </c>
      <c r="Z310" s="62">
        <f t="shared" si="109"/>
        <v>240590</v>
      </c>
      <c r="AA310" s="62">
        <f t="shared" si="109"/>
        <v>240590</v>
      </c>
    </row>
    <row r="311" spans="1:27" x14ac:dyDescent="0.35">
      <c r="A311" s="61">
        <v>3.6881386376751015</v>
      </c>
      <c r="B311" s="63">
        <v>6</v>
      </c>
      <c r="C311" s="34" t="s">
        <v>121</v>
      </c>
      <c r="P311" s="62">
        <f t="shared" si="109"/>
        <v>0</v>
      </c>
      <c r="Q311" s="62">
        <f t="shared" si="109"/>
        <v>0</v>
      </c>
      <c r="R311" s="62">
        <f t="shared" si="109"/>
        <v>0</v>
      </c>
      <c r="S311" s="62">
        <f t="shared" si="109"/>
        <v>0</v>
      </c>
      <c r="T311" s="62">
        <f t="shared" si="109"/>
        <v>0</v>
      </c>
      <c r="U311" s="62">
        <f t="shared" si="109"/>
        <v>0</v>
      </c>
      <c r="V311" s="62">
        <f t="shared" si="109"/>
        <v>0</v>
      </c>
      <c r="W311" s="62">
        <f t="shared" si="109"/>
        <v>0</v>
      </c>
      <c r="X311" s="62">
        <f t="shared" si="109"/>
        <v>0</v>
      </c>
      <c r="Y311" s="62">
        <f t="shared" si="109"/>
        <v>0</v>
      </c>
      <c r="Z311" s="62">
        <f t="shared" si="109"/>
        <v>0</v>
      </c>
      <c r="AA311" s="62">
        <f t="shared" si="109"/>
        <v>0</v>
      </c>
    </row>
    <row r="312" spans="1:27" x14ac:dyDescent="0.35">
      <c r="C312" s="34" t="s">
        <v>33</v>
      </c>
      <c r="P312" s="64">
        <f>SUM(P306:P311)</f>
        <v>0</v>
      </c>
      <c r="Q312" s="64">
        <f t="shared" ref="Q312:AA312" si="110">SUM(Q306:Q311)</f>
        <v>0</v>
      </c>
      <c r="R312" s="64">
        <f t="shared" si="110"/>
        <v>0</v>
      </c>
      <c r="S312" s="64">
        <f t="shared" si="110"/>
        <v>386475.78071455046</v>
      </c>
      <c r="T312" s="64">
        <f t="shared" si="110"/>
        <v>799937.64890665747</v>
      </c>
      <c r="U312" s="64">
        <f t="shared" si="110"/>
        <v>1883364.8485814552</v>
      </c>
      <c r="V312" s="64">
        <f t="shared" si="110"/>
        <v>2986972.4693509801</v>
      </c>
      <c r="W312" s="64">
        <f t="shared" si="110"/>
        <v>3301578.8844511937</v>
      </c>
      <c r="X312" s="64">
        <f t="shared" si="110"/>
        <v>3744026.2905881838</v>
      </c>
      <c r="Y312" s="64">
        <f t="shared" si="110"/>
        <v>4812292.9140845565</v>
      </c>
      <c r="Z312" s="64">
        <f t="shared" si="110"/>
        <v>4280338.3017935771</v>
      </c>
      <c r="AA312" s="64">
        <f t="shared" si="110"/>
        <v>4253768.6257210728</v>
      </c>
    </row>
    <row r="314" spans="1:27" x14ac:dyDescent="0.35">
      <c r="A314" t="s">
        <v>150</v>
      </c>
      <c r="B314">
        <v>4.9007619021266109</v>
      </c>
      <c r="C314" s="34" t="s">
        <v>125</v>
      </c>
    </row>
    <row r="315" spans="1:27" x14ac:dyDescent="0.35">
      <c r="A315" t="s">
        <v>48</v>
      </c>
      <c r="B315">
        <v>3.6881386376751015</v>
      </c>
      <c r="C315" s="34" t="s">
        <v>116</v>
      </c>
      <c r="P315" s="61">
        <f t="shared" ref="P315:AA320" si="111">P193*P163</f>
        <v>0</v>
      </c>
      <c r="Q315" s="61">
        <f t="shared" si="111"/>
        <v>0</v>
      </c>
      <c r="R315" s="61">
        <f t="shared" si="111"/>
        <v>0</v>
      </c>
      <c r="S315" s="61">
        <f t="shared" si="111"/>
        <v>0</v>
      </c>
      <c r="T315" s="61">
        <f t="shared" si="111"/>
        <v>58020.019733895286</v>
      </c>
      <c r="U315" s="61">
        <f t="shared" si="111"/>
        <v>323221.86960760673</v>
      </c>
      <c r="V315" s="61">
        <f t="shared" si="111"/>
        <v>545647.58641262795</v>
      </c>
      <c r="W315" s="61">
        <f t="shared" si="111"/>
        <v>554485.02832741337</v>
      </c>
      <c r="X315" s="61">
        <f t="shared" si="111"/>
        <v>492227.8978888095</v>
      </c>
      <c r="Y315" s="61">
        <f t="shared" si="111"/>
        <v>429353.99473497795</v>
      </c>
      <c r="Z315" s="61">
        <f t="shared" si="111"/>
        <v>350922.43257302721</v>
      </c>
      <c r="AA315" s="61">
        <f t="shared" si="111"/>
        <v>378162.65963481506</v>
      </c>
    </row>
    <row r="316" spans="1:27" x14ac:dyDescent="0.35">
      <c r="A316" t="s">
        <v>151</v>
      </c>
      <c r="B316">
        <v>4.6412072477687545</v>
      </c>
      <c r="C316" s="34" t="s">
        <v>117</v>
      </c>
      <c r="P316" s="61">
        <f t="shared" si="111"/>
        <v>0</v>
      </c>
      <c r="Q316" s="61">
        <f t="shared" si="111"/>
        <v>0</v>
      </c>
      <c r="R316" s="61">
        <f t="shared" si="111"/>
        <v>0</v>
      </c>
      <c r="S316" s="61">
        <f t="shared" si="111"/>
        <v>0</v>
      </c>
      <c r="T316" s="61">
        <f t="shared" si="111"/>
        <v>13297.302418102814</v>
      </c>
      <c r="U316" s="61">
        <f t="shared" si="111"/>
        <v>65444.783603914111</v>
      </c>
      <c r="V316" s="61">
        <f t="shared" si="111"/>
        <v>157246.82765333672</v>
      </c>
      <c r="W316" s="61">
        <f t="shared" si="111"/>
        <v>110480.90201734132</v>
      </c>
      <c r="X316" s="61">
        <f t="shared" si="111"/>
        <v>121825.69216334526</v>
      </c>
      <c r="Y316" s="61">
        <f t="shared" si="111"/>
        <v>88734.933508096918</v>
      </c>
      <c r="Z316" s="61">
        <f t="shared" si="111"/>
        <v>84135.449697856733</v>
      </c>
      <c r="AA316" s="61">
        <f t="shared" si="111"/>
        <v>88152.900877492517</v>
      </c>
    </row>
    <row r="317" spans="1:27" x14ac:dyDescent="0.35">
      <c r="A317" t="s">
        <v>47</v>
      </c>
      <c r="B317">
        <v>0</v>
      </c>
      <c r="C317" s="34" t="s">
        <v>118</v>
      </c>
      <c r="P317" s="61">
        <f t="shared" si="111"/>
        <v>0</v>
      </c>
      <c r="Q317" s="61">
        <f t="shared" si="111"/>
        <v>0</v>
      </c>
      <c r="R317" s="61">
        <f t="shared" si="111"/>
        <v>0</v>
      </c>
      <c r="S317" s="61">
        <f t="shared" si="111"/>
        <v>284534.94087333715</v>
      </c>
      <c r="T317" s="61">
        <f t="shared" si="111"/>
        <v>336496.36823626969</v>
      </c>
      <c r="U317" s="61">
        <f t="shared" si="111"/>
        <v>427993.36654942873</v>
      </c>
      <c r="V317" s="61">
        <f t="shared" si="111"/>
        <v>540514.79213370767</v>
      </c>
      <c r="W317" s="61">
        <f t="shared" si="111"/>
        <v>512745.97727526218</v>
      </c>
      <c r="X317" s="61">
        <f t="shared" si="111"/>
        <v>582602.54371423402</v>
      </c>
      <c r="Y317" s="61">
        <f t="shared" si="111"/>
        <v>709481.79247097019</v>
      </c>
      <c r="Z317" s="61">
        <f t="shared" si="111"/>
        <v>567435.66278173332</v>
      </c>
      <c r="AA317" s="61">
        <f t="shared" si="111"/>
        <v>567435.66278173332</v>
      </c>
    </row>
    <row r="318" spans="1:27" x14ac:dyDescent="0.35">
      <c r="A318" t="s">
        <v>152</v>
      </c>
      <c r="B318">
        <v>0</v>
      </c>
      <c r="C318" s="34" t="s">
        <v>119</v>
      </c>
      <c r="P318" s="61">
        <f t="shared" si="111"/>
        <v>0</v>
      </c>
      <c r="Q318" s="61">
        <f t="shared" si="111"/>
        <v>0</v>
      </c>
      <c r="R318" s="61">
        <f t="shared" si="111"/>
        <v>0</v>
      </c>
      <c r="S318" s="61">
        <f t="shared" si="111"/>
        <v>234830.13488057573</v>
      </c>
      <c r="T318" s="61">
        <f t="shared" si="111"/>
        <v>174428.95486563176</v>
      </c>
      <c r="U318" s="61">
        <f t="shared" si="111"/>
        <v>113310.91788203458</v>
      </c>
      <c r="V318" s="61">
        <f t="shared" si="111"/>
        <v>85724.038224189193</v>
      </c>
      <c r="W318" s="61">
        <f t="shared" si="111"/>
        <v>97615.609819688107</v>
      </c>
      <c r="X318" s="61">
        <f t="shared" si="111"/>
        <v>87483.818745887504</v>
      </c>
      <c r="Y318" s="61">
        <f t="shared" si="111"/>
        <v>323602.48613854608</v>
      </c>
      <c r="Z318" s="61">
        <f t="shared" si="111"/>
        <v>279409.93505830126</v>
      </c>
      <c r="AA318" s="61">
        <f t="shared" si="111"/>
        <v>249243.72138580878</v>
      </c>
    </row>
    <row r="319" spans="1:27" x14ac:dyDescent="0.35">
      <c r="A319" t="s">
        <v>153</v>
      </c>
      <c r="B319">
        <v>0</v>
      </c>
      <c r="C319" s="34" t="s">
        <v>120</v>
      </c>
      <c r="P319" s="61">
        <f t="shared" si="111"/>
        <v>0</v>
      </c>
      <c r="Q319" s="61">
        <f t="shared" si="111"/>
        <v>0</v>
      </c>
      <c r="R319" s="61">
        <f t="shared" si="111"/>
        <v>0</v>
      </c>
      <c r="S319" s="61">
        <f t="shared" si="111"/>
        <v>76038.522895053116</v>
      </c>
      <c r="T319" s="61">
        <f t="shared" si="111"/>
        <v>35040.290275842002</v>
      </c>
      <c r="U319" s="61">
        <f t="shared" si="111"/>
        <v>0</v>
      </c>
      <c r="V319" s="61">
        <f t="shared" si="111"/>
        <v>0</v>
      </c>
      <c r="W319" s="61">
        <f t="shared" si="111"/>
        <v>0</v>
      </c>
      <c r="X319" s="61">
        <f t="shared" si="111"/>
        <v>0</v>
      </c>
      <c r="Y319" s="61">
        <f t="shared" si="111"/>
        <v>120402.71539767568</v>
      </c>
      <c r="Z319" s="61">
        <f t="shared" si="111"/>
        <v>127424.55143510866</v>
      </c>
      <c r="AA319" s="61">
        <f t="shared" si="111"/>
        <v>127424.55143510866</v>
      </c>
    </row>
    <row r="320" spans="1:27" x14ac:dyDescent="0.35">
      <c r="A320" t="s">
        <v>154</v>
      </c>
      <c r="B320">
        <v>2.7899999999999996</v>
      </c>
      <c r="C320" s="34" t="s">
        <v>121</v>
      </c>
      <c r="P320" s="61">
        <f t="shared" si="111"/>
        <v>0</v>
      </c>
      <c r="Q320" s="61">
        <f t="shared" si="111"/>
        <v>0</v>
      </c>
      <c r="R320" s="61">
        <f t="shared" si="111"/>
        <v>0</v>
      </c>
      <c r="S320" s="61">
        <f t="shared" si="111"/>
        <v>0</v>
      </c>
      <c r="T320" s="61">
        <f t="shared" si="111"/>
        <v>0</v>
      </c>
      <c r="U320" s="61">
        <f t="shared" si="111"/>
        <v>0</v>
      </c>
      <c r="V320" s="61">
        <f t="shared" si="111"/>
        <v>0</v>
      </c>
      <c r="W320" s="61">
        <f t="shared" si="111"/>
        <v>0</v>
      </c>
      <c r="X320" s="61">
        <f t="shared" si="111"/>
        <v>0</v>
      </c>
      <c r="Y320" s="61">
        <f t="shared" si="111"/>
        <v>0</v>
      </c>
      <c r="Z320" s="61">
        <f t="shared" si="111"/>
        <v>0</v>
      </c>
      <c r="AA320" s="61">
        <f t="shared" si="111"/>
        <v>0</v>
      </c>
    </row>
    <row r="321" spans="1:27" x14ac:dyDescent="0.35">
      <c r="A321" t="s">
        <v>155</v>
      </c>
      <c r="B321">
        <v>12.948502333621434</v>
      </c>
      <c r="C321" s="34" t="s">
        <v>33</v>
      </c>
      <c r="P321" s="64">
        <f>SUM(P315:P320)</f>
        <v>0</v>
      </c>
      <c r="Q321" s="64">
        <f t="shared" ref="Q321:AA321" si="112">SUM(Q315:Q320)</f>
        <v>0</v>
      </c>
      <c r="R321" s="64">
        <f t="shared" si="112"/>
        <v>0</v>
      </c>
      <c r="S321" s="64">
        <f t="shared" si="112"/>
        <v>595403.59864896606</v>
      </c>
      <c r="T321" s="64">
        <f t="shared" si="112"/>
        <v>617282.93552974146</v>
      </c>
      <c r="U321" s="64">
        <f t="shared" si="112"/>
        <v>929970.93764298409</v>
      </c>
      <c r="V321" s="64">
        <f t="shared" si="112"/>
        <v>1329133.2444238616</v>
      </c>
      <c r="W321" s="64">
        <f t="shared" si="112"/>
        <v>1275327.5174397051</v>
      </c>
      <c r="X321" s="64">
        <f t="shared" si="112"/>
        <v>1284139.9525122764</v>
      </c>
      <c r="Y321" s="64">
        <f t="shared" si="112"/>
        <v>1671575.9222502669</v>
      </c>
      <c r="Z321" s="64">
        <f t="shared" si="112"/>
        <v>1409328.0315460274</v>
      </c>
      <c r="AA321" s="64">
        <f t="shared" si="112"/>
        <v>1410419.4961149585</v>
      </c>
    </row>
    <row r="323" spans="1:27" x14ac:dyDescent="0.35">
      <c r="C323" s="34" t="s">
        <v>156</v>
      </c>
    </row>
    <row r="324" spans="1:27" x14ac:dyDescent="0.35">
      <c r="C324" s="34" t="s">
        <v>116</v>
      </c>
      <c r="P324" s="62">
        <f>P306-P315</f>
        <v>0</v>
      </c>
      <c r="Q324" s="62">
        <f t="shared" ref="Q324:AA324" si="113">Q306-Q315</f>
        <v>0</v>
      </c>
      <c r="R324" s="62">
        <f t="shared" si="113"/>
        <v>0</v>
      </c>
      <c r="S324" s="62">
        <f t="shared" si="113"/>
        <v>0</v>
      </c>
      <c r="T324" s="62">
        <f t="shared" si="113"/>
        <v>37500.062460877263</v>
      </c>
      <c r="U324" s="62">
        <f t="shared" si="113"/>
        <v>421824.13327303802</v>
      </c>
      <c r="V324" s="62">
        <f t="shared" si="113"/>
        <v>830390.59936159244</v>
      </c>
      <c r="W324" s="62">
        <f t="shared" si="113"/>
        <v>1061985.7922497692</v>
      </c>
      <c r="X324" s="62">
        <f t="shared" si="113"/>
        <v>1376613.1740549491</v>
      </c>
      <c r="Y324" s="62">
        <f t="shared" si="113"/>
        <v>1221223.9298366425</v>
      </c>
      <c r="Z324" s="62">
        <f t="shared" si="113"/>
        <v>1166178.8941269908</v>
      </c>
      <c r="AA324" s="62">
        <f t="shared" si="113"/>
        <v>1120580.6936839106</v>
      </c>
    </row>
    <row r="325" spans="1:27" x14ac:dyDescent="0.35">
      <c r="C325" s="34" t="s">
        <v>117</v>
      </c>
      <c r="P325" s="62">
        <f t="shared" ref="P325:AA329" si="114">P307-P316</f>
        <v>0</v>
      </c>
      <c r="Q325" s="62">
        <f t="shared" si="114"/>
        <v>0</v>
      </c>
      <c r="R325" s="62">
        <f t="shared" si="114"/>
        <v>0</v>
      </c>
      <c r="S325" s="62">
        <f t="shared" si="114"/>
        <v>0</v>
      </c>
      <c r="T325" s="62">
        <f t="shared" si="114"/>
        <v>-1725.1074887041141</v>
      </c>
      <c r="U325" s="62">
        <f t="shared" si="114"/>
        <v>25967.381097600388</v>
      </c>
      <c r="V325" s="62">
        <f t="shared" si="114"/>
        <v>95206.822813334584</v>
      </c>
      <c r="W325" s="62">
        <f t="shared" si="114"/>
        <v>173659.17164056413</v>
      </c>
      <c r="X325" s="62">
        <f t="shared" si="114"/>
        <v>203685.78639391469</v>
      </c>
      <c r="Y325" s="62">
        <f t="shared" si="114"/>
        <v>205874.13984383992</v>
      </c>
      <c r="Z325" s="62">
        <f t="shared" si="114"/>
        <v>189036.74746642326</v>
      </c>
      <c r="AA325" s="62">
        <f t="shared" si="114"/>
        <v>182152.66931800963</v>
      </c>
    </row>
    <row r="326" spans="1:27" x14ac:dyDescent="0.35">
      <c r="C326" s="34" t="s">
        <v>118</v>
      </c>
      <c r="P326" s="62">
        <f t="shared" si="114"/>
        <v>0</v>
      </c>
      <c r="Q326" s="62">
        <f t="shared" si="114"/>
        <v>0</v>
      </c>
      <c r="R326" s="62">
        <f t="shared" si="114"/>
        <v>0</v>
      </c>
      <c r="S326" s="62">
        <f t="shared" si="114"/>
        <v>-142910.41718661325</v>
      </c>
      <c r="T326" s="62">
        <f t="shared" si="114"/>
        <v>17564.940980540065</v>
      </c>
      <c r="U326" s="62">
        <f t="shared" si="114"/>
        <v>280129.25188419077</v>
      </c>
      <c r="V326" s="62">
        <f t="shared" si="114"/>
        <v>479181.77841070434</v>
      </c>
      <c r="W326" s="62">
        <f t="shared" si="114"/>
        <v>549437.95037516719</v>
      </c>
      <c r="X326" s="62">
        <f t="shared" si="114"/>
        <v>628287.1338072553</v>
      </c>
      <c r="Y326" s="62">
        <f t="shared" si="114"/>
        <v>883794.09900467377</v>
      </c>
      <c r="Z326" s="62">
        <f t="shared" si="114"/>
        <v>648799.09046218963</v>
      </c>
      <c r="AA326" s="62">
        <f t="shared" si="114"/>
        <v>643454.01473975601</v>
      </c>
    </row>
    <row r="327" spans="1:27" x14ac:dyDescent="0.35">
      <c r="C327" s="34" t="s">
        <v>119</v>
      </c>
      <c r="P327" s="62">
        <f t="shared" si="114"/>
        <v>0</v>
      </c>
      <c r="Q327" s="62">
        <f t="shared" si="114"/>
        <v>0</v>
      </c>
      <c r="R327" s="62">
        <f t="shared" si="114"/>
        <v>0</v>
      </c>
      <c r="S327" s="62">
        <f t="shared" si="114"/>
        <v>-20911.877852749167</v>
      </c>
      <c r="T327" s="62">
        <f t="shared" si="114"/>
        <v>133422.1077000447</v>
      </c>
      <c r="U327" s="62">
        <f t="shared" si="114"/>
        <v>194540.14468364188</v>
      </c>
      <c r="V327" s="62">
        <f t="shared" si="114"/>
        <v>222127.02434148727</v>
      </c>
      <c r="W327" s="62">
        <f t="shared" si="114"/>
        <v>210235.45274598835</v>
      </c>
      <c r="X327" s="62">
        <f t="shared" si="114"/>
        <v>220367.24381978897</v>
      </c>
      <c r="Y327" s="62">
        <f t="shared" si="114"/>
        <v>709637.53854680969</v>
      </c>
      <c r="Z327" s="62">
        <f t="shared" si="114"/>
        <v>753830.08962705452</v>
      </c>
      <c r="AA327" s="62">
        <f t="shared" si="114"/>
        <v>783996.30329954682</v>
      </c>
    </row>
    <row r="328" spans="1:27" x14ac:dyDescent="0.35">
      <c r="C328" s="34" t="s">
        <v>120</v>
      </c>
      <c r="P328" s="62">
        <f t="shared" si="114"/>
        <v>0</v>
      </c>
      <c r="Q328" s="62">
        <f t="shared" si="114"/>
        <v>0</v>
      </c>
      <c r="R328" s="62">
        <f t="shared" si="114"/>
        <v>0</v>
      </c>
      <c r="S328" s="62">
        <f t="shared" si="114"/>
        <v>-45105.522895053116</v>
      </c>
      <c r="T328" s="62">
        <f t="shared" si="114"/>
        <v>-4107.2902758420023</v>
      </c>
      <c r="U328" s="62">
        <f t="shared" si="114"/>
        <v>30933</v>
      </c>
      <c r="V328" s="62">
        <f t="shared" si="114"/>
        <v>30933</v>
      </c>
      <c r="W328" s="62">
        <f t="shared" si="114"/>
        <v>30933</v>
      </c>
      <c r="X328" s="62">
        <f t="shared" si="114"/>
        <v>30933</v>
      </c>
      <c r="Y328" s="62">
        <f t="shared" si="114"/>
        <v>120187.28460232432</v>
      </c>
      <c r="Z328" s="62">
        <f t="shared" si="114"/>
        <v>113165.44856489134</v>
      </c>
      <c r="AA328" s="62">
        <f t="shared" si="114"/>
        <v>113165.44856489134</v>
      </c>
    </row>
    <row r="329" spans="1:27" x14ac:dyDescent="0.35">
      <c r="C329" s="34" t="s">
        <v>121</v>
      </c>
      <c r="P329" s="62">
        <f t="shared" si="114"/>
        <v>0</v>
      </c>
      <c r="Q329" s="62">
        <f t="shared" si="114"/>
        <v>0</v>
      </c>
      <c r="R329" s="62">
        <f t="shared" si="114"/>
        <v>0</v>
      </c>
      <c r="S329" s="62">
        <f t="shared" si="114"/>
        <v>0</v>
      </c>
      <c r="T329" s="62">
        <f t="shared" si="114"/>
        <v>0</v>
      </c>
      <c r="U329" s="62">
        <f t="shared" si="114"/>
        <v>0</v>
      </c>
      <c r="V329" s="62">
        <f t="shared" si="114"/>
        <v>0</v>
      </c>
      <c r="W329" s="62">
        <f t="shared" si="114"/>
        <v>0</v>
      </c>
      <c r="X329" s="62">
        <f t="shared" si="114"/>
        <v>0</v>
      </c>
      <c r="Y329" s="62">
        <f t="shared" si="114"/>
        <v>0</v>
      </c>
      <c r="Z329" s="62">
        <f t="shared" si="114"/>
        <v>0</v>
      </c>
      <c r="AA329" s="62">
        <f t="shared" si="114"/>
        <v>0</v>
      </c>
    </row>
    <row r="330" spans="1:27" x14ac:dyDescent="0.35">
      <c r="C330" s="34" t="s">
        <v>33</v>
      </c>
      <c r="P330" s="64">
        <f>SUM(P324:P329)</f>
        <v>0</v>
      </c>
      <c r="Q330" s="64">
        <f t="shared" ref="Q330:AA330" si="115">SUM(Q324:Q329)</f>
        <v>0</v>
      </c>
      <c r="R330" s="64">
        <f t="shared" si="115"/>
        <v>0</v>
      </c>
      <c r="S330" s="64">
        <f t="shared" si="115"/>
        <v>-208927.81793441554</v>
      </c>
      <c r="T330" s="64">
        <f t="shared" si="115"/>
        <v>182654.7133769159</v>
      </c>
      <c r="U330" s="64">
        <f t="shared" si="115"/>
        <v>953393.91093847109</v>
      </c>
      <c r="V330" s="64">
        <f t="shared" si="115"/>
        <v>1657839.2249271187</v>
      </c>
      <c r="W330" s="64">
        <f t="shared" si="115"/>
        <v>2026251.3670114889</v>
      </c>
      <c r="X330" s="64">
        <f t="shared" si="115"/>
        <v>2459886.3380759079</v>
      </c>
      <c r="Y330" s="64">
        <f t="shared" si="115"/>
        <v>3140716.9918342903</v>
      </c>
      <c r="Z330" s="64">
        <f t="shared" si="115"/>
        <v>2871010.2702475493</v>
      </c>
      <c r="AA330" s="64">
        <f t="shared" si="115"/>
        <v>2843349.1296061142</v>
      </c>
    </row>
    <row r="331" spans="1:27" x14ac:dyDescent="0.35">
      <c r="T331" s="58">
        <f t="shared" ref="T331:Z331" si="116">T330/T312</f>
        <v>0.22833618798485802</v>
      </c>
      <c r="U331" s="58">
        <f t="shared" si="116"/>
        <v>0.50621838442857447</v>
      </c>
      <c r="V331" s="58">
        <f t="shared" si="116"/>
        <v>0.55502326919248102</v>
      </c>
      <c r="W331" s="58">
        <f t="shared" si="116"/>
        <v>0.61372193060542402</v>
      </c>
      <c r="X331" s="58">
        <f t="shared" si="116"/>
        <v>0.65701631002421768</v>
      </c>
      <c r="Y331" s="58">
        <f t="shared" si="116"/>
        <v>0.65264460162889926</v>
      </c>
      <c r="Z331" s="58">
        <f t="shared" si="116"/>
        <v>0.67074377486576675</v>
      </c>
      <c r="AA331" s="58">
        <f>AA330/AA312</f>
        <v>0.66843060349200989</v>
      </c>
    </row>
    <row r="335" spans="1:27" x14ac:dyDescent="0.35">
      <c r="U335" s="18">
        <f t="shared" ref="U335:Z335" si="117">U103/(U287+U289)</f>
        <v>9.3067108129520695E-2</v>
      </c>
      <c r="V335" s="18">
        <f t="shared" si="117"/>
        <v>8.20847766569128E-2</v>
      </c>
      <c r="W335" s="18">
        <f t="shared" si="117"/>
        <v>6.5614385832328162E-2</v>
      </c>
      <c r="X335" s="18">
        <f t="shared" si="117"/>
        <v>6.8383829031358492E-2</v>
      </c>
      <c r="Y335" s="18">
        <f t="shared" si="117"/>
        <v>7.7119791031662929E-2</v>
      </c>
      <c r="Z335" s="18">
        <f t="shared" si="117"/>
        <v>8.9320830813309673E-2</v>
      </c>
    </row>
    <row r="336" spans="1:27" x14ac:dyDescent="0.35">
      <c r="U336" s="75">
        <f>U335*0.73</f>
        <v>6.793898893455011E-2</v>
      </c>
      <c r="V336" s="75">
        <f>V335*0.73</f>
        <v>5.9921886959546346E-2</v>
      </c>
      <c r="W336" s="75">
        <f>W335*0.73</f>
        <v>4.7898501657599554E-2</v>
      </c>
      <c r="X336" s="75">
        <f>X335*0.73</f>
        <v>4.9920195192891696E-2</v>
      </c>
      <c r="Y336" s="75">
        <f>Y335*0.73</f>
        <v>5.6297447453113936E-2</v>
      </c>
    </row>
  </sheetData>
  <conditionalFormatting sqref="O76:BA76 O78:BA78 O80:BA80 O88:BA88 O90:BA90 O92:BA92">
    <cfRule type="cellIs" dxfId="0" priority="1" operator="greaterThan">
      <formula>N76</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BBBD-3447-4711-AE5D-F60FB721B5D3}">
  <sheetPr>
    <tabColor rgb="FFFFC000"/>
  </sheetPr>
  <dimension ref="A1:AZ163"/>
  <sheetViews>
    <sheetView workbookViewId="0">
      <pane xSplit="15" ySplit="18" topLeftCell="Q73" activePane="bottomRight" state="frozen"/>
      <selection activeCell="K10" sqref="K10"/>
      <selection pane="topRight" activeCell="K10" sqref="K10"/>
      <selection pane="bottomLeft" activeCell="K10" sqref="K10"/>
      <selection pane="bottomRight" activeCell="K16" sqref="K16"/>
    </sheetView>
  </sheetViews>
  <sheetFormatPr defaultRowHeight="14.5" x14ac:dyDescent="0.35"/>
  <cols>
    <col min="1" max="1" width="10.08984375" bestFit="1" customWidth="1"/>
    <col min="14" max="14" width="10.08984375" bestFit="1" customWidth="1"/>
    <col min="27" max="27" width="10.08984375" bestFit="1" customWidth="1"/>
    <col min="28" max="28" width="10.08984375" style="11" customWidth="1"/>
    <col min="29" max="29" width="11.453125" style="11" bestFit="1" customWidth="1"/>
    <col min="42" max="42" width="10.08984375" bestFit="1" customWidth="1"/>
  </cols>
  <sheetData>
    <row r="1" spans="1:52" x14ac:dyDescent="0.35">
      <c r="C1" s="125" t="s">
        <v>36</v>
      </c>
      <c r="D1" s="125"/>
      <c r="E1" s="125"/>
      <c r="F1" s="125"/>
      <c r="G1" s="125"/>
      <c r="H1" s="125"/>
      <c r="I1" s="125"/>
      <c r="J1" s="125"/>
      <c r="K1" s="125"/>
      <c r="L1" s="125"/>
      <c r="P1" s="125" t="s">
        <v>19</v>
      </c>
      <c r="Q1" s="125"/>
      <c r="R1" s="125"/>
      <c r="S1" s="125"/>
      <c r="T1" s="125"/>
      <c r="U1" s="125"/>
      <c r="V1" s="125"/>
      <c r="W1" s="125"/>
      <c r="X1" s="125"/>
      <c r="Y1" s="125"/>
      <c r="AA1" s="3" t="s">
        <v>177</v>
      </c>
      <c r="AB1" s="11">
        <v>100</v>
      </c>
      <c r="AC1" s="11">
        <v>60</v>
      </c>
      <c r="AE1" s="125" t="s">
        <v>35</v>
      </c>
      <c r="AF1" s="125"/>
      <c r="AG1" s="125"/>
      <c r="AH1" s="125"/>
      <c r="AI1" s="125"/>
      <c r="AJ1" s="125"/>
      <c r="AK1" s="125"/>
      <c r="AL1" s="125"/>
      <c r="AM1" s="125"/>
      <c r="AN1" s="125"/>
      <c r="AR1" s="125" t="s">
        <v>37</v>
      </c>
      <c r="AS1" s="125"/>
      <c r="AT1" s="125"/>
      <c r="AU1" s="125"/>
      <c r="AV1" s="125"/>
      <c r="AW1" s="125"/>
      <c r="AX1" s="125"/>
      <c r="AY1" s="125"/>
      <c r="AZ1" s="125"/>
    </row>
    <row r="2" spans="1:52" x14ac:dyDescent="0.35">
      <c r="A2" s="3" t="s">
        <v>1</v>
      </c>
      <c r="B2" s="3" t="s">
        <v>18</v>
      </c>
      <c r="C2" s="3" t="s">
        <v>2</v>
      </c>
      <c r="D2" s="3" t="s">
        <v>3</v>
      </c>
      <c r="E2" s="3" t="s">
        <v>222</v>
      </c>
      <c r="F2" s="3" t="s">
        <v>4</v>
      </c>
      <c r="G2" s="3" t="s">
        <v>5</v>
      </c>
      <c r="H2" s="3" t="s">
        <v>6</v>
      </c>
      <c r="I2" s="3" t="s">
        <v>7</v>
      </c>
      <c r="J2" s="3" t="s">
        <v>8</v>
      </c>
      <c r="K2" s="3" t="s">
        <v>9</v>
      </c>
      <c r="L2" s="3" t="s">
        <v>10</v>
      </c>
      <c r="N2" s="3" t="s">
        <v>1</v>
      </c>
      <c r="O2" s="3" t="s">
        <v>18</v>
      </c>
      <c r="P2" s="3" t="s">
        <v>2</v>
      </c>
      <c r="Q2" s="3" t="s">
        <v>3</v>
      </c>
      <c r="R2" s="3" t="s">
        <v>222</v>
      </c>
      <c r="S2" s="3" t="s">
        <v>4</v>
      </c>
      <c r="T2" s="3" t="s">
        <v>5</v>
      </c>
      <c r="U2" s="3" t="s">
        <v>6</v>
      </c>
      <c r="V2" s="3" t="s">
        <v>7</v>
      </c>
      <c r="W2" s="3" t="s">
        <v>8</v>
      </c>
      <c r="X2" s="3" t="s">
        <v>9</v>
      </c>
      <c r="Y2" s="3" t="s">
        <v>10</v>
      </c>
      <c r="AA2" s="3" t="s">
        <v>1</v>
      </c>
      <c r="AB2" s="17" t="s">
        <v>175</v>
      </c>
      <c r="AC2" s="17" t="s">
        <v>176</v>
      </c>
      <c r="AD2" s="3" t="s">
        <v>18</v>
      </c>
      <c r="AE2" s="3" t="s">
        <v>2</v>
      </c>
      <c r="AF2" s="3" t="s">
        <v>3</v>
      </c>
      <c r="AG2" s="3" t="s">
        <v>222</v>
      </c>
      <c r="AH2" s="3" t="s">
        <v>4</v>
      </c>
      <c r="AI2" s="3" t="s">
        <v>5</v>
      </c>
      <c r="AJ2" s="3" t="s">
        <v>6</v>
      </c>
      <c r="AK2" s="3" t="s">
        <v>7</v>
      </c>
      <c r="AL2" s="3" t="s">
        <v>8</v>
      </c>
      <c r="AM2" s="3" t="s">
        <v>9</v>
      </c>
      <c r="AN2" s="3" t="s">
        <v>10</v>
      </c>
      <c r="AP2" s="3" t="s">
        <v>1</v>
      </c>
      <c r="AQ2" s="3" t="s">
        <v>18</v>
      </c>
      <c r="AR2" s="3" t="s">
        <v>2</v>
      </c>
      <c r="AS2" s="3" t="s">
        <v>3</v>
      </c>
      <c r="AT2" s="3" t="s">
        <v>4</v>
      </c>
      <c r="AU2" s="3" t="s">
        <v>5</v>
      </c>
      <c r="AV2" s="3" t="s">
        <v>6</v>
      </c>
      <c r="AW2" s="3" t="s">
        <v>7</v>
      </c>
      <c r="AX2" s="3" t="s">
        <v>8</v>
      </c>
      <c r="AY2" s="3" t="s">
        <v>9</v>
      </c>
      <c r="AZ2" s="3" t="s">
        <v>10</v>
      </c>
    </row>
    <row r="3" spans="1:52" x14ac:dyDescent="0.35">
      <c r="A3" s="2">
        <f>N3</f>
        <v>46160</v>
      </c>
      <c r="B3">
        <f>+WEEKNUM(A3)</f>
        <v>21</v>
      </c>
      <c r="C3" s="13">
        <f>IFERROR(AE3*(100%-P3)*(AR3/7.5),"")</f>
        <v>0.67941838134430732</v>
      </c>
      <c r="D3" s="13">
        <f>IFERROR(AF3*(100%-Q3)*(AS3/7.5),"")</f>
        <v>0.64039506172839511</v>
      </c>
      <c r="E3" s="13" t="str">
        <f>IFERROR(AG3*(100%-R3)*(AT3/7.5),"")</f>
        <v/>
      </c>
      <c r="F3" s="13" t="str">
        <f>IFERROR(AH3*(100%-S3)*(AT3/7.5),"")</f>
        <v/>
      </c>
      <c r="G3" s="13">
        <f>IFERROR(AI3*(100%-T3)*(AU3/7.5),"")</f>
        <v>0.34964518518518517</v>
      </c>
      <c r="H3" s="13" t="str">
        <f>IFERROR(AJ3*(100%-U3)*(AV3/7.5),"")</f>
        <v/>
      </c>
      <c r="I3" s="13"/>
      <c r="J3" s="13"/>
      <c r="K3" s="13"/>
      <c r="L3" s="13"/>
      <c r="N3" s="2">
        <f>+'Daily Summary Old'!A30</f>
        <v>46160</v>
      </c>
      <c r="O3">
        <f>+WEEKNUM(N3)</f>
        <v>21</v>
      </c>
      <c r="P3" s="13">
        <f>+IFERROR('Raw Data - Production'!K35/('Raw Data - Production'!D35*Weights!$B$2),"")</f>
        <v>3.4917071954108994E-2</v>
      </c>
      <c r="Q3" s="13">
        <f>+IFERROR('Raw Data - Production'!L35/('Raw Data - Production'!E35*Weights!$B$2),"")</f>
        <v>4.7031158142269255E-2</v>
      </c>
      <c r="R3" s="13" t="str">
        <f>+IFERROR('Raw Data - Production'!M35/('Raw Data - Production'!F35*Weights!$B$2),"")</f>
        <v/>
      </c>
      <c r="S3" s="13" t="str">
        <f>+IFERROR('Raw Data - Production'!N35/('Raw Data - Production'!G35*Weights!$B$4),"")</f>
        <v/>
      </c>
      <c r="T3" s="13">
        <f>+IFERROR('Raw Data - Production'!O35/('Raw Data - Production'!H35*Weights!$B$4),"")</f>
        <v>0.10181057038199895</v>
      </c>
      <c r="U3" s="13" t="str">
        <f>+IFERROR('Raw Data - Production'!P35/('Raw Data - Production'!I35*Weights!$B$4),"")</f>
        <v/>
      </c>
      <c r="V3" s="13"/>
      <c r="W3" s="13"/>
      <c r="X3" s="13"/>
      <c r="Y3" s="13"/>
      <c r="AA3" s="2">
        <f>+N3</f>
        <v>46160</v>
      </c>
      <c r="AB3" s="11">
        <v>100</v>
      </c>
      <c r="AC3" s="11">
        <v>55</v>
      </c>
      <c r="AD3">
        <f>+WEEKNUM(AA3)</f>
        <v>21</v>
      </c>
      <c r="AE3" s="13">
        <f>$AB3/$AB$1</f>
        <v>1</v>
      </c>
      <c r="AF3" s="13">
        <f>$AB3/$AB$1</f>
        <v>1</v>
      </c>
      <c r="AG3" s="13">
        <f>$AB3/$AB$1</f>
        <v>1</v>
      </c>
      <c r="AH3" s="13">
        <f>+$AC3/$AC$1</f>
        <v>0.91666666666666663</v>
      </c>
      <c r="AI3" s="13">
        <f t="shared" ref="AI3:AJ18" si="0">+$AC3/$AC$1</f>
        <v>0.91666666666666663</v>
      </c>
      <c r="AJ3" s="13">
        <f t="shared" si="0"/>
        <v>0.91666666666666663</v>
      </c>
      <c r="AK3" s="13"/>
      <c r="AL3" s="13"/>
      <c r="AM3" s="13"/>
      <c r="AN3" s="13"/>
      <c r="AP3" s="2">
        <f>+AA3</f>
        <v>46160</v>
      </c>
      <c r="AQ3">
        <f>+WEEKNUM(AP3)</f>
        <v>21</v>
      </c>
      <c r="AR3" s="18">
        <f>('Raw Data - Production'!D35/100)/60</f>
        <v>5.28</v>
      </c>
      <c r="AS3" s="18">
        <f>('Raw Data - Production'!E35/100)/60</f>
        <v>5.04</v>
      </c>
      <c r="AT3" s="18">
        <f>('Raw Data - Production'!G35/50)/60</f>
        <v>0</v>
      </c>
      <c r="AU3" s="18">
        <f>('Raw Data - Production'!H35/50)/60</f>
        <v>3.1850000000000001</v>
      </c>
      <c r="AV3" s="18">
        <f>('Raw Data - Production'!I35/50)/60</f>
        <v>0</v>
      </c>
      <c r="AW3" s="18"/>
      <c r="AX3" s="18"/>
      <c r="AY3" s="18"/>
      <c r="AZ3" s="18"/>
    </row>
    <row r="4" spans="1:52" x14ac:dyDescent="0.35">
      <c r="A4" s="2">
        <f t="shared" ref="A4:A67" si="1">N4</f>
        <v>46161</v>
      </c>
      <c r="B4">
        <f t="shared" ref="B4:B67" si="2">+WEEKNUM(A4)</f>
        <v>21</v>
      </c>
      <c r="C4" s="13">
        <f t="shared" ref="C4:C67" si="3">IFERROR(AE4*(100%-P4)*(AR4/7.5),"")</f>
        <v>0.99577503429355274</v>
      </c>
      <c r="D4" s="13">
        <f t="shared" ref="D4:D67" si="4">IFERROR(AF4*(100%-Q4)*(AS4/7.5),"")</f>
        <v>0.49506502057613172</v>
      </c>
      <c r="E4" s="13" t="str">
        <f t="shared" ref="E4:E67" si="5">IFERROR(AG4*(100%-R4)*(AT4/7.5),"")</f>
        <v/>
      </c>
      <c r="F4" s="13" t="str">
        <f t="shared" ref="F4:F67" si="6">IFERROR(AH4*(100%-S4)*(AT4/7.5),"")</f>
        <v/>
      </c>
      <c r="G4" s="13">
        <f t="shared" ref="G4:G67" si="7">IFERROR(AI4*(100%-T4)*(AU4/7.5),"")</f>
        <v>0.27805555555555556</v>
      </c>
      <c r="H4" s="13" t="str">
        <f t="shared" ref="H4:H67" si="8">IFERROR(AJ4*(100%-U4)*(AV4/7.5),"")</f>
        <v/>
      </c>
      <c r="I4" s="13"/>
      <c r="J4" s="13"/>
      <c r="K4" s="13"/>
      <c r="L4" s="13"/>
      <c r="N4" s="2">
        <f>+'Daily Summary Old'!A31</f>
        <v>46161</v>
      </c>
      <c r="O4">
        <f t="shared" ref="O4:O67" si="9">+WEEKNUM(N4)</f>
        <v>21</v>
      </c>
      <c r="P4" s="13">
        <f>+IFERROR('Raw Data - Production'!K36/('Raw Data - Production'!D36*Weights!$B$2),"")</f>
        <v>1.7327268789257094E-2</v>
      </c>
      <c r="Q4" s="13">
        <f>+IFERROR('Raw Data - Production'!L36/('Raw Data - Production'!E36*Weights!$B$2),"")</f>
        <v>2.0836589050372455E-2</v>
      </c>
      <c r="R4" s="13" t="str">
        <f>+IFERROR('Raw Data - Production'!M36/('Raw Data - Production'!F36*Weights!$B$2),"")</f>
        <v/>
      </c>
      <c r="S4" s="13" t="str">
        <f>+IFERROR('Raw Data - Production'!N36/('Raw Data - Production'!G36*Weights!$B$4),"")</f>
        <v/>
      </c>
      <c r="T4" s="13">
        <f>+IFERROR('Raw Data - Production'!O36/('Raw Data - Production'!H36*Weights!$B$4),"")</f>
        <v>0</v>
      </c>
      <c r="U4" s="13" t="str">
        <f>+IFERROR('Raw Data - Production'!P36/('Raw Data - Production'!I36*Weights!$B$4),"")</f>
        <v/>
      </c>
      <c r="V4" s="13"/>
      <c r="W4" s="13"/>
      <c r="X4" s="13"/>
      <c r="Y4" s="13"/>
      <c r="AA4" s="2">
        <f t="shared" ref="AA4:AA67" si="10">+N4</f>
        <v>46161</v>
      </c>
      <c r="AB4" s="11">
        <v>100</v>
      </c>
      <c r="AC4" s="11">
        <v>55</v>
      </c>
      <c r="AD4">
        <f t="shared" ref="AD4:AD67" si="11">+WEEKNUM(AA4)</f>
        <v>21</v>
      </c>
      <c r="AE4" s="13">
        <f t="shared" ref="AE4:AG40" si="12">$AB4/$AB$1</f>
        <v>1</v>
      </c>
      <c r="AF4" s="13">
        <f t="shared" si="12"/>
        <v>1</v>
      </c>
      <c r="AG4" s="13">
        <f t="shared" si="12"/>
        <v>1</v>
      </c>
      <c r="AH4" s="13">
        <f t="shared" ref="AH4:AJ40" si="13">+$AC4/$AC$1</f>
        <v>0.91666666666666663</v>
      </c>
      <c r="AI4" s="13">
        <f t="shared" si="0"/>
        <v>0.91666666666666663</v>
      </c>
      <c r="AJ4" s="13">
        <f t="shared" si="0"/>
        <v>0.91666666666666663</v>
      </c>
      <c r="AK4" s="13"/>
      <c r="AL4" s="13"/>
      <c r="AM4" s="13"/>
      <c r="AN4" s="13"/>
      <c r="AP4" s="2">
        <f t="shared" ref="AP4:AP67" si="14">+AA4</f>
        <v>46161</v>
      </c>
      <c r="AQ4">
        <f t="shared" ref="AQ4:AQ67" si="15">+WEEKNUM(AP4)</f>
        <v>21</v>
      </c>
      <c r="AR4" s="18">
        <f>('Raw Data - Production'!D36/100)/60</f>
        <v>7.6</v>
      </c>
      <c r="AS4" s="18">
        <f>('Raw Data - Production'!E36/100)/60</f>
        <v>3.7920000000000003</v>
      </c>
      <c r="AT4" s="18">
        <f>('Raw Data - Production'!G36/50)/60</f>
        <v>0</v>
      </c>
      <c r="AU4" s="18">
        <f>('Raw Data - Production'!H36/50)/60</f>
        <v>2.2749999999999999</v>
      </c>
      <c r="AV4" s="18">
        <f>('Raw Data - Production'!I36/50)/60</f>
        <v>0</v>
      </c>
      <c r="AW4" s="18"/>
      <c r="AX4" s="18"/>
      <c r="AY4" s="18"/>
      <c r="AZ4" s="18"/>
    </row>
    <row r="5" spans="1:52" x14ac:dyDescent="0.35">
      <c r="A5" s="2">
        <f t="shared" si="1"/>
        <v>46162</v>
      </c>
      <c r="B5">
        <f t="shared" si="2"/>
        <v>21</v>
      </c>
      <c r="C5" s="13">
        <f t="shared" si="3"/>
        <v>0.91684170096021944</v>
      </c>
      <c r="D5" s="13">
        <f t="shared" si="4"/>
        <v>0.53346502057613177</v>
      </c>
      <c r="E5" s="13" t="str">
        <f t="shared" si="5"/>
        <v/>
      </c>
      <c r="F5" s="13" t="str">
        <f t="shared" si="6"/>
        <v/>
      </c>
      <c r="G5" s="13">
        <f t="shared" si="7"/>
        <v>0.69424666666666657</v>
      </c>
      <c r="H5" s="13" t="str">
        <f t="shared" si="8"/>
        <v/>
      </c>
      <c r="I5" s="13"/>
      <c r="J5" s="13"/>
      <c r="K5" s="13"/>
      <c r="L5" s="13"/>
      <c r="N5" s="2">
        <f>+'Daily Summary Old'!A32</f>
        <v>46162</v>
      </c>
      <c r="O5">
        <f t="shared" si="9"/>
        <v>21</v>
      </c>
      <c r="P5" s="13">
        <f>+IFERROR('Raw Data - Production'!K37/('Raw Data - Production'!D37*Weights!$B$2),"")</f>
        <v>1.8790987842230867E-2</v>
      </c>
      <c r="Q5" s="13">
        <f>+IFERROR('Raw Data - Production'!L37/('Raw Data - Production'!E37*Weights!$B$2),"")</f>
        <v>1.9365770999757927E-2</v>
      </c>
      <c r="R5" s="13" t="str">
        <f>+IFERROR('Raw Data - Production'!M37/('Raw Data - Production'!F37*Weights!$B$2),"")</f>
        <v/>
      </c>
      <c r="S5" s="13" t="str">
        <f>+IFERROR('Raw Data - Production'!N37/('Raw Data - Production'!G37*Weights!$B$4),"")</f>
        <v/>
      </c>
      <c r="T5" s="13">
        <f>+IFERROR('Raw Data - Production'!O37/('Raw Data - Production'!H37*Weights!$B$4),"")</f>
        <v>0.10004753102719831</v>
      </c>
      <c r="U5" s="13" t="str">
        <f>+IFERROR('Raw Data - Production'!P37/('Raw Data - Production'!I37*Weights!$B$4),"")</f>
        <v/>
      </c>
      <c r="V5" s="13"/>
      <c r="W5" s="13"/>
      <c r="X5" s="13"/>
      <c r="Y5" s="13"/>
      <c r="AA5" s="2">
        <f t="shared" si="10"/>
        <v>46162</v>
      </c>
      <c r="AB5" s="11">
        <v>100</v>
      </c>
      <c r="AC5" s="11">
        <v>55</v>
      </c>
      <c r="AD5">
        <f t="shared" si="11"/>
        <v>21</v>
      </c>
      <c r="AE5" s="13">
        <f t="shared" si="12"/>
        <v>1</v>
      </c>
      <c r="AF5" s="13">
        <f t="shared" si="12"/>
        <v>1</v>
      </c>
      <c r="AG5" s="13">
        <f t="shared" si="12"/>
        <v>1</v>
      </c>
      <c r="AH5" s="13">
        <f t="shared" si="13"/>
        <v>0.91666666666666663</v>
      </c>
      <c r="AI5" s="13">
        <f t="shared" si="0"/>
        <v>0.91666666666666663</v>
      </c>
      <c r="AJ5" s="13">
        <f t="shared" si="0"/>
        <v>0.91666666666666663</v>
      </c>
      <c r="AK5" s="13"/>
      <c r="AL5" s="13"/>
      <c r="AM5" s="13"/>
      <c r="AN5" s="13"/>
      <c r="AP5" s="2">
        <f t="shared" si="14"/>
        <v>46162</v>
      </c>
      <c r="AQ5">
        <f t="shared" si="15"/>
        <v>21</v>
      </c>
      <c r="AR5" s="18">
        <f>('Raw Data - Production'!D37/100)/60</f>
        <v>7.008</v>
      </c>
      <c r="AS5" s="18">
        <f>('Raw Data - Production'!E37/100)/60</f>
        <v>4.08</v>
      </c>
      <c r="AT5" s="18">
        <f>('Raw Data - Production'!G37/50)/60</f>
        <v>0</v>
      </c>
      <c r="AU5" s="18">
        <f>('Raw Data - Production'!H37/50)/60</f>
        <v>6.3116666666666665</v>
      </c>
      <c r="AV5" s="18">
        <f>('Raw Data - Production'!I37/50)/60</f>
        <v>0</v>
      </c>
      <c r="AW5" s="18"/>
      <c r="AX5" s="18"/>
      <c r="AY5" s="18"/>
      <c r="AZ5" s="18"/>
    </row>
    <row r="6" spans="1:52" x14ac:dyDescent="0.35">
      <c r="A6" s="2">
        <f t="shared" si="1"/>
        <v>46163</v>
      </c>
      <c r="B6">
        <f t="shared" si="2"/>
        <v>21</v>
      </c>
      <c r="C6" s="13">
        <f t="shared" si="3"/>
        <v>0.92800000000000005</v>
      </c>
      <c r="D6" s="13">
        <f t="shared" si="4"/>
        <v>0.2112</v>
      </c>
      <c r="E6" s="13" t="str">
        <f t="shared" si="5"/>
        <v/>
      </c>
      <c r="F6" s="13">
        <f t="shared" si="6"/>
        <v>3.9274074074074072E-2</v>
      </c>
      <c r="G6" s="13">
        <f t="shared" si="7"/>
        <v>0.19227185185185186</v>
      </c>
      <c r="H6" s="13" t="str">
        <f t="shared" si="8"/>
        <v/>
      </c>
      <c r="I6" s="13"/>
      <c r="J6" s="13"/>
      <c r="K6" s="13"/>
      <c r="L6" s="13"/>
      <c r="N6" s="2">
        <f>+'Daily Summary Old'!A33</f>
        <v>46163</v>
      </c>
      <c r="O6">
        <f t="shared" si="9"/>
        <v>21</v>
      </c>
      <c r="P6" s="13">
        <f>+IFERROR('Raw Data - Production'!K38/('Raw Data - Production'!D38*Weights!$B$2),"")</f>
        <v>0</v>
      </c>
      <c r="Q6" s="13">
        <f>+IFERROR('Raw Data - Production'!L38/('Raw Data - Production'!E38*Weights!$B$2),"")</f>
        <v>0</v>
      </c>
      <c r="R6" s="13" t="str">
        <f>+IFERROR('Raw Data - Production'!M38/('Raw Data - Production'!F38*Weights!$B$2),"")</f>
        <v/>
      </c>
      <c r="S6" s="13">
        <f>+IFERROR('Raw Data - Production'!N38/('Raw Data - Production'!G38*Weights!$B$4),"")</f>
        <v>0.37402597402597404</v>
      </c>
      <c r="T6" s="13">
        <f>+IFERROR('Raw Data - Production'!O38/('Raw Data - Production'!H38*Weights!$B$4),"")</f>
        <v>0.40599118942731277</v>
      </c>
      <c r="U6" s="13" t="str">
        <f>+IFERROR('Raw Data - Production'!P38/('Raw Data - Production'!I38*Weights!$B$4),"")</f>
        <v/>
      </c>
      <c r="V6" s="13"/>
      <c r="W6" s="13"/>
      <c r="X6" s="13"/>
      <c r="Y6" s="13"/>
      <c r="AA6" s="2">
        <f t="shared" si="10"/>
        <v>46163</v>
      </c>
      <c r="AB6" s="11">
        <v>100</v>
      </c>
      <c r="AC6" s="11">
        <v>55</v>
      </c>
      <c r="AD6">
        <f t="shared" si="11"/>
        <v>21</v>
      </c>
      <c r="AE6" s="13">
        <f t="shared" si="12"/>
        <v>1</v>
      </c>
      <c r="AF6" s="13">
        <f t="shared" si="12"/>
        <v>1</v>
      </c>
      <c r="AG6" s="13">
        <f t="shared" si="12"/>
        <v>1</v>
      </c>
      <c r="AH6" s="13">
        <f t="shared" si="13"/>
        <v>0.91666666666666663</v>
      </c>
      <c r="AI6" s="13">
        <f t="shared" si="0"/>
        <v>0.91666666666666663</v>
      </c>
      <c r="AJ6" s="13">
        <f t="shared" si="0"/>
        <v>0.91666666666666663</v>
      </c>
      <c r="AK6" s="13"/>
      <c r="AL6" s="13"/>
      <c r="AM6" s="13"/>
      <c r="AN6" s="13"/>
      <c r="AP6" s="2">
        <f t="shared" si="14"/>
        <v>46163</v>
      </c>
      <c r="AQ6">
        <f t="shared" si="15"/>
        <v>21</v>
      </c>
      <c r="AR6" s="18">
        <f>('Raw Data - Production'!D38/100)/60</f>
        <v>6.96</v>
      </c>
      <c r="AS6" s="18">
        <f>('Raw Data - Production'!E38/100)/60</f>
        <v>1.5840000000000001</v>
      </c>
      <c r="AT6" s="18">
        <f>('Raw Data - Production'!G38/50)/60</f>
        <v>0.51333333333333331</v>
      </c>
      <c r="AU6" s="18">
        <f>('Raw Data - Production'!H38/50)/60</f>
        <v>2.6483333333333334</v>
      </c>
      <c r="AV6" s="18">
        <f>('Raw Data - Production'!I38/50)/60</f>
        <v>0</v>
      </c>
      <c r="AW6" s="18"/>
      <c r="AX6" s="18"/>
      <c r="AY6" s="18"/>
      <c r="AZ6" s="18"/>
    </row>
    <row r="7" spans="1:52" x14ac:dyDescent="0.35">
      <c r="A7" s="2">
        <f t="shared" si="1"/>
        <v>46164</v>
      </c>
      <c r="B7">
        <f t="shared" si="2"/>
        <v>21</v>
      </c>
      <c r="C7" s="13" t="str">
        <f t="shared" si="3"/>
        <v/>
      </c>
      <c r="D7" s="13" t="str">
        <f t="shared" si="4"/>
        <v/>
      </c>
      <c r="E7" s="13" t="str">
        <f t="shared" si="5"/>
        <v/>
      </c>
      <c r="F7" s="13" t="str">
        <f t="shared" si="6"/>
        <v/>
      </c>
      <c r="G7" s="13" t="str">
        <f t="shared" si="7"/>
        <v/>
      </c>
      <c r="H7" s="13" t="str">
        <f t="shared" si="8"/>
        <v/>
      </c>
      <c r="I7" s="13"/>
      <c r="J7" s="13"/>
      <c r="K7" s="13"/>
      <c r="L7" s="13"/>
      <c r="N7" s="2">
        <f>+'Daily Summary Old'!A34</f>
        <v>46164</v>
      </c>
      <c r="O7">
        <f t="shared" si="9"/>
        <v>21</v>
      </c>
      <c r="P7" s="13" t="str">
        <f>+IFERROR('Raw Data - Production'!#REF!/('Raw Data - Production'!#REF!*Weights!$B$2),"")</f>
        <v/>
      </c>
      <c r="Q7" s="13" t="str">
        <f>+IFERROR('Raw Data - Production'!#REF!/('Raw Data - Production'!#REF!*Weights!$B$2),"")</f>
        <v/>
      </c>
      <c r="R7" s="13" t="str">
        <f>+IFERROR('Raw Data - Production'!M39/('Raw Data - Production'!F39*Weights!$B$2),"")</f>
        <v/>
      </c>
      <c r="S7" s="13" t="str">
        <f>+IFERROR('Raw Data - Production'!#REF!/('Raw Data - Production'!#REF!*Weights!$B$4),"")</f>
        <v/>
      </c>
      <c r="T7" s="13" t="str">
        <f>+IFERROR('Raw Data - Production'!#REF!/('Raw Data - Production'!#REF!*Weights!$B$4),"")</f>
        <v/>
      </c>
      <c r="U7" s="13" t="str">
        <f>+IFERROR('Raw Data - Production'!#REF!/('Raw Data - Production'!#REF!*Weights!$B$4),"")</f>
        <v/>
      </c>
      <c r="V7" s="13"/>
      <c r="W7" s="13"/>
      <c r="X7" s="13"/>
      <c r="Y7" s="13"/>
      <c r="AA7" s="2">
        <f t="shared" si="10"/>
        <v>46164</v>
      </c>
      <c r="AB7" s="11">
        <v>100</v>
      </c>
      <c r="AC7" s="11">
        <v>55</v>
      </c>
      <c r="AD7">
        <f t="shared" si="11"/>
        <v>21</v>
      </c>
      <c r="AE7" s="13">
        <f t="shared" si="12"/>
        <v>1</v>
      </c>
      <c r="AF7" s="13">
        <f t="shared" si="12"/>
        <v>1</v>
      </c>
      <c r="AG7" s="13">
        <f t="shared" si="12"/>
        <v>1</v>
      </c>
      <c r="AH7" s="13">
        <f t="shared" si="13"/>
        <v>0.91666666666666663</v>
      </c>
      <c r="AI7" s="13">
        <f t="shared" si="0"/>
        <v>0.91666666666666663</v>
      </c>
      <c r="AJ7" s="13">
        <f t="shared" si="0"/>
        <v>0.91666666666666663</v>
      </c>
      <c r="AK7" s="13"/>
      <c r="AL7" s="13"/>
      <c r="AM7" s="13"/>
      <c r="AN7" s="13"/>
      <c r="AP7" s="2">
        <f t="shared" si="14"/>
        <v>46164</v>
      </c>
      <c r="AQ7">
        <f t="shared" si="15"/>
        <v>21</v>
      </c>
      <c r="AR7" s="18">
        <f>('Raw Data - Production'!D39/100)/60</f>
        <v>0</v>
      </c>
      <c r="AS7" s="18">
        <f>('Raw Data - Production'!E39/100)/60</f>
        <v>0</v>
      </c>
      <c r="AT7" s="18">
        <f>('Raw Data - Production'!G39/50)/60</f>
        <v>0</v>
      </c>
      <c r="AU7" s="18">
        <f>('Raw Data - Production'!H39/50)/60</f>
        <v>0</v>
      </c>
      <c r="AV7" s="18">
        <f>('Raw Data - Production'!I39/50)/60</f>
        <v>0</v>
      </c>
      <c r="AW7" s="18"/>
      <c r="AX7" s="18"/>
      <c r="AY7" s="18"/>
      <c r="AZ7" s="18"/>
    </row>
    <row r="8" spans="1:52" x14ac:dyDescent="0.35">
      <c r="A8" s="2">
        <f t="shared" si="1"/>
        <v>46168</v>
      </c>
      <c r="B8">
        <f t="shared" si="2"/>
        <v>22</v>
      </c>
      <c r="C8" s="13">
        <f t="shared" si="3"/>
        <v>0.76550672153635113</v>
      </c>
      <c r="D8" s="13">
        <f t="shared" si="4"/>
        <v>0.66061344307270231</v>
      </c>
      <c r="E8" s="13" t="str">
        <f t="shared" si="5"/>
        <v/>
      </c>
      <c r="F8" s="13" t="str">
        <f t="shared" si="6"/>
        <v/>
      </c>
      <c r="G8" s="13" t="str">
        <f t="shared" si="7"/>
        <v/>
      </c>
      <c r="H8" s="13" t="str">
        <f t="shared" si="8"/>
        <v/>
      </c>
      <c r="I8" s="13"/>
      <c r="J8" s="13"/>
      <c r="K8" s="13"/>
      <c r="L8" s="13"/>
      <c r="N8" s="2">
        <f>+'Daily Summary Old'!A35</f>
        <v>46168</v>
      </c>
      <c r="O8">
        <f t="shared" si="9"/>
        <v>22</v>
      </c>
      <c r="P8" s="13">
        <f>+IFERROR('Raw Data - Production'!K40/('Raw Data - Production'!D40*Weights!$B$2),"")</f>
        <v>3.5399796451170404E-2</v>
      </c>
      <c r="Q8" s="13">
        <f>+IFERROR('Raw Data - Production'!L40/('Raw Data - Production'!E40*Weights!$B$2),"")</f>
        <v>7.8385263570448768E-2</v>
      </c>
      <c r="R8" s="13" t="str">
        <f>+IFERROR('Raw Data - Production'!M40/('Raw Data - Production'!F40*Weights!$B$2),"")</f>
        <v/>
      </c>
      <c r="S8" s="13" t="str">
        <f>+IFERROR('Raw Data - Production'!N40/('Raw Data - Production'!G40*Weights!$B$2),"")</f>
        <v/>
      </c>
      <c r="T8" s="13" t="str">
        <f>+IFERROR('Raw Data - Production'!O40/('Raw Data - Production'!H40*Weights!$B$2),"")</f>
        <v/>
      </c>
      <c r="U8" s="13" t="str">
        <f>+IFERROR('Raw Data - Production'!P40/('Raw Data - Production'!I40*Weights!$B$2),"")</f>
        <v/>
      </c>
      <c r="V8" s="13"/>
      <c r="W8" s="13"/>
      <c r="X8" s="13"/>
      <c r="Y8" s="13"/>
      <c r="AA8" s="2">
        <f t="shared" si="10"/>
        <v>46168</v>
      </c>
      <c r="AB8" s="11">
        <v>100</v>
      </c>
      <c r="AC8" s="11">
        <v>55</v>
      </c>
      <c r="AD8">
        <f t="shared" si="11"/>
        <v>22</v>
      </c>
      <c r="AE8" s="13">
        <f t="shared" si="12"/>
        <v>1</v>
      </c>
      <c r="AF8" s="13">
        <f t="shared" si="12"/>
        <v>1</v>
      </c>
      <c r="AG8" s="13">
        <f t="shared" si="12"/>
        <v>1</v>
      </c>
      <c r="AH8" s="13">
        <f t="shared" si="13"/>
        <v>0.91666666666666663</v>
      </c>
      <c r="AI8" s="13">
        <f t="shared" si="0"/>
        <v>0.91666666666666663</v>
      </c>
      <c r="AJ8" s="13">
        <f t="shared" si="0"/>
        <v>0.91666666666666663</v>
      </c>
      <c r="AK8" s="13"/>
      <c r="AL8" s="13"/>
      <c r="AM8" s="13"/>
      <c r="AN8" s="13"/>
      <c r="AP8" s="2">
        <f t="shared" si="14"/>
        <v>46168</v>
      </c>
      <c r="AQ8">
        <f t="shared" si="15"/>
        <v>22</v>
      </c>
      <c r="AR8" s="18">
        <f>('Raw Data - Production'!D40/100)/60</f>
        <v>5.952</v>
      </c>
      <c r="AS8" s="18">
        <f>('Raw Data - Production'!E40/100)/60</f>
        <v>5.3760000000000003</v>
      </c>
      <c r="AT8" s="18">
        <f>('Raw Data - Production'!G40/50)/60</f>
        <v>0</v>
      </c>
      <c r="AU8" s="18">
        <f>('Raw Data - Production'!H40/50)/60</f>
        <v>0</v>
      </c>
      <c r="AV8" s="18">
        <f>('Raw Data - Production'!I40/50)/60</f>
        <v>0</v>
      </c>
      <c r="AW8" s="18"/>
      <c r="AX8" s="18"/>
      <c r="AY8" s="18"/>
      <c r="AZ8" s="18"/>
    </row>
    <row r="9" spans="1:52" x14ac:dyDescent="0.35">
      <c r="A9" s="2">
        <f t="shared" si="1"/>
        <v>46169</v>
      </c>
      <c r="B9">
        <f t="shared" si="2"/>
        <v>22</v>
      </c>
      <c r="C9" s="13" t="str">
        <f t="shared" si="3"/>
        <v/>
      </c>
      <c r="D9" s="13" t="str">
        <f t="shared" si="4"/>
        <v/>
      </c>
      <c r="E9" s="13" t="str">
        <f t="shared" si="5"/>
        <v/>
      </c>
      <c r="F9" s="13" t="str">
        <f t="shared" si="6"/>
        <v/>
      </c>
      <c r="G9" s="13" t="str">
        <f t="shared" si="7"/>
        <v/>
      </c>
      <c r="H9" s="13" t="str">
        <f t="shared" si="8"/>
        <v/>
      </c>
      <c r="I9" s="13"/>
      <c r="J9" s="13"/>
      <c r="K9" s="13"/>
      <c r="L9" s="13"/>
      <c r="N9" s="2">
        <f>+'Daily Summary Old'!A36</f>
        <v>46169</v>
      </c>
      <c r="O9">
        <f t="shared" si="9"/>
        <v>22</v>
      </c>
      <c r="P9" s="13" t="str">
        <f>+IFERROR('Raw Data - Production'!K41/('Raw Data - Production'!D41*Weights!$B$2),"")</f>
        <v/>
      </c>
      <c r="Q9" s="13" t="str">
        <f>+IFERROR('Raw Data - Production'!L41/('Raw Data - Production'!E41*Weights!$B$2),"")</f>
        <v/>
      </c>
      <c r="R9" s="13" t="str">
        <f>+IFERROR('Raw Data - Production'!M41/('Raw Data - Production'!F41*Weights!$B$2),"")</f>
        <v/>
      </c>
      <c r="S9" s="13" t="str">
        <f>+IFERROR('Raw Data - Production'!N41/('Raw Data - Production'!G41*Weights!$B$2),"")</f>
        <v/>
      </c>
      <c r="T9" s="13" t="str">
        <f>+IFERROR('Raw Data - Production'!O41/('Raw Data - Production'!H41*Weights!$B$2),"")</f>
        <v/>
      </c>
      <c r="U9" s="13" t="str">
        <f>+IFERROR('Raw Data - Production'!P41/('Raw Data - Production'!I41*Weights!$B$2),"")</f>
        <v/>
      </c>
      <c r="V9" s="13"/>
      <c r="W9" s="13"/>
      <c r="X9" s="13"/>
      <c r="Y9" s="13"/>
      <c r="AA9" s="2">
        <f t="shared" si="10"/>
        <v>46169</v>
      </c>
      <c r="AB9" s="11">
        <v>100</v>
      </c>
      <c r="AC9" s="11">
        <v>55</v>
      </c>
      <c r="AD9">
        <f t="shared" si="11"/>
        <v>22</v>
      </c>
      <c r="AE9" s="13">
        <f t="shared" si="12"/>
        <v>1</v>
      </c>
      <c r="AF9" s="13">
        <f t="shared" si="12"/>
        <v>1</v>
      </c>
      <c r="AG9" s="13">
        <f t="shared" si="12"/>
        <v>1</v>
      </c>
      <c r="AH9" s="13">
        <f t="shared" si="13"/>
        <v>0.91666666666666663</v>
      </c>
      <c r="AI9" s="13">
        <f t="shared" si="0"/>
        <v>0.91666666666666663</v>
      </c>
      <c r="AJ9" s="13">
        <f t="shared" si="0"/>
        <v>0.91666666666666663</v>
      </c>
      <c r="AK9" s="13"/>
      <c r="AL9" s="13"/>
      <c r="AM9" s="13"/>
      <c r="AN9" s="13"/>
      <c r="AP9" s="2">
        <f t="shared" si="14"/>
        <v>46169</v>
      </c>
      <c r="AQ9">
        <f t="shared" si="15"/>
        <v>22</v>
      </c>
      <c r="AR9" s="18">
        <f>('Raw Data - Production'!D41/100)/60</f>
        <v>0</v>
      </c>
      <c r="AS9" s="18">
        <f>('Raw Data - Production'!E41/100)/60</f>
        <v>0</v>
      </c>
      <c r="AT9" s="18">
        <f>('Raw Data - Production'!G41/50)/60</f>
        <v>0</v>
      </c>
      <c r="AU9" s="18">
        <f>('Raw Data - Production'!H41/50)/60</f>
        <v>0</v>
      </c>
      <c r="AV9" s="18">
        <f>('Raw Data - Production'!I41/50)/60</f>
        <v>0</v>
      </c>
      <c r="AW9" s="18"/>
      <c r="AX9" s="18"/>
      <c r="AY9" s="18"/>
      <c r="AZ9" s="18"/>
    </row>
    <row r="10" spans="1:52" x14ac:dyDescent="0.35">
      <c r="A10" s="2">
        <f t="shared" si="1"/>
        <v>46170</v>
      </c>
      <c r="B10">
        <f t="shared" si="2"/>
        <v>22</v>
      </c>
      <c r="C10" s="13" t="str">
        <f t="shared" si="3"/>
        <v/>
      </c>
      <c r="D10" s="13" t="str">
        <f t="shared" si="4"/>
        <v/>
      </c>
      <c r="E10" s="13" t="str">
        <f t="shared" si="5"/>
        <v/>
      </c>
      <c r="F10" s="13" t="str">
        <f t="shared" si="6"/>
        <v/>
      </c>
      <c r="G10" s="13">
        <f t="shared" si="7"/>
        <v>0.35493735711019658</v>
      </c>
      <c r="H10" s="13">
        <f t="shared" si="8"/>
        <v>0.31023420210333785</v>
      </c>
      <c r="I10" s="13"/>
      <c r="J10" s="13"/>
      <c r="K10" s="13"/>
      <c r="L10" s="13"/>
      <c r="N10" s="2">
        <f>+'Daily Summary Old'!A37</f>
        <v>46170</v>
      </c>
      <c r="O10">
        <f t="shared" si="9"/>
        <v>22</v>
      </c>
      <c r="P10" s="13" t="str">
        <f>+IFERROR('Raw Data - Production'!K42/('Raw Data - Production'!D42*Weights!$B$2),"")</f>
        <v/>
      </c>
      <c r="Q10" s="13" t="str">
        <f>+IFERROR('Raw Data - Production'!L42/('Raw Data - Production'!E42*Weights!$B$2),"")</f>
        <v/>
      </c>
      <c r="R10" s="13" t="str">
        <f>+IFERROR('Raw Data - Production'!M42/('Raw Data - Production'!F42*Weights!$B$2),"")</f>
        <v/>
      </c>
      <c r="S10" s="13" t="str">
        <f>+IFERROR('Raw Data - Production'!N42/('Raw Data - Production'!G42*Weights!$B$2),"")</f>
        <v/>
      </c>
      <c r="T10" s="13">
        <f>+IFERROR('Raw Data - Production'!O42/('Raw Data - Production'!H42*Weights!$B$2),"")</f>
        <v>0.18119372505337417</v>
      </c>
      <c r="U10" s="13">
        <f>+IFERROR('Raw Data - Production'!P42/('Raw Data - Production'!I42*Weights!$B$2),"")</f>
        <v>0.23252978167981864</v>
      </c>
      <c r="V10" s="13"/>
      <c r="W10" s="13"/>
      <c r="X10" s="13"/>
      <c r="Y10" s="13"/>
      <c r="AA10" s="2">
        <f t="shared" si="10"/>
        <v>46170</v>
      </c>
      <c r="AB10" s="11">
        <v>100</v>
      </c>
      <c r="AC10" s="11">
        <v>55</v>
      </c>
      <c r="AD10">
        <f t="shared" si="11"/>
        <v>22</v>
      </c>
      <c r="AE10" s="13">
        <f t="shared" si="12"/>
        <v>1</v>
      </c>
      <c r="AF10" s="13">
        <f t="shared" si="12"/>
        <v>1</v>
      </c>
      <c r="AG10" s="13">
        <f t="shared" si="12"/>
        <v>1</v>
      </c>
      <c r="AH10" s="13">
        <f t="shared" si="13"/>
        <v>0.91666666666666663</v>
      </c>
      <c r="AI10" s="13">
        <f t="shared" si="0"/>
        <v>0.91666666666666663</v>
      </c>
      <c r="AJ10" s="13">
        <f t="shared" si="0"/>
        <v>0.91666666666666663</v>
      </c>
      <c r="AK10" s="13"/>
      <c r="AL10" s="13"/>
      <c r="AM10" s="13"/>
      <c r="AN10" s="13"/>
      <c r="AP10" s="2">
        <f t="shared" si="14"/>
        <v>46170</v>
      </c>
      <c r="AQ10">
        <f t="shared" si="15"/>
        <v>22</v>
      </c>
      <c r="AR10" s="18">
        <f>('Raw Data - Production'!D42/100)/60</f>
        <v>0</v>
      </c>
      <c r="AS10" s="18">
        <f>('Raw Data - Production'!E42/100)/60</f>
        <v>0</v>
      </c>
      <c r="AT10" s="18">
        <f>('Raw Data - Production'!G42/50)/60</f>
        <v>0</v>
      </c>
      <c r="AU10" s="18">
        <f>('Raw Data - Production'!H42/50)/60</f>
        <v>3.5466666666666669</v>
      </c>
      <c r="AV10" s="18">
        <f>('Raw Data - Production'!I42/50)/60</f>
        <v>3.3073333333333332</v>
      </c>
      <c r="AW10" s="18"/>
      <c r="AX10" s="18"/>
      <c r="AY10" s="18"/>
      <c r="AZ10" s="18"/>
    </row>
    <row r="11" spans="1:52" x14ac:dyDescent="0.35">
      <c r="A11" s="2">
        <f t="shared" si="1"/>
        <v>46171</v>
      </c>
      <c r="B11">
        <f t="shared" si="2"/>
        <v>22</v>
      </c>
      <c r="C11" s="13">
        <f t="shared" si="3"/>
        <v>0.71555336076817555</v>
      </c>
      <c r="D11" s="13">
        <f t="shared" si="4"/>
        <v>0.68995336076817559</v>
      </c>
      <c r="E11" s="13" t="str">
        <f t="shared" si="5"/>
        <v/>
      </c>
      <c r="F11" s="13" t="str">
        <f t="shared" si="6"/>
        <v/>
      </c>
      <c r="G11" s="13" t="str">
        <f t="shared" si="7"/>
        <v/>
      </c>
      <c r="H11" s="13" t="str">
        <f t="shared" si="8"/>
        <v/>
      </c>
      <c r="I11" s="13"/>
      <c r="J11" s="13"/>
      <c r="K11" s="13"/>
      <c r="L11" s="13"/>
      <c r="N11" s="2">
        <f>+'Daily Summary Old'!A38</f>
        <v>46171</v>
      </c>
      <c r="O11">
        <f t="shared" si="9"/>
        <v>22</v>
      </c>
      <c r="P11" s="13">
        <f>+IFERROR('Raw Data - Production'!K43/('Raw Data - Production'!D43*Weights!$B$2),"")</f>
        <v>1.9252520876952325E-2</v>
      </c>
      <c r="Q11" s="13">
        <f>+IFERROR('Raw Data - Production'!L43/('Raw Data - Production'!E43*Weights!$B$2),"")</f>
        <v>1.9952612545205139E-2</v>
      </c>
      <c r="R11" s="13" t="str">
        <f>+IFERROR('Raw Data - Production'!M43/('Raw Data - Production'!F43*Weights!$B$2),"")</f>
        <v/>
      </c>
      <c r="S11" s="13" t="str">
        <f>+IFERROR('Raw Data - Production'!N43/('Raw Data - Production'!G43*Weights!$B$2),"")</f>
        <v/>
      </c>
      <c r="T11" s="13" t="str">
        <f>+IFERROR('Raw Data - Production'!O43/('Raw Data - Production'!H43*Weights!$B$2),"")</f>
        <v/>
      </c>
      <c r="U11" s="13" t="str">
        <f>+IFERROR('Raw Data - Production'!P43/('Raw Data - Production'!I43*Weights!$B$2),"")</f>
        <v/>
      </c>
      <c r="V11" s="13"/>
      <c r="W11" s="13"/>
      <c r="X11" s="13"/>
      <c r="Y11" s="13"/>
      <c r="AA11" s="2">
        <f t="shared" si="10"/>
        <v>46171</v>
      </c>
      <c r="AB11" s="11">
        <v>100</v>
      </c>
      <c r="AC11" s="11">
        <v>55</v>
      </c>
      <c r="AD11">
        <f t="shared" si="11"/>
        <v>22</v>
      </c>
      <c r="AE11" s="13">
        <f t="shared" si="12"/>
        <v>1</v>
      </c>
      <c r="AF11" s="13">
        <f t="shared" si="12"/>
        <v>1</v>
      </c>
      <c r="AG11" s="13">
        <f t="shared" si="12"/>
        <v>1</v>
      </c>
      <c r="AH11" s="13">
        <f t="shared" si="13"/>
        <v>0.91666666666666663</v>
      </c>
      <c r="AI11" s="13">
        <f t="shared" si="0"/>
        <v>0.91666666666666663</v>
      </c>
      <c r="AJ11" s="13">
        <f t="shared" si="0"/>
        <v>0.91666666666666663</v>
      </c>
      <c r="AK11" s="13"/>
      <c r="AL11" s="13"/>
      <c r="AM11" s="13"/>
      <c r="AN11" s="13"/>
      <c r="AP11" s="2">
        <f t="shared" si="14"/>
        <v>46171</v>
      </c>
      <c r="AQ11">
        <f t="shared" si="15"/>
        <v>22</v>
      </c>
      <c r="AR11" s="18">
        <f>('Raw Data - Production'!D43/100)/60</f>
        <v>5.4719999999999995</v>
      </c>
      <c r="AS11" s="18">
        <f>('Raw Data - Production'!E43/100)/60</f>
        <v>5.28</v>
      </c>
      <c r="AT11" s="18">
        <f>('Raw Data - Production'!G43/50)/60</f>
        <v>0</v>
      </c>
      <c r="AU11" s="18">
        <f>('Raw Data - Production'!H43/50)/60</f>
        <v>0</v>
      </c>
      <c r="AV11" s="18">
        <f>('Raw Data - Production'!I43/50)/60</f>
        <v>0</v>
      </c>
      <c r="AW11" s="18"/>
      <c r="AX11" s="18"/>
      <c r="AY11" s="18"/>
      <c r="AZ11" s="18"/>
    </row>
    <row r="12" spans="1:52" x14ac:dyDescent="0.35">
      <c r="A12" s="2">
        <f t="shared" si="1"/>
        <v>46174</v>
      </c>
      <c r="B12">
        <f t="shared" si="2"/>
        <v>23</v>
      </c>
      <c r="C12" s="13">
        <f t="shared" si="3"/>
        <v>0.59184636488340203</v>
      </c>
      <c r="D12" s="13">
        <f t="shared" si="4"/>
        <v>0.98967352537722908</v>
      </c>
      <c r="E12" s="13" t="str">
        <f t="shared" si="5"/>
        <v/>
      </c>
      <c r="F12" s="13" t="str">
        <f t="shared" si="6"/>
        <v/>
      </c>
      <c r="G12" s="13" t="str">
        <f t="shared" si="7"/>
        <v/>
      </c>
      <c r="H12" s="13" t="str">
        <f t="shared" si="8"/>
        <v/>
      </c>
      <c r="I12" s="13"/>
      <c r="J12" s="13"/>
      <c r="K12" s="13"/>
      <c r="L12" s="13"/>
      <c r="N12" s="2">
        <f>+'Daily Summary Old'!A39</f>
        <v>46174</v>
      </c>
      <c r="O12">
        <f t="shared" si="9"/>
        <v>23</v>
      </c>
      <c r="P12" s="13">
        <f>+IFERROR('Raw Data - Production'!K44/('Raw Data - Production'!D44*Weights!$B$2),"")</f>
        <v>2.656847881019421E-2</v>
      </c>
      <c r="Q12" s="13">
        <f>+IFERROR('Raw Data - Production'!L44/('Raw Data - Production'!E44*Weights!$B$2),"")</f>
        <v>9.0373597998870334E-2</v>
      </c>
      <c r="R12" s="13" t="str">
        <f>+IFERROR('Raw Data - Production'!M44/('Raw Data - Production'!F44*Weights!$B$2),"")</f>
        <v/>
      </c>
      <c r="S12" s="13" t="str">
        <f>+IFERROR('Raw Data - Production'!N44/('Raw Data - Production'!G44*Weights!$B$2),"")</f>
        <v/>
      </c>
      <c r="T12" s="13" t="str">
        <f>+IFERROR('Raw Data - Production'!O44/('Raw Data - Production'!H44*Weights!$B$2),"")</f>
        <v/>
      </c>
      <c r="U12" s="13" t="str">
        <f>+IFERROR('Raw Data - Production'!P44/('Raw Data - Production'!I44*Weights!$B$2),"")</f>
        <v/>
      </c>
      <c r="V12" s="13"/>
      <c r="W12" s="13"/>
      <c r="X12" s="13"/>
      <c r="Y12" s="13"/>
      <c r="AA12" s="2">
        <f t="shared" si="10"/>
        <v>46174</v>
      </c>
      <c r="AB12" s="11">
        <v>100</v>
      </c>
      <c r="AC12" s="11">
        <v>55</v>
      </c>
      <c r="AD12">
        <f t="shared" si="11"/>
        <v>23</v>
      </c>
      <c r="AE12" s="13">
        <f t="shared" si="12"/>
        <v>1</v>
      </c>
      <c r="AF12" s="13">
        <f t="shared" si="12"/>
        <v>1</v>
      </c>
      <c r="AG12" s="13">
        <f t="shared" si="12"/>
        <v>1</v>
      </c>
      <c r="AH12" s="13">
        <f t="shared" si="13"/>
        <v>0.91666666666666663</v>
      </c>
      <c r="AI12" s="13">
        <f t="shared" si="0"/>
        <v>0.91666666666666663</v>
      </c>
      <c r="AJ12" s="13">
        <f t="shared" si="0"/>
        <v>0.91666666666666663</v>
      </c>
      <c r="AK12" s="13"/>
      <c r="AL12" s="13"/>
      <c r="AM12" s="13"/>
      <c r="AN12" s="13"/>
      <c r="AP12" s="2">
        <f t="shared" si="14"/>
        <v>46174</v>
      </c>
      <c r="AQ12">
        <f t="shared" si="15"/>
        <v>23</v>
      </c>
      <c r="AR12" s="18">
        <f>('Raw Data - Production'!D44/100)/60</f>
        <v>4.5600000000000005</v>
      </c>
      <c r="AS12" s="18">
        <f>('Raw Data - Production'!E44/100)/60</f>
        <v>8.16</v>
      </c>
      <c r="AT12" s="18">
        <f>('Raw Data - Production'!G44/50)/60</f>
        <v>0</v>
      </c>
      <c r="AU12" s="18">
        <f>('Raw Data - Production'!H44/50)/60</f>
        <v>0</v>
      </c>
      <c r="AV12" s="18">
        <f>('Raw Data - Production'!I44/50)/60</f>
        <v>0</v>
      </c>
      <c r="AW12" s="18"/>
      <c r="AX12" s="18"/>
      <c r="AY12" s="18"/>
      <c r="AZ12" s="18"/>
    </row>
    <row r="13" spans="1:52" x14ac:dyDescent="0.35">
      <c r="A13" s="2">
        <f t="shared" si="1"/>
        <v>46175</v>
      </c>
      <c r="B13">
        <f t="shared" si="2"/>
        <v>23</v>
      </c>
      <c r="C13" s="13">
        <f t="shared" si="3"/>
        <v>0.95828806584362136</v>
      </c>
      <c r="D13" s="13">
        <f t="shared" si="4"/>
        <v>0.96671604938271594</v>
      </c>
      <c r="E13" s="13" t="str">
        <f t="shared" si="5"/>
        <v/>
      </c>
      <c r="F13" s="13" t="str">
        <f t="shared" si="6"/>
        <v/>
      </c>
      <c r="G13" s="13" t="str">
        <f t="shared" si="7"/>
        <v/>
      </c>
      <c r="H13" s="13" t="str">
        <f t="shared" si="8"/>
        <v/>
      </c>
      <c r="I13" s="13"/>
      <c r="J13" s="13"/>
      <c r="K13" s="13"/>
      <c r="L13" s="13"/>
      <c r="N13" s="2">
        <f>+'Daily Summary Old'!A40</f>
        <v>46175</v>
      </c>
      <c r="O13">
        <f t="shared" si="9"/>
        <v>23</v>
      </c>
      <c r="P13" s="13">
        <f>+IFERROR('Raw Data - Production'!K45/('Raw Data - Production'!D45*Weights!$B$2),"")</f>
        <v>3.3983804593123591E-2</v>
      </c>
      <c r="Q13" s="13">
        <f>+IFERROR('Raw Data - Production'!L45/('Raw Data - Production'!E45*Weights!$B$2),"")</f>
        <v>2.5487853444842692E-2</v>
      </c>
      <c r="R13" s="13" t="str">
        <f>+IFERROR('Raw Data - Production'!M45/('Raw Data - Production'!F45*Weights!$B$2),"")</f>
        <v/>
      </c>
      <c r="S13" s="13" t="str">
        <f>+IFERROR('Raw Data - Production'!N45/('Raw Data - Production'!G45*Weights!$B$2),"")</f>
        <v/>
      </c>
      <c r="T13" s="13" t="str">
        <f>+IFERROR('Raw Data - Production'!O45/('Raw Data - Production'!H45*Weights!$B$2),"")</f>
        <v/>
      </c>
      <c r="U13" s="13" t="str">
        <f>+IFERROR('Raw Data - Production'!P45/('Raw Data - Production'!I45*Weights!$B$2),"")</f>
        <v/>
      </c>
      <c r="V13" s="13"/>
      <c r="W13" s="13"/>
      <c r="X13" s="13"/>
      <c r="Y13" s="13"/>
      <c r="AA13" s="2">
        <f t="shared" si="10"/>
        <v>46175</v>
      </c>
      <c r="AB13" s="11">
        <v>100</v>
      </c>
      <c r="AC13" s="11">
        <v>55</v>
      </c>
      <c r="AD13">
        <f t="shared" si="11"/>
        <v>23</v>
      </c>
      <c r="AE13" s="13">
        <f t="shared" si="12"/>
        <v>1</v>
      </c>
      <c r="AF13" s="13">
        <f t="shared" si="12"/>
        <v>1</v>
      </c>
      <c r="AG13" s="13">
        <f t="shared" si="12"/>
        <v>1</v>
      </c>
      <c r="AH13" s="13">
        <f t="shared" si="13"/>
        <v>0.91666666666666663</v>
      </c>
      <c r="AI13" s="13">
        <f t="shared" si="0"/>
        <v>0.91666666666666663</v>
      </c>
      <c r="AJ13" s="13">
        <f t="shared" si="0"/>
        <v>0.91666666666666663</v>
      </c>
      <c r="AK13" s="13"/>
      <c r="AL13" s="13"/>
      <c r="AM13" s="13"/>
      <c r="AN13" s="13"/>
      <c r="AP13" s="2">
        <f t="shared" si="14"/>
        <v>46175</v>
      </c>
      <c r="AQ13">
        <f t="shared" si="15"/>
        <v>23</v>
      </c>
      <c r="AR13" s="18">
        <f>('Raw Data - Production'!D45/100)/60</f>
        <v>7.4399999999999995</v>
      </c>
      <c r="AS13" s="18">
        <f>('Raw Data - Production'!E45/100)/60</f>
        <v>7.4399999999999995</v>
      </c>
      <c r="AT13" s="18">
        <f>('Raw Data - Production'!G45/50)/60</f>
        <v>0</v>
      </c>
      <c r="AU13" s="18">
        <f>('Raw Data - Production'!H45/50)/60</f>
        <v>0</v>
      </c>
      <c r="AV13" s="18">
        <f>('Raw Data - Production'!I45/50)/60</f>
        <v>0</v>
      </c>
      <c r="AW13" s="18"/>
      <c r="AX13" s="18"/>
      <c r="AY13" s="18"/>
      <c r="AZ13" s="18"/>
    </row>
    <row r="14" spans="1:52" x14ac:dyDescent="0.35">
      <c r="A14" s="2">
        <f t="shared" si="1"/>
        <v>46176</v>
      </c>
      <c r="B14">
        <f t="shared" si="2"/>
        <v>23</v>
      </c>
      <c r="C14" s="13">
        <f t="shared" si="3"/>
        <v>0.3415089163237312</v>
      </c>
      <c r="D14" s="13">
        <f t="shared" si="4"/>
        <v>0.83699753086419759</v>
      </c>
      <c r="E14" s="13" t="str">
        <f t="shared" si="5"/>
        <v/>
      </c>
      <c r="F14" s="13" t="str">
        <f t="shared" si="6"/>
        <v/>
      </c>
      <c r="G14" s="13" t="str">
        <f t="shared" si="7"/>
        <v/>
      </c>
      <c r="H14" s="13" t="str">
        <f t="shared" si="8"/>
        <v/>
      </c>
      <c r="I14" s="13"/>
      <c r="J14" s="13"/>
      <c r="K14" s="13"/>
      <c r="L14" s="13"/>
      <c r="N14" s="2">
        <f>+'Daily Summary Old'!A41</f>
        <v>46176</v>
      </c>
      <c r="O14">
        <f t="shared" si="9"/>
        <v>23</v>
      </c>
      <c r="P14" s="13">
        <f>+IFERROR('Raw Data - Production'!K46/('Raw Data - Production'!D46*Weights!$B$2),"")</f>
        <v>0.11065386374028349</v>
      </c>
      <c r="Q14" s="13">
        <f>+IFERROR('Raw Data - Production'!L46/('Raw Data - Production'!E46*Weights!$B$2),"")</f>
        <v>1.853009983091284E-2</v>
      </c>
      <c r="R14" s="13" t="str">
        <f>+IFERROR('Raw Data - Production'!M46/('Raw Data - Production'!F46*Weights!$B$2),"")</f>
        <v/>
      </c>
      <c r="S14" s="13" t="str">
        <f>+IFERROR('Raw Data - Production'!N46/('Raw Data - Production'!G46*Weights!$B$2),"")</f>
        <v/>
      </c>
      <c r="T14" s="13" t="str">
        <f>+IFERROR('Raw Data - Production'!O46/('Raw Data - Production'!H46*Weights!$B$2),"")</f>
        <v/>
      </c>
      <c r="U14" s="13" t="str">
        <f>+IFERROR('Raw Data - Production'!P46/('Raw Data - Production'!I46*Weights!$B$2),"")</f>
        <v/>
      </c>
      <c r="V14" s="13"/>
      <c r="W14" s="13"/>
      <c r="X14" s="13"/>
      <c r="Y14" s="13"/>
      <c r="AA14" s="2">
        <f t="shared" si="10"/>
        <v>46176</v>
      </c>
      <c r="AB14" s="11">
        <v>100</v>
      </c>
      <c r="AC14" s="11">
        <v>55</v>
      </c>
      <c r="AD14">
        <f t="shared" si="11"/>
        <v>23</v>
      </c>
      <c r="AE14" s="13">
        <f t="shared" si="12"/>
        <v>1</v>
      </c>
      <c r="AF14" s="13">
        <f t="shared" si="12"/>
        <v>1</v>
      </c>
      <c r="AG14" s="13">
        <f t="shared" si="12"/>
        <v>1</v>
      </c>
      <c r="AH14" s="13">
        <f t="shared" si="13"/>
        <v>0.91666666666666663</v>
      </c>
      <c r="AI14" s="13">
        <f t="shared" si="0"/>
        <v>0.91666666666666663</v>
      </c>
      <c r="AJ14" s="13">
        <f t="shared" si="0"/>
        <v>0.91666666666666663</v>
      </c>
      <c r="AK14" s="13"/>
      <c r="AL14" s="13"/>
      <c r="AM14" s="13"/>
      <c r="AN14" s="13"/>
      <c r="AP14" s="2">
        <f t="shared" si="14"/>
        <v>46176</v>
      </c>
      <c r="AQ14">
        <f t="shared" si="15"/>
        <v>23</v>
      </c>
      <c r="AR14" s="18">
        <f>('Raw Data - Production'!D46/100)/60</f>
        <v>2.8800000000000003</v>
      </c>
      <c r="AS14" s="18">
        <f>('Raw Data - Production'!E46/100)/60</f>
        <v>6.3959999999999999</v>
      </c>
      <c r="AT14" s="18">
        <f>('Raw Data - Production'!G46/50)/60</f>
        <v>0</v>
      </c>
      <c r="AU14" s="18">
        <f>('Raw Data - Production'!H46/50)/60</f>
        <v>0</v>
      </c>
      <c r="AV14" s="18">
        <f>('Raw Data - Production'!I46/50)/60</f>
        <v>0</v>
      </c>
      <c r="AW14" s="18"/>
      <c r="AX14" s="18"/>
      <c r="AY14" s="18"/>
      <c r="AZ14" s="18"/>
    </row>
    <row r="15" spans="1:52" x14ac:dyDescent="0.35">
      <c r="A15" s="2">
        <f t="shared" si="1"/>
        <v>46177</v>
      </c>
      <c r="B15">
        <f t="shared" si="2"/>
        <v>23</v>
      </c>
      <c r="C15" s="13">
        <f t="shared" si="3"/>
        <v>0.26522469135802468</v>
      </c>
      <c r="D15" s="13">
        <f t="shared" si="4"/>
        <v>0.7384735253772291</v>
      </c>
      <c r="E15" s="13" t="str">
        <f t="shared" si="5"/>
        <v/>
      </c>
      <c r="F15" s="13" t="str">
        <f t="shared" si="6"/>
        <v/>
      </c>
      <c r="G15" s="13">
        <f t="shared" si="7"/>
        <v>0.29716598079561041</v>
      </c>
      <c r="H15" s="13" t="str">
        <f t="shared" si="8"/>
        <v/>
      </c>
      <c r="I15" s="13"/>
      <c r="J15" s="13"/>
      <c r="K15" s="13"/>
      <c r="L15" s="13"/>
      <c r="N15" s="2">
        <f>+'Daily Summary Old'!A42</f>
        <v>46177</v>
      </c>
      <c r="O15">
        <f t="shared" si="9"/>
        <v>23</v>
      </c>
      <c r="P15" s="13">
        <f>+IFERROR('Raw Data - Production'!K47/('Raw Data - Production'!D47*Weights!$B$2),"")</f>
        <v>4.5496552214402505E-2</v>
      </c>
      <c r="Q15" s="13">
        <f>+IFERROR('Raw Data - Production'!L47/('Raw Data - Production'!E47*Weights!$B$2),"")</f>
        <v>1.7290376094886782E-2</v>
      </c>
      <c r="R15" s="13" t="str">
        <f>+IFERROR('Raw Data - Production'!M47/('Raw Data - Production'!F47*Weights!$B$2),"")</f>
        <v/>
      </c>
      <c r="S15" s="13" t="str">
        <f>+IFERROR('Raw Data - Production'!N47/('Raw Data - Production'!G47*Weights!$B$2),"")</f>
        <v/>
      </c>
      <c r="T15" s="13">
        <f>+IFERROR('Raw Data - Production'!O47/('Raw Data - Production'!H47*Weights!$B$2),"")</f>
        <v>0.22238016267867014</v>
      </c>
      <c r="U15" s="13" t="str">
        <f>+IFERROR('Raw Data - Production'!P47/('Raw Data - Production'!I47*Weights!$B$2),"")</f>
        <v/>
      </c>
      <c r="V15" s="13"/>
      <c r="W15" s="13"/>
      <c r="X15" s="13"/>
      <c r="Y15" s="13"/>
      <c r="AA15" s="2">
        <f t="shared" si="10"/>
        <v>46177</v>
      </c>
      <c r="AB15" s="11">
        <v>100</v>
      </c>
      <c r="AC15" s="11">
        <v>55</v>
      </c>
      <c r="AD15">
        <f t="shared" si="11"/>
        <v>23</v>
      </c>
      <c r="AE15" s="13">
        <f t="shared" si="12"/>
        <v>1</v>
      </c>
      <c r="AF15" s="13">
        <f t="shared" si="12"/>
        <v>1</v>
      </c>
      <c r="AG15" s="13">
        <f t="shared" si="12"/>
        <v>1</v>
      </c>
      <c r="AH15" s="13">
        <f t="shared" si="13"/>
        <v>0.91666666666666663</v>
      </c>
      <c r="AI15" s="13">
        <f t="shared" si="0"/>
        <v>0.91666666666666663</v>
      </c>
      <c r="AJ15" s="13">
        <f t="shared" si="0"/>
        <v>0.91666666666666663</v>
      </c>
      <c r="AK15" s="13"/>
      <c r="AL15" s="13"/>
      <c r="AM15" s="13"/>
      <c r="AN15" s="13"/>
      <c r="AP15" s="2">
        <f t="shared" si="14"/>
        <v>46177</v>
      </c>
      <c r="AQ15">
        <f t="shared" si="15"/>
        <v>23</v>
      </c>
      <c r="AR15" s="18">
        <f>('Raw Data - Production'!D47/100)/60</f>
        <v>2.0840000000000001</v>
      </c>
      <c r="AS15" s="18">
        <f>('Raw Data - Production'!E47/100)/60</f>
        <v>5.6360000000000001</v>
      </c>
      <c r="AT15" s="18">
        <f>('Raw Data - Production'!G47/50)/60</f>
        <v>0</v>
      </c>
      <c r="AU15" s="18">
        <f>('Raw Data - Production'!H47/50)/60</f>
        <v>3.1266666666666665</v>
      </c>
      <c r="AV15" s="18">
        <f>('Raw Data - Production'!I47/50)/60</f>
        <v>0</v>
      </c>
      <c r="AW15" s="18"/>
      <c r="AX15" s="18"/>
      <c r="AY15" s="18"/>
      <c r="AZ15" s="18"/>
    </row>
    <row r="16" spans="1:52" x14ac:dyDescent="0.35">
      <c r="A16" s="2">
        <f t="shared" si="1"/>
        <v>46178</v>
      </c>
      <c r="B16">
        <f t="shared" si="2"/>
        <v>23</v>
      </c>
      <c r="C16" s="13" t="str">
        <f t="shared" si="3"/>
        <v/>
      </c>
      <c r="D16" s="13" t="str">
        <f t="shared" si="4"/>
        <v/>
      </c>
      <c r="E16" s="13" t="str">
        <f t="shared" si="5"/>
        <v/>
      </c>
      <c r="F16" s="13" t="str">
        <f t="shared" si="6"/>
        <v/>
      </c>
      <c r="G16" s="13" t="str">
        <f t="shared" si="7"/>
        <v/>
      </c>
      <c r="H16" s="13" t="str">
        <f t="shared" si="8"/>
        <v/>
      </c>
      <c r="I16" s="13"/>
      <c r="J16" s="13"/>
      <c r="K16" s="13"/>
      <c r="L16" s="13"/>
      <c r="N16" s="2">
        <f>+'Daily Summary Old'!A43</f>
        <v>46178</v>
      </c>
      <c r="O16">
        <f t="shared" si="9"/>
        <v>23</v>
      </c>
      <c r="P16" s="13" t="str">
        <f>+IFERROR('Raw Data - Production'!K48/('Raw Data - Production'!D48*Weights!$B$2),"")</f>
        <v/>
      </c>
      <c r="Q16" s="13" t="str">
        <f>+IFERROR('Raw Data - Production'!L48/('Raw Data - Production'!E48*Weights!$B$2),"")</f>
        <v/>
      </c>
      <c r="R16" s="13" t="str">
        <f>+IFERROR('Raw Data - Production'!M48/('Raw Data - Production'!F48*Weights!$B$2),"")</f>
        <v/>
      </c>
      <c r="S16" s="13" t="str">
        <f>+IFERROR('Raw Data - Production'!N48/('Raw Data - Production'!G48*Weights!$B$2),"")</f>
        <v/>
      </c>
      <c r="T16" s="13" t="str">
        <f>+IFERROR('Raw Data - Production'!O48/('Raw Data - Production'!H48*Weights!$B$2),"")</f>
        <v/>
      </c>
      <c r="U16" s="13" t="str">
        <f>+IFERROR('Raw Data - Production'!P48/('Raw Data - Production'!I48*Weights!$B$2),"")</f>
        <v/>
      </c>
      <c r="V16" s="13"/>
      <c r="W16" s="13"/>
      <c r="X16" s="13"/>
      <c r="Y16" s="13"/>
      <c r="AA16" s="2">
        <f t="shared" si="10"/>
        <v>46178</v>
      </c>
      <c r="AB16" s="11">
        <v>100</v>
      </c>
      <c r="AC16" s="11">
        <v>55</v>
      </c>
      <c r="AD16">
        <f t="shared" si="11"/>
        <v>23</v>
      </c>
      <c r="AE16" s="13">
        <f t="shared" si="12"/>
        <v>1</v>
      </c>
      <c r="AF16" s="13">
        <f t="shared" si="12"/>
        <v>1</v>
      </c>
      <c r="AG16" s="13">
        <f t="shared" si="12"/>
        <v>1</v>
      </c>
      <c r="AH16" s="13">
        <f t="shared" si="13"/>
        <v>0.91666666666666663</v>
      </c>
      <c r="AI16" s="13">
        <f t="shared" si="0"/>
        <v>0.91666666666666663</v>
      </c>
      <c r="AJ16" s="13">
        <f t="shared" si="0"/>
        <v>0.91666666666666663</v>
      </c>
      <c r="AK16" s="13"/>
      <c r="AL16" s="13"/>
      <c r="AM16" s="13"/>
      <c r="AN16" s="13"/>
      <c r="AP16" s="2">
        <f t="shared" si="14"/>
        <v>46178</v>
      </c>
      <c r="AQ16">
        <f t="shared" si="15"/>
        <v>23</v>
      </c>
      <c r="AR16" s="18">
        <f>('Raw Data - Production'!D48/100)/60</f>
        <v>0</v>
      </c>
      <c r="AS16" s="18">
        <f>('Raw Data - Production'!E48/100)/60</f>
        <v>0</v>
      </c>
      <c r="AT16" s="18">
        <f>('Raw Data - Production'!G48/50)/60</f>
        <v>0</v>
      </c>
      <c r="AU16" s="18">
        <f>('Raw Data - Production'!H48/50)/60</f>
        <v>0</v>
      </c>
      <c r="AV16" s="18">
        <f>('Raw Data - Production'!I48/50)/60</f>
        <v>0</v>
      </c>
      <c r="AW16" s="18"/>
      <c r="AX16" s="18"/>
      <c r="AY16" s="18"/>
      <c r="AZ16" s="18"/>
    </row>
    <row r="17" spans="1:52" x14ac:dyDescent="0.35">
      <c r="A17" s="2">
        <f t="shared" si="1"/>
        <v>46181</v>
      </c>
      <c r="B17">
        <f t="shared" si="2"/>
        <v>24</v>
      </c>
      <c r="C17" s="13" t="str">
        <f t="shared" si="3"/>
        <v/>
      </c>
      <c r="D17" s="13" t="str">
        <f t="shared" si="4"/>
        <v/>
      </c>
      <c r="E17" s="13" t="str">
        <f t="shared" si="5"/>
        <v/>
      </c>
      <c r="F17" s="13" t="str">
        <f t="shared" si="6"/>
        <v/>
      </c>
      <c r="G17" s="13" t="str">
        <f t="shared" si="7"/>
        <v/>
      </c>
      <c r="H17" s="13" t="str">
        <f t="shared" si="8"/>
        <v/>
      </c>
      <c r="I17" s="13"/>
      <c r="J17" s="13"/>
      <c r="K17" s="13"/>
      <c r="L17" s="13"/>
      <c r="N17" s="2">
        <f>+'Daily Summary Old'!A44</f>
        <v>46181</v>
      </c>
      <c r="O17">
        <f t="shared" si="9"/>
        <v>24</v>
      </c>
      <c r="P17" s="13" t="str">
        <f>+IFERROR('Raw Data - Production'!K49/('Raw Data - Production'!D49*Weights!$B$2),"")</f>
        <v/>
      </c>
      <c r="Q17" s="13" t="str">
        <f>+IFERROR('Raw Data - Production'!L49/('Raw Data - Production'!E49*Weights!$B$2),"")</f>
        <v/>
      </c>
      <c r="R17" s="13" t="str">
        <f>+IFERROR('Raw Data - Production'!M49/('Raw Data - Production'!F49*Weights!$B$2),"")</f>
        <v/>
      </c>
      <c r="S17" s="13" t="str">
        <f>+IFERROR('Raw Data - Production'!N49/('Raw Data - Production'!G49*Weights!$B$2),"")</f>
        <v/>
      </c>
      <c r="T17" s="13" t="str">
        <f>+IFERROR('Raw Data - Production'!O49/('Raw Data - Production'!H49*Weights!$B$2),"")</f>
        <v/>
      </c>
      <c r="U17" s="13" t="str">
        <f>+IFERROR('Raw Data - Production'!P49/('Raw Data - Production'!I49*Weights!$B$2),"")</f>
        <v/>
      </c>
      <c r="V17" s="13"/>
      <c r="W17" s="13"/>
      <c r="X17" s="13"/>
      <c r="Y17" s="13"/>
      <c r="AA17" s="2">
        <f t="shared" si="10"/>
        <v>46181</v>
      </c>
      <c r="AB17" s="11">
        <v>100</v>
      </c>
      <c r="AC17" s="11">
        <v>55</v>
      </c>
      <c r="AD17">
        <f t="shared" si="11"/>
        <v>24</v>
      </c>
      <c r="AE17" s="13">
        <f t="shared" si="12"/>
        <v>1</v>
      </c>
      <c r="AF17" s="13">
        <f t="shared" si="12"/>
        <v>1</v>
      </c>
      <c r="AG17" s="13">
        <f t="shared" si="12"/>
        <v>1</v>
      </c>
      <c r="AH17" s="13">
        <f t="shared" si="13"/>
        <v>0.91666666666666663</v>
      </c>
      <c r="AI17" s="13">
        <f t="shared" si="0"/>
        <v>0.91666666666666663</v>
      </c>
      <c r="AJ17" s="13">
        <f t="shared" si="0"/>
        <v>0.91666666666666663</v>
      </c>
      <c r="AK17" s="13"/>
      <c r="AL17" s="13"/>
      <c r="AM17" s="13"/>
      <c r="AN17" s="13"/>
      <c r="AP17" s="2">
        <f t="shared" si="14"/>
        <v>46181</v>
      </c>
      <c r="AQ17">
        <f t="shared" si="15"/>
        <v>24</v>
      </c>
      <c r="AR17" s="18">
        <f>('Raw Data - Production'!D49/100)/60</f>
        <v>0</v>
      </c>
      <c r="AS17" s="18">
        <f>('Raw Data - Production'!E49/100)/60</f>
        <v>0</v>
      </c>
      <c r="AT17" s="18">
        <f>('Raw Data - Production'!G49/50)/60</f>
        <v>0</v>
      </c>
      <c r="AU17" s="18">
        <f>('Raw Data - Production'!H49/50)/60</f>
        <v>0</v>
      </c>
      <c r="AV17" s="18">
        <f>('Raw Data - Production'!I49/50)/60</f>
        <v>0</v>
      </c>
      <c r="AW17" s="18"/>
      <c r="AX17" s="18"/>
      <c r="AY17" s="18"/>
      <c r="AZ17" s="18"/>
    </row>
    <row r="18" spans="1:52" x14ac:dyDescent="0.35">
      <c r="A18" s="2">
        <f t="shared" si="1"/>
        <v>46182</v>
      </c>
      <c r="B18">
        <f t="shared" si="2"/>
        <v>24</v>
      </c>
      <c r="C18" s="13">
        <f t="shared" si="3"/>
        <v>1.0122052126200274</v>
      </c>
      <c r="D18" s="13">
        <f t="shared" si="4"/>
        <v>0.69209108367626893</v>
      </c>
      <c r="E18" s="13" t="str">
        <f t="shared" si="5"/>
        <v/>
      </c>
      <c r="F18" s="13" t="str">
        <f t="shared" si="6"/>
        <v/>
      </c>
      <c r="G18" s="13">
        <f t="shared" si="7"/>
        <v>0.27741678097850941</v>
      </c>
      <c r="H18" s="13" t="str">
        <f t="shared" si="8"/>
        <v/>
      </c>
      <c r="I18" s="13"/>
      <c r="J18" s="13"/>
      <c r="K18" s="13"/>
      <c r="L18" s="13"/>
      <c r="N18" s="2">
        <f>+'Daily Summary Old'!A45</f>
        <v>46182</v>
      </c>
      <c r="O18">
        <f t="shared" si="9"/>
        <v>24</v>
      </c>
      <c r="P18" s="13">
        <f>+IFERROR('Raw Data - Production'!K50/('Raw Data - Production'!D50*Weights!$B$2),"")</f>
        <v>7.3600012855897443E-2</v>
      </c>
      <c r="Q18" s="13">
        <f>+IFERROR('Raw Data - Production'!L50/('Raw Data - Production'!E50*Weights!$B$2),"")</f>
        <v>9.3383245067766102E-2</v>
      </c>
      <c r="R18" s="13" t="str">
        <f>+IFERROR('Raw Data - Production'!M50/('Raw Data - Production'!F50*Weights!$B$2),"")</f>
        <v/>
      </c>
      <c r="S18" s="13" t="str">
        <f>+IFERROR('Raw Data - Production'!N50/('Raw Data - Production'!G50*Weights!$B$2),"")</f>
        <v/>
      </c>
      <c r="T18" s="13">
        <f>+IFERROR('Raw Data - Production'!O50/('Raw Data - Production'!H50*Weights!$B$2),"")</f>
        <v>6.9129051585191933E-2</v>
      </c>
      <c r="U18" s="13" t="str">
        <f>+IFERROR('Raw Data - Production'!P50/('Raw Data - Production'!I50*Weights!$B$2),"")</f>
        <v/>
      </c>
      <c r="V18" s="13"/>
      <c r="W18" s="13"/>
      <c r="X18" s="13"/>
      <c r="Y18" s="13"/>
      <c r="AA18" s="2">
        <f t="shared" si="10"/>
        <v>46182</v>
      </c>
      <c r="AB18" s="11">
        <v>100</v>
      </c>
      <c r="AC18" s="11">
        <v>55</v>
      </c>
      <c r="AD18">
        <f t="shared" si="11"/>
        <v>24</v>
      </c>
      <c r="AE18" s="13">
        <f t="shared" si="12"/>
        <v>1</v>
      </c>
      <c r="AF18" s="13">
        <f t="shared" si="12"/>
        <v>1</v>
      </c>
      <c r="AG18" s="13">
        <f t="shared" si="12"/>
        <v>1</v>
      </c>
      <c r="AH18" s="13">
        <f t="shared" si="13"/>
        <v>0.91666666666666663</v>
      </c>
      <c r="AI18" s="13">
        <f t="shared" si="0"/>
        <v>0.91666666666666663</v>
      </c>
      <c r="AJ18" s="13">
        <f t="shared" si="0"/>
        <v>0.91666666666666663</v>
      </c>
      <c r="AK18" s="13"/>
      <c r="AL18" s="13"/>
      <c r="AM18" s="13"/>
      <c r="AN18" s="13"/>
      <c r="AP18" s="2">
        <f t="shared" si="14"/>
        <v>46182</v>
      </c>
      <c r="AQ18">
        <f t="shared" si="15"/>
        <v>24</v>
      </c>
      <c r="AR18" s="18">
        <f>('Raw Data - Production'!D50/100)/60</f>
        <v>8.1946666666666665</v>
      </c>
      <c r="AS18" s="18">
        <f>('Raw Data - Production'!E50/100)/60</f>
        <v>5.7253333333333334</v>
      </c>
      <c r="AT18" s="18">
        <f>('Raw Data - Production'!G50/50)/60</f>
        <v>0</v>
      </c>
      <c r="AU18" s="18">
        <f>('Raw Data - Production'!H50/50)/60</f>
        <v>2.4383333333333335</v>
      </c>
      <c r="AV18" s="18">
        <f>('Raw Data - Production'!I50/50)/60</f>
        <v>0</v>
      </c>
      <c r="AW18" s="18"/>
      <c r="AX18" s="18"/>
      <c r="AY18" s="18"/>
      <c r="AZ18" s="18"/>
    </row>
    <row r="19" spans="1:52" x14ac:dyDescent="0.35">
      <c r="A19" s="2">
        <f t="shared" si="1"/>
        <v>46183</v>
      </c>
      <c r="B19">
        <f t="shared" si="2"/>
        <v>24</v>
      </c>
      <c r="C19" s="13">
        <f t="shared" si="3"/>
        <v>0.94158573388203004</v>
      </c>
      <c r="D19" s="13" t="str">
        <f t="shared" si="4"/>
        <v/>
      </c>
      <c r="E19" s="13" t="str">
        <f t="shared" si="5"/>
        <v/>
      </c>
      <c r="F19" s="13" t="str">
        <f t="shared" si="6"/>
        <v/>
      </c>
      <c r="G19" s="13">
        <f t="shared" si="7"/>
        <v>0.3878619112940101</v>
      </c>
      <c r="H19" s="13" t="str">
        <f t="shared" si="8"/>
        <v/>
      </c>
      <c r="I19" s="13"/>
      <c r="J19" s="13"/>
      <c r="K19" s="13"/>
      <c r="L19" s="13"/>
      <c r="N19" s="2">
        <f>+'Daily Summary Old'!A46</f>
        <v>46183</v>
      </c>
      <c r="O19">
        <f t="shared" si="9"/>
        <v>24</v>
      </c>
      <c r="P19" s="13">
        <f>+IFERROR('Raw Data - Production'!K51/('Raw Data - Production'!D51*Weights!$B$2),"")</f>
        <v>3.5260518563493673E-2</v>
      </c>
      <c r="Q19" s="13" t="str">
        <f>+IFERROR('Raw Data - Production'!L51/('Raw Data - Production'!E51*Weights!$B$2),"")</f>
        <v/>
      </c>
      <c r="R19" s="13" t="str">
        <f>+IFERROR('Raw Data - Production'!M51/('Raw Data - Production'!F51*Weights!$B$2),"")</f>
        <v/>
      </c>
      <c r="S19" s="13" t="str">
        <f>+IFERROR('Raw Data - Production'!N51/('Raw Data - Production'!G51*Weights!$B$2),"")</f>
        <v/>
      </c>
      <c r="T19" s="13">
        <f>+IFERROR('Raw Data - Production'!O51/('Raw Data - Production'!H51*Weights!$B$2),"")</f>
        <v>9.3309817754262198E-2</v>
      </c>
      <c r="U19" s="13" t="str">
        <f>+IFERROR('Raw Data - Production'!P51/('Raw Data - Production'!I51*Weights!$B$2),"")</f>
        <v/>
      </c>
      <c r="V19" s="13"/>
      <c r="W19" s="13"/>
      <c r="X19" s="13"/>
      <c r="Y19" s="13"/>
      <c r="AA19" s="2">
        <f t="shared" si="10"/>
        <v>46183</v>
      </c>
      <c r="AB19" s="11">
        <v>100</v>
      </c>
      <c r="AC19" s="11">
        <v>55</v>
      </c>
      <c r="AD19">
        <f t="shared" si="11"/>
        <v>24</v>
      </c>
      <c r="AE19" s="13">
        <f t="shared" si="12"/>
        <v>1</v>
      </c>
      <c r="AF19" s="13">
        <f t="shared" si="12"/>
        <v>1</v>
      </c>
      <c r="AG19" s="13">
        <f t="shared" si="12"/>
        <v>1</v>
      </c>
      <c r="AH19" s="13">
        <f t="shared" si="13"/>
        <v>0.91666666666666663</v>
      </c>
      <c r="AI19" s="13">
        <f t="shared" si="13"/>
        <v>0.91666666666666663</v>
      </c>
      <c r="AJ19" s="13">
        <f t="shared" si="13"/>
        <v>0.91666666666666663</v>
      </c>
      <c r="AK19" s="13"/>
      <c r="AL19" s="13"/>
      <c r="AM19" s="13"/>
      <c r="AN19" s="13"/>
      <c r="AP19" s="2">
        <f t="shared" si="14"/>
        <v>46183</v>
      </c>
      <c r="AQ19">
        <f t="shared" si="15"/>
        <v>24</v>
      </c>
      <c r="AR19" s="18">
        <f>('Raw Data - Production'!D51/100)/60</f>
        <v>7.3199999999999994</v>
      </c>
      <c r="AS19" s="18">
        <f>('Raw Data - Production'!E51/100)/60</f>
        <v>0</v>
      </c>
      <c r="AT19" s="18">
        <f>('Raw Data - Production'!G51/50)/60</f>
        <v>0</v>
      </c>
      <c r="AU19" s="18">
        <f>('Raw Data - Production'!H51/50)/60</f>
        <v>3.5</v>
      </c>
      <c r="AV19" s="18">
        <f>('Raw Data - Production'!I51/50)/60</f>
        <v>0</v>
      </c>
      <c r="AW19" s="18"/>
      <c r="AX19" s="18"/>
      <c r="AY19" s="18"/>
      <c r="AZ19" s="18"/>
    </row>
    <row r="20" spans="1:52" x14ac:dyDescent="0.35">
      <c r="A20" s="2">
        <f t="shared" si="1"/>
        <v>46184</v>
      </c>
      <c r="B20">
        <f t="shared" si="2"/>
        <v>24</v>
      </c>
      <c r="C20" s="13">
        <f t="shared" si="3"/>
        <v>1.3309322359396432</v>
      </c>
      <c r="D20" s="13">
        <f t="shared" si="4"/>
        <v>5.055829903978052E-2</v>
      </c>
      <c r="E20" s="13" t="str">
        <f t="shared" si="5"/>
        <v/>
      </c>
      <c r="F20" s="13" t="str">
        <f t="shared" si="6"/>
        <v/>
      </c>
      <c r="G20" s="13">
        <f t="shared" si="7"/>
        <v>0.32784476451760403</v>
      </c>
      <c r="H20" s="13" t="str">
        <f t="shared" si="8"/>
        <v/>
      </c>
      <c r="I20" s="13"/>
      <c r="J20" s="13"/>
      <c r="K20" s="13"/>
      <c r="L20" s="13"/>
      <c r="N20" s="2">
        <f>+'Daily Summary Old'!A47</f>
        <v>46184</v>
      </c>
      <c r="O20">
        <f t="shared" si="9"/>
        <v>24</v>
      </c>
      <c r="P20" s="13">
        <f>+IFERROR('Raw Data - Production'!K52/('Raw Data - Production'!D52*Weights!$B$2),"")</f>
        <v>2.5957087280705983E-2</v>
      </c>
      <c r="Q20" s="13">
        <f>+IFERROR('Raw Data - Production'!L52/('Raw Data - Production'!E52*Weights!$B$2),"")</f>
        <v>0.17717054003973834</v>
      </c>
      <c r="R20" s="13" t="str">
        <f>+IFERROR('Raw Data - Production'!M52/('Raw Data - Production'!F52*Weights!$B$2),"")</f>
        <v/>
      </c>
      <c r="S20" s="13" t="str">
        <f>+IFERROR('Raw Data - Production'!N52/('Raw Data - Production'!G52*Weights!$B$2),"")</f>
        <v/>
      </c>
      <c r="T20" s="13">
        <f>+IFERROR('Raw Data - Production'!O52/('Raw Data - Production'!H52*Weights!$B$2),"")</f>
        <v>0.19327330672359913</v>
      </c>
      <c r="U20" s="13" t="str">
        <f>+IFERROR('Raw Data - Production'!P52/('Raw Data - Production'!I52*Weights!$B$2),"")</f>
        <v/>
      </c>
      <c r="V20" s="13"/>
      <c r="W20" s="13"/>
      <c r="X20" s="13"/>
      <c r="Y20" s="13"/>
      <c r="AA20" s="2">
        <f t="shared" si="10"/>
        <v>46184</v>
      </c>
      <c r="AB20" s="11">
        <v>100</v>
      </c>
      <c r="AC20" s="11">
        <v>55</v>
      </c>
      <c r="AD20">
        <f t="shared" si="11"/>
        <v>24</v>
      </c>
      <c r="AE20" s="13">
        <f t="shared" si="12"/>
        <v>1</v>
      </c>
      <c r="AF20" s="13">
        <f t="shared" si="12"/>
        <v>1</v>
      </c>
      <c r="AG20" s="13">
        <f t="shared" si="12"/>
        <v>1</v>
      </c>
      <c r="AH20" s="13">
        <f t="shared" si="13"/>
        <v>0.91666666666666663</v>
      </c>
      <c r="AI20" s="13">
        <f t="shared" si="13"/>
        <v>0.91666666666666663</v>
      </c>
      <c r="AJ20" s="13">
        <f t="shared" si="13"/>
        <v>0.91666666666666663</v>
      </c>
      <c r="AK20" s="13"/>
      <c r="AL20" s="13"/>
      <c r="AM20" s="13"/>
      <c r="AN20" s="13"/>
      <c r="AP20" s="2">
        <f t="shared" si="14"/>
        <v>46184</v>
      </c>
      <c r="AQ20">
        <f t="shared" si="15"/>
        <v>24</v>
      </c>
      <c r="AR20" s="18">
        <f>('Raw Data - Production'!D52/100)/60</f>
        <v>10.247999999999999</v>
      </c>
      <c r="AS20" s="18">
        <f>('Raw Data - Production'!E52/100)/60</f>
        <v>0.46083333333333332</v>
      </c>
      <c r="AT20" s="18">
        <f>('Raw Data - Production'!G52/50)/60</f>
        <v>0</v>
      </c>
      <c r="AU20" s="18">
        <f>('Raw Data - Production'!H52/50)/60</f>
        <v>3.3250000000000002</v>
      </c>
      <c r="AV20" s="18">
        <f>('Raw Data - Production'!I52/50)/60</f>
        <v>0</v>
      </c>
      <c r="AW20" s="18"/>
      <c r="AX20" s="18"/>
      <c r="AY20" s="18"/>
      <c r="AZ20" s="18"/>
    </row>
    <row r="21" spans="1:52" x14ac:dyDescent="0.35">
      <c r="A21" s="2">
        <f t="shared" si="1"/>
        <v>46185</v>
      </c>
      <c r="B21">
        <f t="shared" si="2"/>
        <v>24</v>
      </c>
      <c r="C21" s="13" t="str">
        <f t="shared" si="3"/>
        <v/>
      </c>
      <c r="D21" s="13" t="str">
        <f t="shared" si="4"/>
        <v/>
      </c>
      <c r="E21" s="13" t="str">
        <f t="shared" si="5"/>
        <v/>
      </c>
      <c r="F21" s="13" t="str">
        <f t="shared" si="6"/>
        <v/>
      </c>
      <c r="G21" s="13" t="str">
        <f t="shared" si="7"/>
        <v/>
      </c>
      <c r="H21" s="13" t="str">
        <f t="shared" si="8"/>
        <v/>
      </c>
      <c r="I21" s="13"/>
      <c r="J21" s="13"/>
      <c r="K21" s="13"/>
      <c r="L21" s="13"/>
      <c r="N21" s="2">
        <f>+'Daily Summary Old'!A48</f>
        <v>46185</v>
      </c>
      <c r="O21">
        <f t="shared" si="9"/>
        <v>24</v>
      </c>
      <c r="P21" s="13" t="str">
        <f>+IFERROR('Raw Data - Production'!K53/('Raw Data - Production'!D53*Weights!$B$2),"")</f>
        <v/>
      </c>
      <c r="Q21" s="13" t="str">
        <f>+IFERROR('Raw Data - Production'!L53/('Raw Data - Production'!E53*Weights!$B$2),"")</f>
        <v/>
      </c>
      <c r="R21" s="13" t="str">
        <f>+IFERROR('Raw Data - Production'!M53/('Raw Data - Production'!F53*Weights!$B$2),"")</f>
        <v/>
      </c>
      <c r="S21" s="13" t="str">
        <f>+IFERROR('Raw Data - Production'!N53/('Raw Data - Production'!G53*Weights!$B$2),"")</f>
        <v/>
      </c>
      <c r="T21" s="13" t="str">
        <f>+IFERROR('Raw Data - Production'!O53/('Raw Data - Production'!H53*Weights!$B$2),"")</f>
        <v/>
      </c>
      <c r="U21" s="13" t="str">
        <f>+IFERROR('Raw Data - Production'!P53/('Raw Data - Production'!I53*Weights!$B$2),"")</f>
        <v/>
      </c>
      <c r="V21" s="13"/>
      <c r="W21" s="13"/>
      <c r="X21" s="13"/>
      <c r="Y21" s="13"/>
      <c r="AA21" s="2">
        <f t="shared" si="10"/>
        <v>46185</v>
      </c>
      <c r="AB21" s="11">
        <v>110</v>
      </c>
      <c r="AC21" s="11">
        <v>55</v>
      </c>
      <c r="AD21">
        <f t="shared" si="11"/>
        <v>24</v>
      </c>
      <c r="AE21" s="13">
        <f t="shared" si="12"/>
        <v>1.1000000000000001</v>
      </c>
      <c r="AF21" s="13">
        <f t="shared" si="12"/>
        <v>1.1000000000000001</v>
      </c>
      <c r="AG21" s="13">
        <f t="shared" si="12"/>
        <v>1.1000000000000001</v>
      </c>
      <c r="AH21" s="13">
        <f t="shared" si="13"/>
        <v>0.91666666666666663</v>
      </c>
      <c r="AI21" s="13">
        <f t="shared" si="13"/>
        <v>0.91666666666666663</v>
      </c>
      <c r="AJ21" s="13">
        <f t="shared" si="13"/>
        <v>0.91666666666666663</v>
      </c>
      <c r="AK21" s="13"/>
      <c r="AL21" s="13"/>
      <c r="AM21" s="13"/>
      <c r="AN21" s="13"/>
      <c r="AP21" s="2">
        <f t="shared" si="14"/>
        <v>46185</v>
      </c>
      <c r="AQ21">
        <f t="shared" si="15"/>
        <v>24</v>
      </c>
      <c r="AR21" s="18">
        <f>('Raw Data - Production'!D53/100)/60</f>
        <v>0</v>
      </c>
      <c r="AS21" s="18">
        <f>('Raw Data - Production'!E53/100)/60</f>
        <v>0</v>
      </c>
      <c r="AT21" s="18">
        <f>('Raw Data - Production'!G53/50)/60</f>
        <v>0</v>
      </c>
      <c r="AU21" s="18">
        <f>('Raw Data - Production'!H53/50)/60</f>
        <v>0</v>
      </c>
      <c r="AV21" s="18">
        <f>('Raw Data - Production'!I53/50)/60</f>
        <v>0</v>
      </c>
      <c r="AW21" s="18"/>
      <c r="AX21" s="18"/>
      <c r="AY21" s="18"/>
      <c r="AZ21" s="18"/>
    </row>
    <row r="22" spans="1:52" x14ac:dyDescent="0.35">
      <c r="A22" s="2">
        <f t="shared" si="1"/>
        <v>46188</v>
      </c>
      <c r="B22">
        <f t="shared" si="2"/>
        <v>25</v>
      </c>
      <c r="C22" s="13">
        <f t="shared" si="3"/>
        <v>0.78333278463648837</v>
      </c>
      <c r="D22" s="13" t="str">
        <f t="shared" si="4"/>
        <v/>
      </c>
      <c r="E22" s="13" t="str">
        <f t="shared" si="5"/>
        <v/>
      </c>
      <c r="F22" s="13" t="str">
        <f t="shared" si="6"/>
        <v/>
      </c>
      <c r="G22" s="13" t="str">
        <f t="shared" si="7"/>
        <v/>
      </c>
      <c r="H22" s="13" t="str">
        <f t="shared" si="8"/>
        <v/>
      </c>
      <c r="I22" s="13"/>
      <c r="J22" s="13"/>
      <c r="K22" s="13"/>
      <c r="L22" s="13"/>
      <c r="N22" s="2">
        <f>+'Daily Summary Old'!A49</f>
        <v>46188</v>
      </c>
      <c r="O22">
        <f t="shared" si="9"/>
        <v>25</v>
      </c>
      <c r="P22" s="13">
        <f>+IFERROR('Raw Data - Production'!K54/('Raw Data - Production'!D54*Weights!$B$2),"")</f>
        <v>3.2444683008290093E-2</v>
      </c>
      <c r="Q22" s="13" t="str">
        <f>+IFERROR('Raw Data - Production'!L54/('Raw Data - Production'!E54*Weights!$B$2),"")</f>
        <v/>
      </c>
      <c r="R22" s="13" t="str">
        <f>+IFERROR('Raw Data - Production'!M54/('Raw Data - Production'!F54*Weights!$B$2),"")</f>
        <v/>
      </c>
      <c r="S22" s="13" t="str">
        <f>+IFERROR('Raw Data - Production'!N54/('Raw Data - Production'!G54*Weights!$B$2),"")</f>
        <v/>
      </c>
      <c r="T22" s="13" t="str">
        <f>+IFERROR('Raw Data - Production'!O54/('Raw Data - Production'!H54*Weights!$B$2),"")</f>
        <v/>
      </c>
      <c r="U22" s="13" t="str">
        <f>+IFERROR('Raw Data - Production'!P54/('Raw Data - Production'!I54*Weights!$B$2),"")</f>
        <v/>
      </c>
      <c r="V22" s="13"/>
      <c r="W22" s="13"/>
      <c r="X22" s="13"/>
      <c r="Y22" s="13"/>
      <c r="AA22" s="2">
        <f t="shared" si="10"/>
        <v>46188</v>
      </c>
      <c r="AB22" s="11">
        <v>110</v>
      </c>
      <c r="AC22" s="11">
        <v>55</v>
      </c>
      <c r="AD22">
        <f t="shared" si="11"/>
        <v>25</v>
      </c>
      <c r="AE22" s="13">
        <f t="shared" si="12"/>
        <v>1.1000000000000001</v>
      </c>
      <c r="AF22" s="13">
        <f t="shared" si="12"/>
        <v>1.1000000000000001</v>
      </c>
      <c r="AG22" s="13">
        <f t="shared" si="12"/>
        <v>1.1000000000000001</v>
      </c>
      <c r="AH22" s="13">
        <f t="shared" si="13"/>
        <v>0.91666666666666663</v>
      </c>
      <c r="AI22" s="13">
        <f t="shared" si="13"/>
        <v>0.91666666666666663</v>
      </c>
      <c r="AJ22" s="13">
        <f t="shared" si="13"/>
        <v>0.91666666666666663</v>
      </c>
      <c r="AK22" s="13"/>
      <c r="AL22" s="13"/>
      <c r="AM22" s="13"/>
      <c r="AN22" s="13"/>
      <c r="AP22" s="2">
        <f t="shared" si="14"/>
        <v>46188</v>
      </c>
      <c r="AQ22">
        <f t="shared" si="15"/>
        <v>25</v>
      </c>
      <c r="AR22" s="18">
        <f>('Raw Data - Production'!D54/100)/60</f>
        <v>5.52</v>
      </c>
      <c r="AS22" s="18">
        <f>('Raw Data - Production'!E54/100)/60</f>
        <v>0</v>
      </c>
      <c r="AT22" s="18">
        <f>('Raw Data - Production'!G54/50)/60</f>
        <v>0</v>
      </c>
      <c r="AU22" s="18">
        <f>('Raw Data - Production'!H54/50)/60</f>
        <v>0</v>
      </c>
      <c r="AV22" s="18">
        <f>('Raw Data - Production'!I54/50)/60</f>
        <v>0</v>
      </c>
      <c r="AW22" s="18"/>
      <c r="AX22" s="18"/>
      <c r="AY22" s="18"/>
      <c r="AZ22" s="18"/>
    </row>
    <row r="23" spans="1:52" x14ac:dyDescent="0.35">
      <c r="A23" s="2">
        <f t="shared" si="1"/>
        <v>46189</v>
      </c>
      <c r="B23">
        <f t="shared" si="2"/>
        <v>25</v>
      </c>
      <c r="C23" s="13">
        <f t="shared" si="3"/>
        <v>0.82625843621399198</v>
      </c>
      <c r="D23" s="13">
        <f t="shared" si="4"/>
        <v>0.78603676268861455</v>
      </c>
      <c r="E23" s="13" t="str">
        <f t="shared" si="5"/>
        <v/>
      </c>
      <c r="F23" s="13" t="str">
        <f t="shared" si="6"/>
        <v/>
      </c>
      <c r="G23" s="13" t="str">
        <f t="shared" si="7"/>
        <v/>
      </c>
      <c r="H23" s="13" t="str">
        <f t="shared" si="8"/>
        <v/>
      </c>
      <c r="I23" s="13"/>
      <c r="J23" s="13"/>
      <c r="K23" s="13"/>
      <c r="L23" s="13"/>
      <c r="N23" s="2">
        <f>+'Daily Summary Old'!A50</f>
        <v>46189</v>
      </c>
      <c r="O23">
        <f t="shared" si="9"/>
        <v>25</v>
      </c>
      <c r="P23" s="13">
        <f>+IFERROR('Raw Data - Production'!K55/('Raw Data - Production'!D55*Weights!$B$2),"")</f>
        <v>2.194787379972565E-2</v>
      </c>
      <c r="Q23" s="13">
        <f>+IFERROR('Raw Data - Production'!L55/('Raw Data - Production'!E55*Weights!$B$2),"")</f>
        <v>2.9104789169201409E-2</v>
      </c>
      <c r="R23" s="13" t="str">
        <f>+IFERROR('Raw Data - Production'!M55/('Raw Data - Production'!F55*Weights!$B$2),"")</f>
        <v/>
      </c>
      <c r="S23" s="13" t="str">
        <f>+IFERROR('Raw Data - Production'!N55/('Raw Data - Production'!G55*Weights!$B$2),"")</f>
        <v/>
      </c>
      <c r="T23" s="13" t="str">
        <f>+IFERROR('Raw Data - Production'!O55/('Raw Data - Production'!H55*Weights!$B$2),"")</f>
        <v/>
      </c>
      <c r="U23" s="13" t="str">
        <f>+IFERROR('Raw Data - Production'!P55/('Raw Data - Production'!I55*Weights!$B$2),"")</f>
        <v/>
      </c>
      <c r="V23" s="13"/>
      <c r="W23" s="13"/>
      <c r="X23" s="13"/>
      <c r="Y23" s="13"/>
      <c r="AA23" s="2">
        <f t="shared" si="10"/>
        <v>46189</v>
      </c>
      <c r="AB23" s="11">
        <v>110</v>
      </c>
      <c r="AC23" s="11">
        <v>55</v>
      </c>
      <c r="AD23">
        <f t="shared" si="11"/>
        <v>25</v>
      </c>
      <c r="AE23" s="13">
        <f t="shared" si="12"/>
        <v>1.1000000000000001</v>
      </c>
      <c r="AF23" s="13">
        <f t="shared" si="12"/>
        <v>1.1000000000000001</v>
      </c>
      <c r="AG23" s="13">
        <f t="shared" si="12"/>
        <v>1.1000000000000001</v>
      </c>
      <c r="AH23" s="13">
        <f t="shared" si="13"/>
        <v>0.91666666666666663</v>
      </c>
      <c r="AI23" s="13">
        <f t="shared" si="13"/>
        <v>0.91666666666666663</v>
      </c>
      <c r="AJ23" s="13">
        <f t="shared" si="13"/>
        <v>0.91666666666666663</v>
      </c>
      <c r="AK23" s="13"/>
      <c r="AL23" s="13"/>
      <c r="AM23" s="13"/>
      <c r="AN23" s="13"/>
      <c r="AP23" s="2">
        <f t="shared" si="14"/>
        <v>46189</v>
      </c>
      <c r="AQ23">
        <f t="shared" si="15"/>
        <v>25</v>
      </c>
      <c r="AR23" s="18">
        <f>('Raw Data - Production'!D55/100)/60</f>
        <v>5.7600000000000007</v>
      </c>
      <c r="AS23" s="18">
        <f>('Raw Data - Production'!E55/100)/60</f>
        <v>5.52</v>
      </c>
      <c r="AT23" s="18">
        <f>('Raw Data - Production'!G55/50)/60</f>
        <v>0</v>
      </c>
      <c r="AU23" s="18">
        <f>('Raw Data - Production'!H55/50)/60</f>
        <v>0</v>
      </c>
      <c r="AV23" s="18">
        <f>('Raw Data - Production'!I55/50)/60</f>
        <v>0</v>
      </c>
      <c r="AW23" s="18"/>
      <c r="AX23" s="18"/>
      <c r="AY23" s="18"/>
      <c r="AZ23" s="18"/>
    </row>
    <row r="24" spans="1:52" x14ac:dyDescent="0.35">
      <c r="A24" s="2">
        <f t="shared" si="1"/>
        <v>46190</v>
      </c>
      <c r="B24">
        <f t="shared" si="2"/>
        <v>25</v>
      </c>
      <c r="C24" s="13">
        <f t="shared" si="3"/>
        <v>0.67986216735253779</v>
      </c>
      <c r="D24" s="13">
        <f t="shared" si="4"/>
        <v>0.57162578875171466</v>
      </c>
      <c r="E24" s="13" t="str">
        <f t="shared" si="5"/>
        <v/>
      </c>
      <c r="F24" s="13" t="str">
        <f t="shared" si="6"/>
        <v/>
      </c>
      <c r="G24" s="13">
        <f t="shared" si="7"/>
        <v>4.8023776863283033E-2</v>
      </c>
      <c r="H24" s="13" t="str">
        <f t="shared" si="8"/>
        <v/>
      </c>
      <c r="I24" s="13"/>
      <c r="J24" s="13"/>
      <c r="K24" s="13"/>
      <c r="L24" s="13"/>
      <c r="N24" s="2">
        <f>+'Daily Summary Old'!A51</f>
        <v>46190</v>
      </c>
      <c r="O24">
        <f t="shared" si="9"/>
        <v>25</v>
      </c>
      <c r="P24" s="13">
        <f>+IFERROR('Raw Data - Production'!K56/('Raw Data - Production'!D56*Weights!$B$2),"")</f>
        <v>1.2899516969174362E-2</v>
      </c>
      <c r="Q24" s="13">
        <f>+IFERROR('Raw Data - Production'!L56/('Raw Data - Production'!E56*Weights!$B$2),"")</f>
        <v>0.12219627034441849</v>
      </c>
      <c r="R24" s="13" t="str">
        <f>+IFERROR('Raw Data - Production'!M56/('Raw Data - Production'!F56*Weights!$B$2),"")</f>
        <v/>
      </c>
      <c r="S24" s="13" t="str">
        <f>+IFERROR('Raw Data - Production'!N56/('Raw Data - Production'!G56*Weights!$B$2),"")</f>
        <v/>
      </c>
      <c r="T24" s="13">
        <f>+IFERROR('Raw Data - Production'!O56/('Raw Data - Production'!H56*Weights!$B$2),"")</f>
        <v>0.15802469135802469</v>
      </c>
      <c r="U24" s="13" t="str">
        <f>+IFERROR('Raw Data - Production'!P56/('Raw Data - Production'!I56*Weights!$B$2),"")</f>
        <v/>
      </c>
      <c r="V24" s="13"/>
      <c r="W24" s="13"/>
      <c r="X24" s="13"/>
      <c r="Y24" s="13"/>
      <c r="AA24" s="2">
        <f t="shared" si="10"/>
        <v>46190</v>
      </c>
      <c r="AB24" s="11">
        <v>110</v>
      </c>
      <c r="AC24" s="11">
        <v>55</v>
      </c>
      <c r="AD24">
        <f t="shared" si="11"/>
        <v>25</v>
      </c>
      <c r="AE24" s="13">
        <f t="shared" si="12"/>
        <v>1.1000000000000001</v>
      </c>
      <c r="AF24" s="13">
        <f t="shared" si="12"/>
        <v>1.1000000000000001</v>
      </c>
      <c r="AG24" s="13">
        <f t="shared" si="12"/>
        <v>1.1000000000000001</v>
      </c>
      <c r="AH24" s="13">
        <f t="shared" si="13"/>
        <v>0.91666666666666663</v>
      </c>
      <c r="AI24" s="13">
        <f t="shared" si="13"/>
        <v>0.91666666666666663</v>
      </c>
      <c r="AJ24" s="13">
        <f t="shared" si="13"/>
        <v>0.91666666666666663</v>
      </c>
      <c r="AK24" s="13"/>
      <c r="AL24" s="13"/>
      <c r="AM24" s="13"/>
      <c r="AN24" s="13"/>
      <c r="AP24" s="2">
        <f t="shared" si="14"/>
        <v>46190</v>
      </c>
      <c r="AQ24">
        <f t="shared" si="15"/>
        <v>25</v>
      </c>
      <c r="AR24" s="18">
        <f>('Raw Data - Production'!D56/100)/60</f>
        <v>4.6959999999999997</v>
      </c>
      <c r="AS24" s="18">
        <f>('Raw Data - Production'!E56/100)/60</f>
        <v>4.4399999999999995</v>
      </c>
      <c r="AT24" s="18">
        <f>('Raw Data - Production'!G56/50)/60</f>
        <v>0</v>
      </c>
      <c r="AU24" s="18">
        <f>('Raw Data - Production'!H56/50)/60</f>
        <v>0.46666666666666667</v>
      </c>
      <c r="AV24" s="18">
        <f>('Raw Data - Production'!I56/50)/60</f>
        <v>0</v>
      </c>
      <c r="AW24" s="18"/>
      <c r="AX24" s="18"/>
      <c r="AY24" s="18"/>
      <c r="AZ24" s="18"/>
    </row>
    <row r="25" spans="1:52" x14ac:dyDescent="0.35">
      <c r="A25" s="2">
        <f t="shared" si="1"/>
        <v>46191</v>
      </c>
      <c r="B25">
        <f t="shared" si="2"/>
        <v>25</v>
      </c>
      <c r="C25" s="13">
        <f t="shared" si="3"/>
        <v>0.71167253772290806</v>
      </c>
      <c r="D25" s="13">
        <f t="shared" si="4"/>
        <v>0.76072559670781914</v>
      </c>
      <c r="E25" s="13" t="str">
        <f t="shared" si="5"/>
        <v/>
      </c>
      <c r="F25" s="13" t="str">
        <f t="shared" si="6"/>
        <v/>
      </c>
      <c r="G25" s="13">
        <f t="shared" si="7"/>
        <v>0.24185916780978509</v>
      </c>
      <c r="H25" s="13" t="str">
        <f t="shared" si="8"/>
        <v/>
      </c>
      <c r="I25" s="13"/>
      <c r="J25" s="13"/>
      <c r="K25" s="13"/>
      <c r="L25" s="13"/>
      <c r="N25" s="2">
        <f>+'Daily Summary Old'!A52</f>
        <v>46191</v>
      </c>
      <c r="O25">
        <f t="shared" si="9"/>
        <v>25</v>
      </c>
      <c r="P25" s="13">
        <f>+IFERROR('Raw Data - Production'!K57/('Raw Data - Production'!D57*Weights!$B$2),"")</f>
        <v>2.6421998956331041E-2</v>
      </c>
      <c r="Q25" s="13">
        <f>+IFERROR('Raw Data - Production'!L57/('Raw Data - Production'!E57*Weights!$B$2),"")</f>
        <v>4.0908758857476808E-2</v>
      </c>
      <c r="R25" s="13" t="str">
        <f>+IFERROR('Raw Data - Production'!M57/('Raw Data - Production'!F57*Weights!$B$2),"")</f>
        <v/>
      </c>
      <c r="S25" s="13" t="str">
        <f>+IFERROR('Raw Data - Production'!N57/('Raw Data - Production'!G57*Weights!$B$2),"")</f>
        <v/>
      </c>
      <c r="T25" s="13">
        <f>+IFERROR('Raw Data - Production'!O57/('Raw Data - Production'!H57*Weights!$B$2),"")</f>
        <v>5.7691553987850287E-2</v>
      </c>
      <c r="U25" s="13" t="str">
        <f>+IFERROR('Raw Data - Production'!P57/('Raw Data - Production'!I57*Weights!$B$2),"")</f>
        <v/>
      </c>
      <c r="V25" s="13"/>
      <c r="W25" s="13"/>
      <c r="X25" s="13"/>
      <c r="Y25" s="13"/>
      <c r="AA25" s="2">
        <f t="shared" si="10"/>
        <v>46191</v>
      </c>
      <c r="AB25" s="11">
        <v>110</v>
      </c>
      <c r="AC25" s="11">
        <v>55</v>
      </c>
      <c r="AD25">
        <f t="shared" si="11"/>
        <v>25</v>
      </c>
      <c r="AE25" s="13">
        <f t="shared" si="12"/>
        <v>1.1000000000000001</v>
      </c>
      <c r="AF25" s="13">
        <f t="shared" si="12"/>
        <v>1.1000000000000001</v>
      </c>
      <c r="AG25" s="13">
        <f t="shared" si="12"/>
        <v>1.1000000000000001</v>
      </c>
      <c r="AH25" s="13">
        <f t="shared" si="13"/>
        <v>0.91666666666666663</v>
      </c>
      <c r="AI25" s="13">
        <f t="shared" si="13"/>
        <v>0.91666666666666663</v>
      </c>
      <c r="AJ25" s="13">
        <f t="shared" si="13"/>
        <v>0.91666666666666663</v>
      </c>
      <c r="AK25" s="13"/>
      <c r="AL25" s="13"/>
      <c r="AM25" s="13"/>
      <c r="AN25" s="13"/>
      <c r="AP25" s="2">
        <f t="shared" si="14"/>
        <v>46191</v>
      </c>
      <c r="AQ25">
        <f t="shared" si="15"/>
        <v>25</v>
      </c>
      <c r="AR25" s="18">
        <f>('Raw Data - Production'!D57/100)/60</f>
        <v>4.984</v>
      </c>
      <c r="AS25" s="18">
        <f>('Raw Data - Production'!E57/100)/60</f>
        <v>5.4080000000000004</v>
      </c>
      <c r="AT25" s="18">
        <f>('Raw Data - Production'!G57/50)/60</f>
        <v>0</v>
      </c>
      <c r="AU25" s="18">
        <f>('Raw Data - Production'!H57/50)/60</f>
        <v>2.1</v>
      </c>
      <c r="AV25" s="18">
        <f>('Raw Data - Production'!I57/50)/60</f>
        <v>0</v>
      </c>
      <c r="AW25" s="18"/>
      <c r="AX25" s="18"/>
      <c r="AY25" s="18"/>
      <c r="AZ25" s="18"/>
    </row>
    <row r="26" spans="1:52" x14ac:dyDescent="0.35">
      <c r="A26" s="2">
        <f t="shared" si="1"/>
        <v>46192</v>
      </c>
      <c r="B26">
        <f t="shared" si="2"/>
        <v>25</v>
      </c>
      <c r="C26" s="13" t="str">
        <f t="shared" si="3"/>
        <v/>
      </c>
      <c r="D26" s="13" t="str">
        <f t="shared" si="4"/>
        <v/>
      </c>
      <c r="E26" s="13" t="str">
        <f t="shared" si="5"/>
        <v/>
      </c>
      <c r="F26" s="13" t="str">
        <f t="shared" si="6"/>
        <v/>
      </c>
      <c r="G26" s="13" t="str">
        <f t="shared" si="7"/>
        <v/>
      </c>
      <c r="H26" s="13" t="str">
        <f t="shared" si="8"/>
        <v/>
      </c>
      <c r="I26" s="13"/>
      <c r="J26" s="13"/>
      <c r="K26" s="13"/>
      <c r="L26" s="13"/>
      <c r="N26" s="2">
        <f>+'Daily Summary Old'!A53</f>
        <v>46192</v>
      </c>
      <c r="O26">
        <f t="shared" si="9"/>
        <v>25</v>
      </c>
      <c r="P26" s="13" t="str">
        <f>+IFERROR('Raw Data - Production'!K58/('Raw Data - Production'!D58*Weights!$B$2),"")</f>
        <v/>
      </c>
      <c r="Q26" s="13" t="str">
        <f>+IFERROR('Raw Data - Production'!L58/('Raw Data - Production'!E58*Weights!$B$2),"")</f>
        <v/>
      </c>
      <c r="R26" s="13" t="str">
        <f>+IFERROR('Raw Data - Production'!M58/('Raw Data - Production'!F58*Weights!$B$2),"")</f>
        <v/>
      </c>
      <c r="S26" s="13" t="str">
        <f>+IFERROR('Raw Data - Production'!N58/('Raw Data - Production'!G58*Weights!$B$2),"")</f>
        <v/>
      </c>
      <c r="T26" s="13" t="str">
        <f>+IFERROR('Raw Data - Production'!O58/('Raw Data - Production'!H58*Weights!$B$2),"")</f>
        <v/>
      </c>
      <c r="U26" s="13" t="str">
        <f>+IFERROR('Raw Data - Production'!P58/('Raw Data - Production'!I58*Weights!$B$2),"")</f>
        <v/>
      </c>
      <c r="V26" s="13"/>
      <c r="W26" s="13"/>
      <c r="X26" s="13"/>
      <c r="Y26" s="13"/>
      <c r="AA26" s="2">
        <f t="shared" si="10"/>
        <v>46192</v>
      </c>
      <c r="AB26" s="11">
        <v>110</v>
      </c>
      <c r="AC26" s="11">
        <v>55</v>
      </c>
      <c r="AD26">
        <f t="shared" si="11"/>
        <v>25</v>
      </c>
      <c r="AE26" s="13">
        <f t="shared" si="12"/>
        <v>1.1000000000000001</v>
      </c>
      <c r="AF26" s="13">
        <f t="shared" si="12"/>
        <v>1.1000000000000001</v>
      </c>
      <c r="AG26" s="13">
        <f t="shared" si="12"/>
        <v>1.1000000000000001</v>
      </c>
      <c r="AH26" s="13">
        <f t="shared" si="13"/>
        <v>0.91666666666666663</v>
      </c>
      <c r="AI26" s="13">
        <f t="shared" si="13"/>
        <v>0.91666666666666663</v>
      </c>
      <c r="AJ26" s="13">
        <f t="shared" si="13"/>
        <v>0.91666666666666663</v>
      </c>
      <c r="AK26" s="13"/>
      <c r="AL26" s="13"/>
      <c r="AM26" s="13"/>
      <c r="AN26" s="13"/>
      <c r="AP26" s="2">
        <f t="shared" si="14"/>
        <v>46192</v>
      </c>
      <c r="AQ26">
        <f t="shared" si="15"/>
        <v>25</v>
      </c>
      <c r="AR26" s="18">
        <f>('Raw Data - Production'!D58/100)/60</f>
        <v>0</v>
      </c>
      <c r="AS26" s="18">
        <f>('Raw Data - Production'!E58/100)/60</f>
        <v>0</v>
      </c>
      <c r="AT26" s="18">
        <f>('Raw Data - Production'!G58/50)/60</f>
        <v>0</v>
      </c>
      <c r="AU26" s="18">
        <f>('Raw Data - Production'!H58/50)/60</f>
        <v>0</v>
      </c>
      <c r="AV26" s="18">
        <f>('Raw Data - Production'!I58/50)/60</f>
        <v>0</v>
      </c>
      <c r="AW26" s="18"/>
      <c r="AX26" s="18"/>
      <c r="AY26" s="18"/>
      <c r="AZ26" s="18"/>
    </row>
    <row r="27" spans="1:52" x14ac:dyDescent="0.35">
      <c r="A27" s="2">
        <f t="shared" si="1"/>
        <v>46195</v>
      </c>
      <c r="B27">
        <f t="shared" si="2"/>
        <v>26</v>
      </c>
      <c r="C27" s="13">
        <f t="shared" si="3"/>
        <v>0.84555445816186581</v>
      </c>
      <c r="D27" s="13">
        <f t="shared" si="4"/>
        <v>0.87179149519890264</v>
      </c>
      <c r="E27" s="13" t="str">
        <f t="shared" si="5"/>
        <v/>
      </c>
      <c r="F27" s="13" t="str">
        <f t="shared" si="6"/>
        <v/>
      </c>
      <c r="G27" s="13">
        <f t="shared" si="7"/>
        <v>0.15905637860082306</v>
      </c>
      <c r="H27" s="13" t="str">
        <f t="shared" si="8"/>
        <v/>
      </c>
      <c r="I27" s="13"/>
      <c r="J27" s="13"/>
      <c r="K27" s="13"/>
      <c r="L27" s="13"/>
      <c r="N27" s="2">
        <f>+'Daily Summary Old'!A54</f>
        <v>46195</v>
      </c>
      <c r="O27">
        <f t="shared" si="9"/>
        <v>26</v>
      </c>
      <c r="P27" s="13">
        <f>+IFERROR('Raw Data - Production'!K59/('Raw Data - Production'!D59*Weights!$B$2),"")</f>
        <v>2.4510315918475346E-2</v>
      </c>
      <c r="Q27" s="13">
        <f>+IFERROR('Raw Data - Production'!L59/('Raw Data - Production'!E59*Weights!$B$2),"")</f>
        <v>3.5059590615146172E-2</v>
      </c>
      <c r="R27" s="13" t="str">
        <f>+IFERROR('Raw Data - Production'!M59/('Raw Data - Production'!F59*Weights!$B$2),"")</f>
        <v/>
      </c>
      <c r="S27" s="13" t="str">
        <f>+IFERROR('Raw Data - Production'!N59/('Raw Data - Production'!G59*Weights!$B$2),"")</f>
        <v/>
      </c>
      <c r="T27" s="13">
        <f>+IFERROR('Raw Data - Production'!O59/('Raw Data - Production'!H59*Weights!$B$2),"")</f>
        <v>0.53036074688907597</v>
      </c>
      <c r="U27" s="13" t="str">
        <f>+IFERROR('Raw Data - Production'!P59/('Raw Data - Production'!I59*Weights!$B$2),"")</f>
        <v/>
      </c>
      <c r="V27" s="13"/>
      <c r="W27" s="13"/>
      <c r="X27" s="13"/>
      <c r="Y27" s="13"/>
      <c r="AA27" s="2">
        <f t="shared" si="10"/>
        <v>46195</v>
      </c>
      <c r="AB27" s="11">
        <v>110</v>
      </c>
      <c r="AC27" s="11">
        <v>55</v>
      </c>
      <c r="AD27">
        <f t="shared" si="11"/>
        <v>26</v>
      </c>
      <c r="AE27" s="13">
        <f t="shared" si="12"/>
        <v>1.1000000000000001</v>
      </c>
      <c r="AF27" s="13">
        <f t="shared" si="12"/>
        <v>1.1000000000000001</v>
      </c>
      <c r="AG27" s="13">
        <f t="shared" si="12"/>
        <v>1.1000000000000001</v>
      </c>
      <c r="AH27" s="13">
        <f t="shared" si="13"/>
        <v>0.91666666666666663</v>
      </c>
      <c r="AI27" s="13">
        <f t="shared" si="13"/>
        <v>0.91666666666666663</v>
      </c>
      <c r="AJ27" s="13">
        <f t="shared" si="13"/>
        <v>0.91666666666666663</v>
      </c>
      <c r="AK27" s="13"/>
      <c r="AL27" s="13"/>
      <c r="AM27" s="13"/>
      <c r="AN27" s="13"/>
      <c r="AP27" s="2">
        <f t="shared" si="14"/>
        <v>46195</v>
      </c>
      <c r="AQ27">
        <f t="shared" si="15"/>
        <v>26</v>
      </c>
      <c r="AR27" s="18">
        <f>('Raw Data - Production'!D59/100)/60</f>
        <v>5.91</v>
      </c>
      <c r="AS27" s="18">
        <f>('Raw Data - Production'!E59/100)/60</f>
        <v>6.16</v>
      </c>
      <c r="AT27" s="18">
        <f>('Raw Data - Production'!G59/50)/60</f>
        <v>0</v>
      </c>
      <c r="AU27" s="18">
        <f>('Raw Data - Production'!H59/50)/60</f>
        <v>2.7709999999999999</v>
      </c>
      <c r="AV27" s="18">
        <f>('Raw Data - Production'!I59/50)/60</f>
        <v>0</v>
      </c>
      <c r="AW27" s="18"/>
      <c r="AX27" s="18"/>
      <c r="AY27" s="18"/>
      <c r="AZ27" s="18"/>
    </row>
    <row r="28" spans="1:52" x14ac:dyDescent="0.35">
      <c r="A28" s="2">
        <f t="shared" si="1"/>
        <v>46196</v>
      </c>
      <c r="B28">
        <f t="shared" si="2"/>
        <v>26</v>
      </c>
      <c r="C28" s="13">
        <f t="shared" si="3"/>
        <v>1.1032230452674898</v>
      </c>
      <c r="D28" s="13">
        <f t="shared" si="4"/>
        <v>0.27101796982167359</v>
      </c>
      <c r="E28" s="13" t="str">
        <f t="shared" si="5"/>
        <v/>
      </c>
      <c r="F28" s="13" t="str">
        <f t="shared" si="6"/>
        <v/>
      </c>
      <c r="G28" s="13">
        <f t="shared" si="7"/>
        <v>7.9836762688614532E-2</v>
      </c>
      <c r="H28" s="13" t="str">
        <f t="shared" si="8"/>
        <v/>
      </c>
      <c r="I28" s="13"/>
      <c r="J28" s="13"/>
      <c r="K28" s="13"/>
      <c r="L28" s="13"/>
      <c r="N28" s="2">
        <f>+'Daily Summary Old'!A55</f>
        <v>46196</v>
      </c>
      <c r="O28">
        <f t="shared" si="9"/>
        <v>26</v>
      </c>
      <c r="P28" s="13">
        <f>+IFERROR('Raw Data - Production'!K60/('Raw Data - Production'!D60*Weights!$B$2),"")</f>
        <v>2.0576131687242798E-2</v>
      </c>
      <c r="Q28" s="13">
        <f>+IFERROR('Raw Data - Production'!L60/('Raw Data - Production'!E60*Weights!$B$2),"")</f>
        <v>0.14812917668597014</v>
      </c>
      <c r="R28" s="13" t="str">
        <f>+IFERROR('Raw Data - Production'!M60/('Raw Data - Production'!F60*Weights!$B$2),"")</f>
        <v/>
      </c>
      <c r="S28" s="13" t="str">
        <f>+IFERROR('Raw Data - Production'!N60/('Raw Data - Production'!G60*Weights!$B$2),"")</f>
        <v/>
      </c>
      <c r="T28" s="13">
        <f>+IFERROR('Raw Data - Production'!O60/('Raw Data - Production'!H60*Weights!$B$2),"")</f>
        <v>0.79263178522437783</v>
      </c>
      <c r="U28" s="13" t="str">
        <f>+IFERROR('Raw Data - Production'!P60/('Raw Data - Production'!I60*Weights!$B$2),"")</f>
        <v/>
      </c>
      <c r="V28" s="13"/>
      <c r="W28" s="13"/>
      <c r="X28" s="13"/>
      <c r="Y28" s="13"/>
      <c r="AA28" s="2">
        <f t="shared" si="10"/>
        <v>46196</v>
      </c>
      <c r="AB28" s="11">
        <v>110</v>
      </c>
      <c r="AC28" s="11">
        <v>55</v>
      </c>
      <c r="AD28">
        <f t="shared" si="11"/>
        <v>26</v>
      </c>
      <c r="AE28" s="13">
        <f t="shared" si="12"/>
        <v>1.1000000000000001</v>
      </c>
      <c r="AF28" s="13">
        <f t="shared" si="12"/>
        <v>1.1000000000000001</v>
      </c>
      <c r="AG28" s="13">
        <f t="shared" si="12"/>
        <v>1.1000000000000001</v>
      </c>
      <c r="AH28" s="13">
        <f t="shared" si="13"/>
        <v>0.91666666666666663</v>
      </c>
      <c r="AI28" s="13">
        <f t="shared" si="13"/>
        <v>0.91666666666666663</v>
      </c>
      <c r="AJ28" s="13">
        <f t="shared" si="13"/>
        <v>0.91666666666666663</v>
      </c>
      <c r="AK28" s="13"/>
      <c r="AL28" s="13"/>
      <c r="AM28" s="13"/>
      <c r="AN28" s="13"/>
      <c r="AP28" s="2">
        <f t="shared" si="14"/>
        <v>46196</v>
      </c>
      <c r="AQ28">
        <f t="shared" si="15"/>
        <v>26</v>
      </c>
      <c r="AR28" s="18">
        <f>('Raw Data - Production'!D60/100)/60</f>
        <v>7.6800000000000006</v>
      </c>
      <c r="AS28" s="18">
        <f>('Raw Data - Production'!E60/100)/60</f>
        <v>2.1691666666666669</v>
      </c>
      <c r="AT28" s="18">
        <f>('Raw Data - Production'!G60/50)/60</f>
        <v>0</v>
      </c>
      <c r="AU28" s="18">
        <f>('Raw Data - Production'!H60/50)/60</f>
        <v>3.15</v>
      </c>
      <c r="AV28" s="18">
        <f>('Raw Data - Production'!I60/50)/60</f>
        <v>0</v>
      </c>
      <c r="AW28" s="18"/>
      <c r="AX28" s="18"/>
      <c r="AY28" s="18"/>
      <c r="AZ28" s="18"/>
    </row>
    <row r="29" spans="1:52" x14ac:dyDescent="0.35">
      <c r="A29" s="2">
        <f t="shared" si="1"/>
        <v>46197</v>
      </c>
      <c r="B29">
        <f t="shared" si="2"/>
        <v>26</v>
      </c>
      <c r="C29" s="13">
        <f t="shared" si="3"/>
        <v>0.68738984910836765</v>
      </c>
      <c r="D29" s="13">
        <f t="shared" si="4"/>
        <v>1.1874036762688616</v>
      </c>
      <c r="E29" s="13" t="str">
        <f t="shared" si="5"/>
        <v/>
      </c>
      <c r="F29" s="13">
        <f t="shared" si="6"/>
        <v>0.30219570187471428</v>
      </c>
      <c r="G29" s="13" t="str">
        <f t="shared" si="7"/>
        <v/>
      </c>
      <c r="H29" s="13" t="str">
        <f t="shared" si="8"/>
        <v/>
      </c>
      <c r="I29" s="13"/>
      <c r="J29" s="13"/>
      <c r="K29" s="13"/>
      <c r="L29" s="13"/>
      <c r="N29" s="2">
        <f>+'Daily Summary Old'!A56</f>
        <v>46197</v>
      </c>
      <c r="O29">
        <f t="shared" si="9"/>
        <v>26</v>
      </c>
      <c r="P29" s="13">
        <f>+IFERROR('Raw Data - Production'!K61/('Raw Data - Production'!D61*Weights!$B$2),"")</f>
        <v>2.3593964334705075E-2</v>
      </c>
      <c r="Q29" s="13">
        <f>+IFERROR('Raw Data - Production'!L61/('Raw Data - Production'!E61*Weights!$B$2),"")</f>
        <v>2.505609870199894E-2</v>
      </c>
      <c r="R29" s="13" t="str">
        <f>+IFERROR('Raw Data - Production'!M61/('Raw Data - Production'!F61*Weights!$B$2),"")</f>
        <v/>
      </c>
      <c r="S29" s="13">
        <f>+IFERROR('Raw Data - Production'!N61/('Raw Data - Production'!G61*Weights!$B$2),"")</f>
        <v>0.52268141157030046</v>
      </c>
      <c r="T29" s="13" t="str">
        <f>+IFERROR('Raw Data - Production'!O61/('Raw Data - Production'!H61*Weights!$B$2),"")</f>
        <v/>
      </c>
      <c r="U29" s="13" t="str">
        <f>+IFERROR('Raw Data - Production'!P61/('Raw Data - Production'!I61*Weights!$B$2),"")</f>
        <v/>
      </c>
      <c r="V29" s="13"/>
      <c r="W29" s="13"/>
      <c r="X29" s="13"/>
      <c r="Y29" s="13"/>
      <c r="AA29" s="2">
        <f t="shared" si="10"/>
        <v>46197</v>
      </c>
      <c r="AB29" s="11">
        <v>110</v>
      </c>
      <c r="AC29" s="11">
        <v>55</v>
      </c>
      <c r="AD29">
        <f t="shared" si="11"/>
        <v>26</v>
      </c>
      <c r="AE29" s="13">
        <f t="shared" si="12"/>
        <v>1.1000000000000001</v>
      </c>
      <c r="AF29" s="13">
        <f t="shared" si="12"/>
        <v>1.1000000000000001</v>
      </c>
      <c r="AG29" s="13">
        <f t="shared" si="12"/>
        <v>1.1000000000000001</v>
      </c>
      <c r="AH29" s="13">
        <f t="shared" si="13"/>
        <v>0.91666666666666663</v>
      </c>
      <c r="AI29" s="13">
        <f t="shared" si="13"/>
        <v>0.91666666666666663</v>
      </c>
      <c r="AJ29" s="13">
        <f t="shared" si="13"/>
        <v>0.91666666666666663</v>
      </c>
      <c r="AK29" s="13"/>
      <c r="AL29" s="13"/>
      <c r="AM29" s="13"/>
      <c r="AN29" s="13"/>
      <c r="AP29" s="2">
        <f t="shared" si="14"/>
        <v>46197</v>
      </c>
      <c r="AQ29">
        <f t="shared" si="15"/>
        <v>26</v>
      </c>
      <c r="AR29" s="18">
        <f>('Raw Data - Production'!D61/100)/60</f>
        <v>4.8</v>
      </c>
      <c r="AS29" s="18">
        <f>('Raw Data - Production'!E61/100)/60</f>
        <v>8.3040000000000003</v>
      </c>
      <c r="AT29" s="18">
        <f>('Raw Data - Production'!G61/50)/60</f>
        <v>5.1800000000000006</v>
      </c>
      <c r="AU29" s="18">
        <f>('Raw Data - Production'!H61/50)/60</f>
        <v>0</v>
      </c>
      <c r="AV29" s="18">
        <f>('Raw Data - Production'!I61/50)/60</f>
        <v>0</v>
      </c>
      <c r="AW29" s="18"/>
      <c r="AX29" s="18"/>
      <c r="AY29" s="18"/>
      <c r="AZ29" s="18"/>
    </row>
    <row r="30" spans="1:52" x14ac:dyDescent="0.35">
      <c r="A30" s="2">
        <f t="shared" si="1"/>
        <v>46198</v>
      </c>
      <c r="B30">
        <f t="shared" si="2"/>
        <v>26</v>
      </c>
      <c r="C30" s="13">
        <f t="shared" si="3"/>
        <v>1.1412042798353912</v>
      </c>
      <c r="D30" s="13">
        <f t="shared" si="4"/>
        <v>1.1410775308641976</v>
      </c>
      <c r="E30" s="13" t="str">
        <f t="shared" si="5"/>
        <v/>
      </c>
      <c r="F30" s="13">
        <f t="shared" si="6"/>
        <v>4.9668495656149964E-3</v>
      </c>
      <c r="G30" s="13" t="str">
        <f t="shared" si="7"/>
        <v/>
      </c>
      <c r="H30" s="13" t="str">
        <f t="shared" si="8"/>
        <v/>
      </c>
      <c r="I30" s="13"/>
      <c r="J30" s="13"/>
      <c r="K30" s="13"/>
      <c r="L30" s="13"/>
      <c r="N30" s="2">
        <f>+'Daily Summary Old'!A57</f>
        <v>46198</v>
      </c>
      <c r="O30">
        <f t="shared" si="9"/>
        <v>26</v>
      </c>
      <c r="P30" s="13">
        <f>+IFERROR('Raw Data - Production'!K62/('Raw Data - Production'!D62*Weights!$B$2),"")</f>
        <v>4.8319683022879374E-2</v>
      </c>
      <c r="Q30" s="13">
        <f>+IFERROR('Raw Data - Production'!L62/('Raw Data - Production'!E62*Weights!$B$2),"")</f>
        <v>2.0881692162839912E-2</v>
      </c>
      <c r="R30" s="13" t="str">
        <f>+IFERROR('Raw Data - Production'!M62/('Raw Data - Production'!F62*Weights!$B$2),"")</f>
        <v/>
      </c>
      <c r="S30" s="13">
        <f>+IFERROR('Raw Data - Production'!N62/('Raw Data - Production'!G62*Weights!$B$2),"")</f>
        <v>0.9729980996130867</v>
      </c>
      <c r="T30" s="13" t="str">
        <f>+IFERROR('Raw Data - Production'!O62/('Raw Data - Production'!H62*Weights!$B$2),"")</f>
        <v/>
      </c>
      <c r="U30" s="13" t="str">
        <f>+IFERROR('Raw Data - Production'!P62/('Raw Data - Production'!I62*Weights!$B$2),"")</f>
        <v/>
      </c>
      <c r="V30" s="13"/>
      <c r="W30" s="13"/>
      <c r="X30" s="13"/>
      <c r="Y30" s="13"/>
      <c r="AA30" s="2">
        <f t="shared" si="10"/>
        <v>46198</v>
      </c>
      <c r="AB30" s="11">
        <v>110</v>
      </c>
      <c r="AC30" s="11">
        <v>55</v>
      </c>
      <c r="AD30">
        <f t="shared" si="11"/>
        <v>26</v>
      </c>
      <c r="AE30" s="13">
        <f t="shared" si="12"/>
        <v>1.1000000000000001</v>
      </c>
      <c r="AF30" s="13">
        <f t="shared" si="12"/>
        <v>1.1000000000000001</v>
      </c>
      <c r="AG30" s="13">
        <f t="shared" si="12"/>
        <v>1.1000000000000001</v>
      </c>
      <c r="AH30" s="13">
        <f t="shared" si="13"/>
        <v>0.91666666666666663</v>
      </c>
      <c r="AI30" s="13">
        <f t="shared" si="13"/>
        <v>0.91666666666666663</v>
      </c>
      <c r="AJ30" s="13">
        <f t="shared" si="13"/>
        <v>0.91666666666666663</v>
      </c>
      <c r="AK30" s="13"/>
      <c r="AL30" s="13"/>
      <c r="AM30" s="13"/>
      <c r="AN30" s="13"/>
      <c r="AP30" s="2">
        <f t="shared" si="14"/>
        <v>46198</v>
      </c>
      <c r="AQ30">
        <f t="shared" si="15"/>
        <v>26</v>
      </c>
      <c r="AR30" s="18">
        <f>('Raw Data - Production'!D62/100)/60</f>
        <v>8.1760000000000002</v>
      </c>
      <c r="AS30" s="18">
        <f>('Raw Data - Production'!E62/100)/60</f>
        <v>7.9459999999999997</v>
      </c>
      <c r="AT30" s="18">
        <f>('Raw Data - Production'!G62/50)/60</f>
        <v>1.5049999999999999</v>
      </c>
      <c r="AU30" s="18">
        <f>('Raw Data - Production'!H62/50)/60</f>
        <v>0</v>
      </c>
      <c r="AV30" s="18">
        <f>('Raw Data - Production'!I62/50)/60</f>
        <v>0</v>
      </c>
      <c r="AW30" s="18"/>
      <c r="AX30" s="18"/>
      <c r="AY30" s="18"/>
      <c r="AZ30" s="18"/>
    </row>
    <row r="31" spans="1:52" x14ac:dyDescent="0.35">
      <c r="A31" s="2">
        <f t="shared" si="1"/>
        <v>46199</v>
      </c>
      <c r="B31">
        <f t="shared" si="2"/>
        <v>26</v>
      </c>
      <c r="C31" s="13" t="str">
        <f t="shared" si="3"/>
        <v/>
      </c>
      <c r="D31" s="13" t="str">
        <f t="shared" si="4"/>
        <v/>
      </c>
      <c r="E31" s="13" t="str">
        <f t="shared" si="5"/>
        <v/>
      </c>
      <c r="F31" s="13" t="str">
        <f t="shared" si="6"/>
        <v/>
      </c>
      <c r="G31" s="13" t="str">
        <f t="shared" si="7"/>
        <v/>
      </c>
      <c r="H31" s="13" t="str">
        <f t="shared" si="8"/>
        <v/>
      </c>
      <c r="I31" s="13"/>
      <c r="J31" s="13"/>
      <c r="K31" s="13"/>
      <c r="L31" s="13"/>
      <c r="N31" s="2">
        <f>+'Daily Summary Old'!A58</f>
        <v>46199</v>
      </c>
      <c r="O31">
        <f t="shared" si="9"/>
        <v>26</v>
      </c>
      <c r="P31" s="13" t="str">
        <f>+IFERROR('Raw Data - Production'!K63/('Raw Data - Production'!D63*Weights!$B$2),"")</f>
        <v/>
      </c>
      <c r="Q31" s="13" t="str">
        <f>+IFERROR('Raw Data - Production'!L63/('Raw Data - Production'!E63*Weights!$B$2),"")</f>
        <v/>
      </c>
      <c r="R31" s="13" t="str">
        <f>+IFERROR('Raw Data - Production'!M63/('Raw Data - Production'!F63*Weights!$B$2),"")</f>
        <v/>
      </c>
      <c r="S31" s="13" t="str">
        <f>+IFERROR('Raw Data - Production'!N63/('Raw Data - Production'!G63*Weights!$B$2),"")</f>
        <v/>
      </c>
      <c r="T31" s="13" t="str">
        <f>+IFERROR('Raw Data - Production'!O63/('Raw Data - Production'!H63*Weights!$B$2),"")</f>
        <v/>
      </c>
      <c r="U31" s="13" t="str">
        <f>+IFERROR('Raw Data - Production'!P63/('Raw Data - Production'!I63*Weights!$B$2),"")</f>
        <v/>
      </c>
      <c r="V31" s="13"/>
      <c r="W31" s="13"/>
      <c r="X31" s="13"/>
      <c r="Y31" s="13"/>
      <c r="AA31" s="2">
        <f t="shared" si="10"/>
        <v>46199</v>
      </c>
      <c r="AB31" s="11">
        <v>110</v>
      </c>
      <c r="AC31" s="11">
        <v>55</v>
      </c>
      <c r="AD31">
        <f t="shared" si="11"/>
        <v>26</v>
      </c>
      <c r="AE31" s="13">
        <f t="shared" si="12"/>
        <v>1.1000000000000001</v>
      </c>
      <c r="AF31" s="13">
        <f t="shared" si="12"/>
        <v>1.1000000000000001</v>
      </c>
      <c r="AG31" s="13">
        <f t="shared" si="12"/>
        <v>1.1000000000000001</v>
      </c>
      <c r="AH31" s="13">
        <f t="shared" si="13"/>
        <v>0.91666666666666663</v>
      </c>
      <c r="AI31" s="13">
        <f t="shared" si="13"/>
        <v>0.91666666666666663</v>
      </c>
      <c r="AJ31" s="13">
        <f t="shared" si="13"/>
        <v>0.91666666666666663</v>
      </c>
      <c r="AK31" s="13"/>
      <c r="AL31" s="13"/>
      <c r="AM31" s="13"/>
      <c r="AN31" s="13"/>
      <c r="AP31" s="2">
        <f t="shared" si="14"/>
        <v>46199</v>
      </c>
      <c r="AQ31">
        <f t="shared" si="15"/>
        <v>26</v>
      </c>
      <c r="AR31" s="18">
        <f>('Raw Data - Production'!D63/100)/60</f>
        <v>0</v>
      </c>
      <c r="AS31" s="18">
        <f>('Raw Data - Production'!E63/100)/60</f>
        <v>0</v>
      </c>
      <c r="AT31" s="18">
        <f>('Raw Data - Production'!G63/50)/60</f>
        <v>0</v>
      </c>
      <c r="AU31" s="18">
        <f>('Raw Data - Production'!H63/50)/60</f>
        <v>0</v>
      </c>
      <c r="AV31" s="18">
        <f>('Raw Data - Production'!I63/50)/60</f>
        <v>0</v>
      </c>
      <c r="AW31" s="18"/>
      <c r="AX31" s="18"/>
      <c r="AY31" s="18"/>
      <c r="AZ31" s="18"/>
    </row>
    <row r="32" spans="1:52" x14ac:dyDescent="0.35">
      <c r="A32" s="2">
        <f t="shared" si="1"/>
        <v>46202</v>
      </c>
      <c r="B32">
        <f t="shared" si="2"/>
        <v>27</v>
      </c>
      <c r="C32" s="13">
        <f t="shared" si="3"/>
        <v>0.94968537722908097</v>
      </c>
      <c r="D32" s="13">
        <f t="shared" si="4"/>
        <v>0.83937272976680388</v>
      </c>
      <c r="E32" s="13" t="str">
        <f t="shared" si="5"/>
        <v/>
      </c>
      <c r="F32" s="13">
        <f t="shared" si="6"/>
        <v>0.23216941015089163</v>
      </c>
      <c r="G32" s="13">
        <f t="shared" si="7"/>
        <v>0.22705166895290355</v>
      </c>
      <c r="H32" s="13" t="str">
        <f t="shared" si="8"/>
        <v/>
      </c>
      <c r="I32" s="13"/>
      <c r="J32" s="13"/>
      <c r="K32" s="13"/>
      <c r="L32" s="13"/>
      <c r="N32" s="2">
        <f>+'Daily Summary Old'!A59</f>
        <v>46202</v>
      </c>
      <c r="O32">
        <f t="shared" si="9"/>
        <v>27</v>
      </c>
      <c r="P32" s="13">
        <f>+IFERROR('Raw Data - Production'!K64/('Raw Data - Production'!D64*Weights!$B$2),"")</f>
        <v>9.4640999438414294E-2</v>
      </c>
      <c r="Q32" s="13">
        <f>+IFERROR('Raw Data - Production'!L64/('Raw Data - Production'!E64*Weights!$B$2),"")</f>
        <v>7.3349111921362939E-2</v>
      </c>
      <c r="R32" s="13" t="str">
        <f>+IFERROR('Raw Data - Production'!M64/('Raw Data - Production'!F64*Weights!$B$2),"")</f>
        <v/>
      </c>
      <c r="S32" s="13">
        <f>+IFERROR('Raw Data - Production'!N64/('Raw Data - Production'!G64*Weights!$B$2),"")</f>
        <v>0.24967693170458147</v>
      </c>
      <c r="T32" s="13">
        <f>+IFERROR('Raw Data - Production'!O64/('Raw Data - Production'!H64*Weights!$B$2),"")</f>
        <v>0.11538310797570057</v>
      </c>
      <c r="U32" s="13" t="str">
        <f>+IFERROR('Raw Data - Production'!P64/('Raw Data - Production'!I64*Weights!$B$2),"")</f>
        <v/>
      </c>
      <c r="V32" s="13"/>
      <c r="W32" s="13"/>
      <c r="X32" s="13"/>
      <c r="Y32" s="13"/>
      <c r="AA32" s="2">
        <f t="shared" si="10"/>
        <v>46202</v>
      </c>
      <c r="AB32" s="11">
        <v>110</v>
      </c>
      <c r="AC32" s="11">
        <v>55</v>
      </c>
      <c r="AD32">
        <f t="shared" si="11"/>
        <v>27</v>
      </c>
      <c r="AE32" s="13">
        <f t="shared" si="12"/>
        <v>1.1000000000000001</v>
      </c>
      <c r="AF32" s="13">
        <f t="shared" si="12"/>
        <v>1.1000000000000001</v>
      </c>
      <c r="AG32" s="13">
        <f t="shared" si="12"/>
        <v>1.1000000000000001</v>
      </c>
      <c r="AH32" s="13">
        <f t="shared" si="13"/>
        <v>0.91666666666666663</v>
      </c>
      <c r="AI32" s="13">
        <f t="shared" si="13"/>
        <v>0.91666666666666663</v>
      </c>
      <c r="AJ32" s="13">
        <f t="shared" si="13"/>
        <v>0.91666666666666663</v>
      </c>
      <c r="AK32" s="13"/>
      <c r="AL32" s="13"/>
      <c r="AM32" s="13"/>
      <c r="AN32" s="13"/>
      <c r="AP32" s="2">
        <f t="shared" si="14"/>
        <v>46202</v>
      </c>
      <c r="AQ32">
        <f t="shared" si="15"/>
        <v>27</v>
      </c>
      <c r="AR32" s="18">
        <f>('Raw Data - Production'!D64/100)/60</f>
        <v>7.1520000000000001</v>
      </c>
      <c r="AS32" s="18">
        <f>('Raw Data - Production'!E64/100)/60</f>
        <v>6.1760000000000002</v>
      </c>
      <c r="AT32" s="18">
        <f>('Raw Data - Production'!G64/50)/60</f>
        <v>2.5316666666666667</v>
      </c>
      <c r="AU32" s="18">
        <f>('Raw Data - Production'!H64/50)/60</f>
        <v>2.1</v>
      </c>
      <c r="AV32" s="18">
        <f>('Raw Data - Production'!I64/50)/60</f>
        <v>0</v>
      </c>
      <c r="AW32" s="18"/>
      <c r="AX32" s="18"/>
      <c r="AY32" s="18"/>
      <c r="AZ32" s="18"/>
    </row>
    <row r="33" spans="1:52" x14ac:dyDescent="0.35">
      <c r="A33" s="2">
        <f t="shared" si="1"/>
        <v>46203</v>
      </c>
      <c r="B33">
        <f t="shared" si="2"/>
        <v>27</v>
      </c>
      <c r="C33" s="13">
        <f t="shared" si="3"/>
        <v>0.68852938271604935</v>
      </c>
      <c r="D33" s="13">
        <f t="shared" si="4"/>
        <v>1.2018307270233195</v>
      </c>
      <c r="E33" s="13" t="str">
        <f t="shared" si="5"/>
        <v/>
      </c>
      <c r="F33" s="13">
        <f t="shared" si="6"/>
        <v>3.5434385002286233E-2</v>
      </c>
      <c r="G33" s="13">
        <f t="shared" si="7"/>
        <v>0.28262757201646083</v>
      </c>
      <c r="H33" s="13" t="str">
        <f t="shared" si="8"/>
        <v/>
      </c>
      <c r="I33" s="13"/>
      <c r="J33" s="13"/>
      <c r="K33" s="13"/>
      <c r="L33" s="13"/>
      <c r="N33" s="2">
        <f>+'Daily Summary Old'!A60</f>
        <v>46203</v>
      </c>
      <c r="O33">
        <f t="shared" si="9"/>
        <v>27</v>
      </c>
      <c r="P33" s="13">
        <f>+IFERROR('Raw Data - Production'!K65/('Raw Data - Production'!D65*Weights!$B$2),"")</f>
        <v>9.9977277891388328E-2</v>
      </c>
      <c r="Q33" s="13">
        <f>+IFERROR('Raw Data - Production'!L65/('Raw Data - Production'!E65*Weights!$B$2),"")</f>
        <v>2.5068362698080458E-2</v>
      </c>
      <c r="R33" s="13" t="str">
        <f>+IFERROR('Raw Data - Production'!M65/('Raw Data - Production'!F65*Weights!$B$2),"")</f>
        <v/>
      </c>
      <c r="S33" s="13">
        <f>+IFERROR('Raw Data - Production'!N65/('Raw Data - Production'!G65*Weights!$B$2),"")</f>
        <v>0.64499874023683545</v>
      </c>
      <c r="T33" s="13">
        <f>+IFERROR('Raw Data - Production'!O65/('Raw Data - Production'!H65*Weights!$B$2),"")</f>
        <v>0.47425371563302599</v>
      </c>
      <c r="U33" s="13" t="str">
        <f>+IFERROR('Raw Data - Production'!P65/('Raw Data - Production'!I65*Weights!$B$2),"")</f>
        <v/>
      </c>
      <c r="V33" s="13"/>
      <c r="W33" s="13"/>
      <c r="X33" s="13"/>
      <c r="Y33" s="13"/>
      <c r="AA33" s="2">
        <f t="shared" si="10"/>
        <v>46203</v>
      </c>
      <c r="AB33" s="11">
        <v>110</v>
      </c>
      <c r="AC33" s="11">
        <v>55</v>
      </c>
      <c r="AD33">
        <f t="shared" si="11"/>
        <v>27</v>
      </c>
      <c r="AE33" s="13">
        <f t="shared" si="12"/>
        <v>1.1000000000000001</v>
      </c>
      <c r="AF33" s="13">
        <f t="shared" si="12"/>
        <v>1.1000000000000001</v>
      </c>
      <c r="AG33" s="13">
        <f t="shared" si="12"/>
        <v>1.1000000000000001</v>
      </c>
      <c r="AH33" s="13">
        <f t="shared" si="13"/>
        <v>0.91666666666666663</v>
      </c>
      <c r="AI33" s="13">
        <f t="shared" si="13"/>
        <v>0.91666666666666663</v>
      </c>
      <c r="AJ33" s="13">
        <f t="shared" si="13"/>
        <v>0.91666666666666663</v>
      </c>
      <c r="AK33" s="13"/>
      <c r="AL33" s="13"/>
      <c r="AM33" s="13"/>
      <c r="AN33" s="13"/>
      <c r="AP33" s="2">
        <f t="shared" si="14"/>
        <v>46203</v>
      </c>
      <c r="AQ33">
        <f t="shared" si="15"/>
        <v>27</v>
      </c>
      <c r="AR33" s="18">
        <f>('Raw Data - Production'!D65/100)/60</f>
        <v>5.2159999999999993</v>
      </c>
      <c r="AS33" s="18">
        <f>('Raw Data - Production'!E65/100)/60</f>
        <v>8.4049999999999994</v>
      </c>
      <c r="AT33" s="18">
        <f>('Raw Data - Production'!G65/50)/60</f>
        <v>0.81666666666666665</v>
      </c>
      <c r="AU33" s="18">
        <f>('Raw Data - Production'!H65/50)/60</f>
        <v>4.3983333333333325</v>
      </c>
      <c r="AV33" s="18">
        <f>('Raw Data - Production'!I65/50)/60</f>
        <v>0</v>
      </c>
      <c r="AW33" s="18"/>
      <c r="AX33" s="18"/>
      <c r="AY33" s="18"/>
      <c r="AZ33" s="18"/>
    </row>
    <row r="34" spans="1:52" x14ac:dyDescent="0.35">
      <c r="A34" s="2">
        <f t="shared" si="1"/>
        <v>46204</v>
      </c>
      <c r="B34">
        <f t="shared" si="2"/>
        <v>27</v>
      </c>
      <c r="C34" s="13">
        <f t="shared" si="3"/>
        <v>0.84562085048010993</v>
      </c>
      <c r="D34" s="13">
        <f t="shared" si="4"/>
        <v>0.84291687242798374</v>
      </c>
      <c r="E34" s="13" t="str">
        <f t="shared" si="5"/>
        <v/>
      </c>
      <c r="F34" s="13" t="str">
        <f t="shared" si="6"/>
        <v/>
      </c>
      <c r="G34" s="13">
        <f t="shared" si="7"/>
        <v>0.42766963877457703</v>
      </c>
      <c r="H34" s="13" t="str">
        <f t="shared" si="8"/>
        <v/>
      </c>
      <c r="I34" s="13"/>
      <c r="J34" s="13"/>
      <c r="K34" s="13"/>
      <c r="L34" s="13"/>
      <c r="N34" s="2">
        <f>+'Daily Summary Old'!A61</f>
        <v>46204</v>
      </c>
      <c r="O34">
        <f t="shared" si="9"/>
        <v>27</v>
      </c>
      <c r="P34" s="13">
        <f>+IFERROR('Raw Data - Production'!K66/('Raw Data - Production'!D66*Weights!$B$2),"")</f>
        <v>3.9067215363511661E-2</v>
      </c>
      <c r="Q34" s="13">
        <f>+IFERROR('Raw Data - Production'!L66/('Raw Data - Production'!E66*Weights!$B$2),"")</f>
        <v>4.2139917695473254E-2</v>
      </c>
      <c r="R34" s="13" t="str">
        <f>+IFERROR('Raw Data - Production'!M66/('Raw Data - Production'!F66*Weights!$B$2),"")</f>
        <v/>
      </c>
      <c r="S34" s="13" t="str">
        <f>+IFERROR('Raw Data - Production'!N66/('Raw Data - Production'!G66*Weights!$B$2),"")</f>
        <v/>
      </c>
      <c r="T34" s="13">
        <f>+IFERROR('Raw Data - Production'!O66/('Raw Data - Production'!H66*Weights!$B$2),"")</f>
        <v>0.21690819253917601</v>
      </c>
      <c r="U34" s="13" t="str">
        <f>+IFERROR('Raw Data - Production'!P66/('Raw Data - Production'!I66*Weights!$B$2),"")</f>
        <v/>
      </c>
      <c r="V34" s="13"/>
      <c r="W34" s="13"/>
      <c r="X34" s="13"/>
      <c r="Y34" s="13"/>
      <c r="AA34" s="2">
        <f t="shared" si="10"/>
        <v>46204</v>
      </c>
      <c r="AB34" s="11">
        <v>110</v>
      </c>
      <c r="AC34" s="11">
        <v>55</v>
      </c>
      <c r="AD34">
        <f t="shared" si="11"/>
        <v>27</v>
      </c>
      <c r="AE34" s="13">
        <f t="shared" si="12"/>
        <v>1.1000000000000001</v>
      </c>
      <c r="AF34" s="13">
        <f t="shared" si="12"/>
        <v>1.1000000000000001</v>
      </c>
      <c r="AG34" s="13">
        <f t="shared" si="12"/>
        <v>1.1000000000000001</v>
      </c>
      <c r="AH34" s="13">
        <f t="shared" si="13"/>
        <v>0.91666666666666663</v>
      </c>
      <c r="AI34" s="13">
        <f t="shared" si="13"/>
        <v>0.91666666666666663</v>
      </c>
      <c r="AJ34" s="13">
        <f t="shared" si="13"/>
        <v>0.91666666666666663</v>
      </c>
      <c r="AK34" s="13"/>
      <c r="AL34" s="13"/>
      <c r="AM34" s="13"/>
      <c r="AN34" s="13"/>
      <c r="AP34" s="2">
        <f t="shared" si="14"/>
        <v>46204</v>
      </c>
      <c r="AQ34">
        <f t="shared" si="15"/>
        <v>27</v>
      </c>
      <c r="AR34" s="18">
        <f>('Raw Data - Production'!D66/100)/60</f>
        <v>6</v>
      </c>
      <c r="AS34" s="18">
        <f>('Raw Data - Production'!E66/100)/60</f>
        <v>6</v>
      </c>
      <c r="AT34" s="18">
        <f>('Raw Data - Production'!G66/50)/60</f>
        <v>0</v>
      </c>
      <c r="AU34" s="18">
        <f>('Raw Data - Production'!H66/50)/60</f>
        <v>4.4683333333333337</v>
      </c>
      <c r="AV34" s="18">
        <f>('Raw Data - Production'!I66/50)/60</f>
        <v>0</v>
      </c>
      <c r="AW34" s="18"/>
      <c r="AX34" s="18"/>
      <c r="AY34" s="18"/>
      <c r="AZ34" s="18"/>
    </row>
    <row r="35" spans="1:52" x14ac:dyDescent="0.35">
      <c r="A35" s="2">
        <f t="shared" si="1"/>
        <v>46205</v>
      </c>
      <c r="B35">
        <f t="shared" si="2"/>
        <v>27</v>
      </c>
      <c r="C35" s="13">
        <f t="shared" si="3"/>
        <v>1.0579314128943758</v>
      </c>
      <c r="D35" s="13">
        <f t="shared" si="4"/>
        <v>1.1520201920438959</v>
      </c>
      <c r="E35" s="13" t="str">
        <f t="shared" si="5"/>
        <v/>
      </c>
      <c r="F35" s="13">
        <f t="shared" si="6"/>
        <v>0.49866918152720618</v>
      </c>
      <c r="G35" s="13">
        <f t="shared" si="7"/>
        <v>0.51150251486053955</v>
      </c>
      <c r="H35" s="13" t="str">
        <f t="shared" si="8"/>
        <v/>
      </c>
      <c r="I35" s="13"/>
      <c r="J35" s="13"/>
      <c r="K35" s="13"/>
      <c r="L35" s="13"/>
      <c r="N35" s="2">
        <f>+'Daily Summary Old'!A62</f>
        <v>46205</v>
      </c>
      <c r="O35">
        <f t="shared" si="9"/>
        <v>27</v>
      </c>
      <c r="P35" s="13">
        <f>+IFERROR('Raw Data - Production'!K67/('Raw Data - Production'!D67*Weights!$B$2),"")</f>
        <v>7.9952968841857736E-2</v>
      </c>
      <c r="Q35" s="13">
        <f>+IFERROR('Raw Data - Production'!L67/('Raw Data - Production'!E67*Weights!$B$2),"")</f>
        <v>3.9300008858608557E-2</v>
      </c>
      <c r="R35" s="13" t="str">
        <f>+IFERROR('Raw Data - Production'!M67/('Raw Data - Production'!F67*Weights!$B$2),"")</f>
        <v/>
      </c>
      <c r="S35" s="13">
        <f>+IFERROR('Raw Data - Production'!N67/('Raw Data - Production'!G67*Weights!$B$2),"")</f>
        <v>6.7423868312757207E-2</v>
      </c>
      <c r="T35" s="13">
        <f>+IFERROR('Raw Data - Production'!O67/('Raw Data - Production'!H67*Weights!$B$2),"")</f>
        <v>6.584362139917696E-2</v>
      </c>
      <c r="U35" s="13" t="str">
        <f>+IFERROR('Raw Data - Production'!P67/('Raw Data - Production'!I67*Weights!$B$2),"")</f>
        <v/>
      </c>
      <c r="V35" s="13"/>
      <c r="W35" s="13"/>
      <c r="X35" s="13"/>
      <c r="Y35" s="13"/>
      <c r="AA35" s="2">
        <f t="shared" si="10"/>
        <v>46205</v>
      </c>
      <c r="AB35" s="11">
        <v>110</v>
      </c>
      <c r="AC35" s="11">
        <v>55</v>
      </c>
      <c r="AD35">
        <f t="shared" si="11"/>
        <v>27</v>
      </c>
      <c r="AE35" s="13">
        <f t="shared" si="12"/>
        <v>1.1000000000000001</v>
      </c>
      <c r="AF35" s="13">
        <f t="shared" si="12"/>
        <v>1.1000000000000001</v>
      </c>
      <c r="AG35" s="13">
        <f t="shared" si="12"/>
        <v>1.1000000000000001</v>
      </c>
      <c r="AH35" s="13">
        <f t="shared" si="13"/>
        <v>0.91666666666666663</v>
      </c>
      <c r="AI35" s="13">
        <f t="shared" si="13"/>
        <v>0.91666666666666663</v>
      </c>
      <c r="AJ35" s="13">
        <f t="shared" si="13"/>
        <v>0.91666666666666663</v>
      </c>
      <c r="AK35" s="13"/>
      <c r="AL35" s="13"/>
      <c r="AM35" s="13"/>
      <c r="AN35" s="13"/>
      <c r="AP35" s="2">
        <f t="shared" si="14"/>
        <v>46205</v>
      </c>
      <c r="AQ35">
        <f t="shared" si="15"/>
        <v>27</v>
      </c>
      <c r="AR35" s="18">
        <f>('Raw Data - Production'!D67/100)/60</f>
        <v>7.84</v>
      </c>
      <c r="AS35" s="18">
        <f>('Raw Data - Production'!E67/100)/60</f>
        <v>8.1760000000000002</v>
      </c>
      <c r="AT35" s="18">
        <f>('Raw Data - Production'!G67/50)/60</f>
        <v>4.375</v>
      </c>
      <c r="AU35" s="18">
        <f>('Raw Data - Production'!H67/50)/60</f>
        <v>4.4800000000000004</v>
      </c>
      <c r="AV35" s="18">
        <f>('Raw Data - Production'!I67/50)/60</f>
        <v>0</v>
      </c>
      <c r="AW35" s="18"/>
      <c r="AX35" s="18"/>
      <c r="AY35" s="18"/>
      <c r="AZ35" s="18"/>
    </row>
    <row r="36" spans="1:52" x14ac:dyDescent="0.35">
      <c r="A36" s="2">
        <f t="shared" si="1"/>
        <v>46206</v>
      </c>
      <c r="B36">
        <f t="shared" si="2"/>
        <v>27</v>
      </c>
      <c r="C36" s="13" t="str">
        <f t="shared" si="3"/>
        <v/>
      </c>
      <c r="D36" s="13" t="str">
        <f t="shared" si="4"/>
        <v/>
      </c>
      <c r="E36" s="13" t="str">
        <f t="shared" si="5"/>
        <v/>
      </c>
      <c r="F36" s="13" t="str">
        <f t="shared" si="6"/>
        <v/>
      </c>
      <c r="G36" s="13" t="str">
        <f t="shared" si="7"/>
        <v/>
      </c>
      <c r="H36" s="13" t="str">
        <f t="shared" si="8"/>
        <v/>
      </c>
      <c r="I36" s="13"/>
      <c r="J36" s="13"/>
      <c r="K36" s="13"/>
      <c r="L36" s="13"/>
      <c r="N36" s="2">
        <f>+'Daily Summary Old'!A63</f>
        <v>46206</v>
      </c>
      <c r="O36">
        <f t="shared" si="9"/>
        <v>27</v>
      </c>
      <c r="P36" s="13" t="str">
        <f>+IFERROR('Raw Data - Production'!K68/('Raw Data - Production'!D68*Weights!$B$2),"")</f>
        <v/>
      </c>
      <c r="Q36" s="13" t="str">
        <f>+IFERROR('Raw Data - Production'!L68/('Raw Data - Production'!E68*Weights!$B$2),"")</f>
        <v/>
      </c>
      <c r="R36" s="13" t="str">
        <f>+IFERROR('Raw Data - Production'!M68/('Raw Data - Production'!F68*Weights!$B$2),"")</f>
        <v/>
      </c>
      <c r="S36" s="13" t="str">
        <f>+IFERROR('Raw Data - Production'!N68/('Raw Data - Production'!G68*Weights!$B$2),"")</f>
        <v/>
      </c>
      <c r="T36" s="13" t="str">
        <f>+IFERROR('Raw Data - Production'!O68/('Raw Data - Production'!H68*Weights!$B$2),"")</f>
        <v/>
      </c>
      <c r="U36" s="13" t="str">
        <f>+IFERROR('Raw Data - Production'!P68/('Raw Data - Production'!I68*Weights!$B$2),"")</f>
        <v/>
      </c>
      <c r="V36" s="13"/>
      <c r="W36" s="13"/>
      <c r="X36" s="13"/>
      <c r="Y36" s="13"/>
      <c r="AA36" s="2">
        <f t="shared" si="10"/>
        <v>46206</v>
      </c>
      <c r="AB36" s="11">
        <v>110</v>
      </c>
      <c r="AC36" s="11">
        <v>55</v>
      </c>
      <c r="AD36">
        <f t="shared" si="11"/>
        <v>27</v>
      </c>
      <c r="AE36" s="13">
        <f t="shared" si="12"/>
        <v>1.1000000000000001</v>
      </c>
      <c r="AF36" s="13">
        <f t="shared" si="12"/>
        <v>1.1000000000000001</v>
      </c>
      <c r="AG36" s="13">
        <f t="shared" si="12"/>
        <v>1.1000000000000001</v>
      </c>
      <c r="AH36" s="13">
        <f t="shared" si="13"/>
        <v>0.91666666666666663</v>
      </c>
      <c r="AI36" s="13">
        <f t="shared" si="13"/>
        <v>0.91666666666666663</v>
      </c>
      <c r="AJ36" s="13">
        <f t="shared" si="13"/>
        <v>0.91666666666666663</v>
      </c>
      <c r="AK36" s="13"/>
      <c r="AL36" s="13"/>
      <c r="AM36" s="13"/>
      <c r="AN36" s="13"/>
      <c r="AP36" s="2">
        <f t="shared" si="14"/>
        <v>46206</v>
      </c>
      <c r="AQ36">
        <f t="shared" si="15"/>
        <v>27</v>
      </c>
      <c r="AR36" s="18">
        <f>('Raw Data - Production'!D68/100)/60</f>
        <v>0</v>
      </c>
      <c r="AS36" s="18">
        <f>('Raw Data - Production'!E68/100)/60</f>
        <v>0</v>
      </c>
      <c r="AT36" s="18">
        <f>('Raw Data - Production'!G68/50)/60</f>
        <v>0</v>
      </c>
      <c r="AU36" s="18">
        <f>('Raw Data - Production'!H68/50)/60</f>
        <v>0</v>
      </c>
      <c r="AV36" s="18">
        <f>('Raw Data - Production'!I68/50)/60</f>
        <v>0</v>
      </c>
      <c r="AW36" s="18"/>
      <c r="AX36" s="18"/>
      <c r="AY36" s="18"/>
      <c r="AZ36" s="18"/>
    </row>
    <row r="37" spans="1:52" x14ac:dyDescent="0.35">
      <c r="A37" s="2">
        <f t="shared" si="1"/>
        <v>46209</v>
      </c>
      <c r="B37">
        <f t="shared" si="2"/>
        <v>28</v>
      </c>
      <c r="C37" s="13">
        <f t="shared" si="3"/>
        <v>0.43457562688614554</v>
      </c>
      <c r="D37" s="13">
        <f t="shared" si="4"/>
        <v>0.44982606310013723</v>
      </c>
      <c r="E37" s="13" t="str">
        <f t="shared" si="5"/>
        <v/>
      </c>
      <c r="F37" s="13">
        <f t="shared" si="6"/>
        <v>-9.1176268861454052E-2</v>
      </c>
      <c r="G37" s="13" t="str">
        <f t="shared" si="7"/>
        <v/>
      </c>
      <c r="H37" s="13">
        <f t="shared" si="8"/>
        <v>0.16546021947873796</v>
      </c>
      <c r="I37" s="13"/>
      <c r="J37" s="13"/>
      <c r="K37" s="13"/>
      <c r="L37" s="13"/>
      <c r="N37" s="2">
        <f>+'Daily Summary Old'!A64</f>
        <v>46209</v>
      </c>
      <c r="O37">
        <f t="shared" si="9"/>
        <v>28</v>
      </c>
      <c r="P37" s="13">
        <f>+IFERROR('Raw Data - Production'!K69/('Raw Data - Production'!D69*Weights!$B$2),"")</f>
        <v>0.4855875628715135</v>
      </c>
      <c r="Q37" s="13">
        <f>+IFERROR('Raw Data - Production'!L69/('Raw Data - Production'!E69*Weights!$B$2),"")</f>
        <v>0.12869435091657314</v>
      </c>
      <c r="R37" s="13" t="str">
        <f>+IFERROR('Raw Data - Production'!M69/('Raw Data - Production'!F69*Weights!$B$2),"")</f>
        <v/>
      </c>
      <c r="S37" s="13">
        <f>+IFERROR('Raw Data - Production'!N69/('Raw Data - Production'!G69*Weights!$B$2),"")</f>
        <v>2.6395333061999731</v>
      </c>
      <c r="T37" s="13" t="str">
        <f>+IFERROR('Raw Data - Production'!O69/('Raw Data - Production'!H69*Weights!$B$2),"")</f>
        <v/>
      </c>
      <c r="U37" s="13">
        <f>+IFERROR('Raw Data - Production'!P69/('Raw Data - Production'!I69*Weights!$B$2),"")</f>
        <v>0.14046639231824418</v>
      </c>
      <c r="V37" s="13"/>
      <c r="W37" s="13"/>
      <c r="X37" s="13"/>
      <c r="Y37" s="13"/>
      <c r="AA37" s="2">
        <f t="shared" si="10"/>
        <v>46209</v>
      </c>
      <c r="AB37" s="11">
        <v>110</v>
      </c>
      <c r="AC37" s="11">
        <v>55</v>
      </c>
      <c r="AD37">
        <f t="shared" si="11"/>
        <v>28</v>
      </c>
      <c r="AE37" s="13">
        <f t="shared" si="12"/>
        <v>1.1000000000000001</v>
      </c>
      <c r="AF37" s="13">
        <f t="shared" si="12"/>
        <v>1.1000000000000001</v>
      </c>
      <c r="AG37" s="13">
        <f t="shared" si="12"/>
        <v>1.1000000000000001</v>
      </c>
      <c r="AH37" s="13">
        <f t="shared" si="13"/>
        <v>0.91666666666666663</v>
      </c>
      <c r="AI37" s="13">
        <f t="shared" si="13"/>
        <v>0.91666666666666663</v>
      </c>
      <c r="AJ37" s="13">
        <f t="shared" si="13"/>
        <v>0.91666666666666663</v>
      </c>
      <c r="AK37" s="13"/>
      <c r="AL37" s="13"/>
      <c r="AM37" s="13"/>
      <c r="AN37" s="13"/>
      <c r="AP37" s="2">
        <f t="shared" si="14"/>
        <v>46209</v>
      </c>
      <c r="AQ37">
        <f t="shared" si="15"/>
        <v>28</v>
      </c>
      <c r="AR37" s="18">
        <f>('Raw Data - Production'!D69/100)/60</f>
        <v>5.7600000000000007</v>
      </c>
      <c r="AS37" s="18">
        <f>('Raw Data - Production'!E69/100)/60</f>
        <v>3.52</v>
      </c>
      <c r="AT37" s="18">
        <f>('Raw Data - Production'!G69/50)/60</f>
        <v>0.45500000000000002</v>
      </c>
      <c r="AU37" s="18">
        <f>('Raw Data - Production'!H69/50)/60</f>
        <v>0</v>
      </c>
      <c r="AV37" s="18">
        <f>('Raw Data - Production'!I69/50)/60</f>
        <v>1.575</v>
      </c>
      <c r="AW37" s="18"/>
      <c r="AX37" s="18"/>
      <c r="AY37" s="18"/>
      <c r="AZ37" s="18"/>
    </row>
    <row r="38" spans="1:52" x14ac:dyDescent="0.35">
      <c r="A38" s="2">
        <f t="shared" si="1"/>
        <v>46210</v>
      </c>
      <c r="B38">
        <f t="shared" si="2"/>
        <v>28</v>
      </c>
      <c r="C38" s="13">
        <f t="shared" si="3"/>
        <v>0.99136526748971199</v>
      </c>
      <c r="D38" s="13">
        <f t="shared" si="4"/>
        <v>0.94199835390946518</v>
      </c>
      <c r="E38" s="13" t="str">
        <f t="shared" si="5"/>
        <v/>
      </c>
      <c r="F38" s="13">
        <f t="shared" si="6"/>
        <v>0.41628989483310469</v>
      </c>
      <c r="G38" s="13" t="str">
        <f t="shared" si="7"/>
        <v/>
      </c>
      <c r="H38" s="13">
        <f t="shared" si="8"/>
        <v>0.39537379972565156</v>
      </c>
      <c r="I38" s="13"/>
      <c r="J38" s="13"/>
      <c r="K38" s="13"/>
      <c r="L38" s="13"/>
      <c r="N38" s="2">
        <f>+'Daily Summary Old'!A65</f>
        <v>46210</v>
      </c>
      <c r="O38">
        <f t="shared" si="9"/>
        <v>28</v>
      </c>
      <c r="P38" s="13">
        <f>+IFERROR('Raw Data - Production'!K70/('Raw Data - Production'!D70*Weights!$B$2),"")</f>
        <v>7.9614836332338151E-2</v>
      </c>
      <c r="Q38" s="13">
        <f>+IFERROR('Raw Data - Production'!L70/('Raw Data - Production'!E70*Weights!$B$2),"")</f>
        <v>7.7195969916276433E-2</v>
      </c>
      <c r="R38" s="13" t="str">
        <f>+IFERROR('Raw Data - Production'!M70/('Raw Data - Production'!F70*Weights!$B$2),"")</f>
        <v/>
      </c>
      <c r="S38" s="13">
        <f>+IFERROR('Raw Data - Production'!N70/('Raw Data - Production'!G70*Weights!$B$2),"")</f>
        <v>9.8939621573366429E-2</v>
      </c>
      <c r="T38" s="13" t="str">
        <f>+IFERROR('Raw Data - Production'!O70/('Raw Data - Production'!H70*Weights!$B$2),"")</f>
        <v/>
      </c>
      <c r="U38" s="13">
        <f>+IFERROR('Raw Data - Production'!P70/('Raw Data - Production'!I70*Weights!$B$2),"")</f>
        <v>0.19630396441990644</v>
      </c>
      <c r="V38" s="13"/>
      <c r="W38" s="13"/>
      <c r="X38" s="13"/>
      <c r="Y38" s="13"/>
      <c r="AA38" s="2">
        <f t="shared" si="10"/>
        <v>46210</v>
      </c>
      <c r="AB38" s="11">
        <v>110</v>
      </c>
      <c r="AC38" s="11">
        <v>55</v>
      </c>
      <c r="AD38">
        <f t="shared" si="11"/>
        <v>28</v>
      </c>
      <c r="AE38" s="13">
        <f t="shared" si="12"/>
        <v>1.1000000000000001</v>
      </c>
      <c r="AF38" s="13">
        <f t="shared" si="12"/>
        <v>1.1000000000000001</v>
      </c>
      <c r="AG38" s="13">
        <f t="shared" si="12"/>
        <v>1.1000000000000001</v>
      </c>
      <c r="AH38" s="13">
        <f t="shared" si="13"/>
        <v>0.91666666666666663</v>
      </c>
      <c r="AI38" s="13">
        <f t="shared" si="13"/>
        <v>0.91666666666666663</v>
      </c>
      <c r="AJ38" s="13">
        <f t="shared" si="13"/>
        <v>0.91666666666666663</v>
      </c>
      <c r="AK38" s="13"/>
      <c r="AL38" s="13"/>
      <c r="AM38" s="13"/>
      <c r="AN38" s="13"/>
      <c r="AP38" s="2">
        <f t="shared" si="14"/>
        <v>46210</v>
      </c>
      <c r="AQ38">
        <f t="shared" si="15"/>
        <v>28</v>
      </c>
      <c r="AR38" s="18">
        <f>('Raw Data - Production'!D70/100)/60</f>
        <v>7.3439999999999994</v>
      </c>
      <c r="AS38" s="18">
        <f>('Raw Data - Production'!E70/100)/60</f>
        <v>6.96</v>
      </c>
      <c r="AT38" s="18">
        <f>('Raw Data - Production'!G70/50)/60</f>
        <v>3.7800000000000002</v>
      </c>
      <c r="AU38" s="18">
        <f>('Raw Data - Production'!H70/50)/60</f>
        <v>0</v>
      </c>
      <c r="AV38" s="18">
        <f>('Raw Data - Production'!I70/50)/60</f>
        <v>4.0250000000000004</v>
      </c>
      <c r="AW38" s="18"/>
      <c r="AX38" s="18"/>
      <c r="AY38" s="18"/>
      <c r="AZ38" s="18"/>
    </row>
    <row r="39" spans="1:52" x14ac:dyDescent="0.35">
      <c r="A39" s="2">
        <f t="shared" si="1"/>
        <v>46211</v>
      </c>
      <c r="B39">
        <f t="shared" si="2"/>
        <v>28</v>
      </c>
      <c r="C39" s="13">
        <f t="shared" si="3"/>
        <v>1.0564345679012346</v>
      </c>
      <c r="D39" s="13">
        <f t="shared" si="4"/>
        <v>0.37421607681755836</v>
      </c>
      <c r="E39" s="13" t="str">
        <f t="shared" si="5"/>
        <v/>
      </c>
      <c r="F39" s="13">
        <f t="shared" si="6"/>
        <v>0.37712043895747599</v>
      </c>
      <c r="G39" s="13" t="str">
        <f t="shared" si="7"/>
        <v/>
      </c>
      <c r="H39" s="13">
        <f t="shared" si="8"/>
        <v>0.36914380429812527</v>
      </c>
      <c r="I39" s="13"/>
      <c r="J39" s="13"/>
      <c r="K39" s="13"/>
      <c r="L39" s="13"/>
      <c r="N39" s="2">
        <f>+'Daily Summary Old'!A66</f>
        <v>46211</v>
      </c>
      <c r="O39">
        <f t="shared" si="9"/>
        <v>28</v>
      </c>
      <c r="P39" s="13">
        <f>+IFERROR('Raw Data - Production'!K71/('Raw Data - Production'!D71*Weights!$B$2),"")</f>
        <v>3.1859816806053362E-2</v>
      </c>
      <c r="Q39" s="13">
        <f>+IFERROR('Raw Data - Production'!L71/('Raw Data - Production'!E71*Weights!$B$2),"")</f>
        <v>0.13096960114822664</v>
      </c>
      <c r="R39" s="13" t="str">
        <f>+IFERROR('Raw Data - Production'!M71/('Raw Data - Production'!F71*Weights!$B$2),"")</f>
        <v/>
      </c>
      <c r="S39" s="13">
        <f>+IFERROR('Raw Data - Production'!N71/('Raw Data - Production'!G71*Weights!$B$2),"")</f>
        <v>0.12541642171271802</v>
      </c>
      <c r="T39" s="13" t="str">
        <f>+IFERROR('Raw Data - Production'!O71/('Raw Data - Production'!H71*Weights!$B$2),"")</f>
        <v/>
      </c>
      <c r="U39" s="13">
        <f>+IFERROR('Raw Data - Production'!P71/('Raw Data - Production'!I71*Weights!$B$2),"")</f>
        <v>0.12244043882461962</v>
      </c>
      <c r="V39" s="13"/>
      <c r="W39" s="13"/>
      <c r="X39" s="13"/>
      <c r="Y39" s="13"/>
      <c r="AA39" s="2">
        <f t="shared" si="10"/>
        <v>46211</v>
      </c>
      <c r="AB39" s="11">
        <v>110</v>
      </c>
      <c r="AC39" s="11">
        <v>55</v>
      </c>
      <c r="AD39">
        <f t="shared" si="11"/>
        <v>28</v>
      </c>
      <c r="AE39" s="13">
        <f t="shared" si="12"/>
        <v>1.1000000000000001</v>
      </c>
      <c r="AF39" s="13">
        <f t="shared" si="12"/>
        <v>1.1000000000000001</v>
      </c>
      <c r="AG39" s="13">
        <f t="shared" si="12"/>
        <v>1.1000000000000001</v>
      </c>
      <c r="AH39" s="13">
        <f t="shared" si="13"/>
        <v>0.91666666666666663</v>
      </c>
      <c r="AI39" s="13">
        <f t="shared" si="13"/>
        <v>0.91666666666666663</v>
      </c>
      <c r="AJ39" s="13">
        <f t="shared" si="13"/>
        <v>0.91666666666666663</v>
      </c>
      <c r="AK39" s="13"/>
      <c r="AL39" s="13"/>
      <c r="AM39" s="13"/>
      <c r="AN39" s="13"/>
      <c r="AP39" s="2">
        <f t="shared" si="14"/>
        <v>46211</v>
      </c>
      <c r="AQ39">
        <f t="shared" si="15"/>
        <v>28</v>
      </c>
      <c r="AR39" s="18">
        <f>('Raw Data - Production'!D71/100)/60</f>
        <v>7.4399999999999995</v>
      </c>
      <c r="AS39" s="18">
        <f>('Raw Data - Production'!E71/100)/60</f>
        <v>2.9359999999999999</v>
      </c>
      <c r="AT39" s="18">
        <f>('Raw Data - Production'!G71/50)/60</f>
        <v>3.528</v>
      </c>
      <c r="AU39" s="18">
        <f>('Raw Data - Production'!H71/50)/60</f>
        <v>0</v>
      </c>
      <c r="AV39" s="18">
        <f>('Raw Data - Production'!I71/50)/60</f>
        <v>3.4416666666666669</v>
      </c>
      <c r="AW39" s="18"/>
      <c r="AX39" s="18"/>
      <c r="AY39" s="18"/>
      <c r="AZ39" s="18"/>
    </row>
    <row r="40" spans="1:52" x14ac:dyDescent="0.35">
      <c r="A40" s="2">
        <f t="shared" si="1"/>
        <v>46212</v>
      </c>
      <c r="B40">
        <f t="shared" si="2"/>
        <v>28</v>
      </c>
      <c r="C40" s="13">
        <f t="shared" si="3"/>
        <v>0</v>
      </c>
      <c r="D40" s="13">
        <f t="shared" si="4"/>
        <v>0</v>
      </c>
      <c r="E40" s="13" t="str">
        <f t="shared" si="5"/>
        <v/>
      </c>
      <c r="F40" s="13">
        <f t="shared" si="6"/>
        <v>0</v>
      </c>
      <c r="G40" s="13" t="str">
        <f t="shared" si="7"/>
        <v/>
      </c>
      <c r="H40" s="13">
        <f t="shared" si="8"/>
        <v>0</v>
      </c>
      <c r="I40" s="13"/>
      <c r="J40" s="13"/>
      <c r="K40" s="13"/>
      <c r="L40" s="13"/>
      <c r="N40" s="2">
        <f>+'Daily Summary Old'!A67</f>
        <v>46212</v>
      </c>
      <c r="O40">
        <f t="shared" si="9"/>
        <v>28</v>
      </c>
      <c r="P40" s="13">
        <f>+IFERROR('Raw Data - Production'!K72/('Raw Data - Production'!D72*Weights!$B$2),"")</f>
        <v>7.9810450180820558E-2</v>
      </c>
      <c r="Q40" s="13">
        <f>+IFERROR('Raw Data - Production'!L72/('Raw Data - Production'!E72*Weights!$B$2),"")</f>
        <v>8.2304526748971193E-2</v>
      </c>
      <c r="R40" s="13" t="str">
        <f>+IFERROR('Raw Data - Production'!M72/('Raw Data - Production'!F72*Weights!$B$2),"")</f>
        <v/>
      </c>
      <c r="S40" s="13">
        <f>+IFERROR('Raw Data - Production'!N72/('Raw Data - Production'!G72*Weights!$B$2),"")</f>
        <v>0.16298510767868019</v>
      </c>
      <c r="T40" s="13" t="str">
        <f>+IFERROR('Raw Data - Production'!O72/('Raw Data - Production'!H72*Weights!$B$2),"")</f>
        <v/>
      </c>
      <c r="U40" s="13">
        <f>+IFERROR('Raw Data - Production'!P72/('Raw Data - Production'!I72*Weights!$B$2),"")</f>
        <v>4.907599110497661E-2</v>
      </c>
      <c r="V40" s="13"/>
      <c r="W40" s="13"/>
      <c r="X40" s="13"/>
      <c r="Y40" s="13"/>
      <c r="AA40" s="2">
        <f t="shared" si="10"/>
        <v>46212</v>
      </c>
      <c r="AD40">
        <f t="shared" si="11"/>
        <v>28</v>
      </c>
      <c r="AE40" s="13">
        <f t="shared" si="12"/>
        <v>0</v>
      </c>
      <c r="AF40" s="13">
        <f t="shared" si="12"/>
        <v>0</v>
      </c>
      <c r="AG40" s="13">
        <f t="shared" si="12"/>
        <v>0</v>
      </c>
      <c r="AH40" s="13">
        <f t="shared" si="13"/>
        <v>0</v>
      </c>
      <c r="AI40" s="13">
        <f t="shared" si="13"/>
        <v>0</v>
      </c>
      <c r="AJ40" s="13">
        <f t="shared" si="13"/>
        <v>0</v>
      </c>
      <c r="AK40" s="13"/>
      <c r="AL40" s="13"/>
      <c r="AM40" s="13"/>
      <c r="AN40" s="13"/>
      <c r="AP40" s="2">
        <f t="shared" si="14"/>
        <v>46212</v>
      </c>
      <c r="AQ40">
        <f t="shared" si="15"/>
        <v>28</v>
      </c>
      <c r="AR40" s="18">
        <f>('Raw Data - Production'!D72/100)/60</f>
        <v>6.3360000000000003</v>
      </c>
      <c r="AS40" s="18">
        <f>('Raw Data - Production'!E72/100)/60</f>
        <v>4.8</v>
      </c>
      <c r="AT40" s="18">
        <f>('Raw Data - Production'!G72/50)/60</f>
        <v>5.2033333333333331</v>
      </c>
      <c r="AU40" s="18">
        <f>('Raw Data - Production'!H72/50)/60</f>
        <v>0</v>
      </c>
      <c r="AV40" s="18">
        <f>('Raw Data - Production'!I72/50)/60</f>
        <v>5.3666666666666663</v>
      </c>
      <c r="AW40" s="18"/>
      <c r="AX40" s="18"/>
      <c r="AY40" s="18"/>
      <c r="AZ40" s="18"/>
    </row>
    <row r="41" spans="1:52" x14ac:dyDescent="0.35">
      <c r="A41" s="2">
        <f t="shared" si="1"/>
        <v>46213</v>
      </c>
      <c r="B41">
        <f t="shared" si="2"/>
        <v>28</v>
      </c>
      <c r="C41" s="13" t="str">
        <f t="shared" si="3"/>
        <v/>
      </c>
      <c r="D41" s="13" t="str">
        <f t="shared" si="4"/>
        <v/>
      </c>
      <c r="E41" s="13" t="str">
        <f t="shared" si="5"/>
        <v/>
      </c>
      <c r="F41" s="13" t="str">
        <f t="shared" si="6"/>
        <v/>
      </c>
      <c r="G41" s="13" t="str">
        <f t="shared" si="7"/>
        <v/>
      </c>
      <c r="H41" s="13" t="str">
        <f t="shared" si="8"/>
        <v/>
      </c>
      <c r="I41" s="13"/>
      <c r="J41" s="13"/>
      <c r="K41" s="13"/>
      <c r="L41" s="13"/>
      <c r="N41" s="2">
        <f>+'Daily Summary Old'!A68</f>
        <v>46213</v>
      </c>
      <c r="O41">
        <f t="shared" si="9"/>
        <v>28</v>
      </c>
      <c r="P41" s="13" t="str">
        <f>+IFERROR('Raw Data - Production'!K73/('Raw Data - Production'!D73*Weights!$B$2),"")</f>
        <v/>
      </c>
      <c r="Q41" s="13" t="str">
        <f>+IFERROR('Raw Data - Production'!L73/('Raw Data - Production'!E73*Weights!$B$2),"")</f>
        <v/>
      </c>
      <c r="R41" s="13" t="str">
        <f>+IFERROR('Raw Data - Production'!M73/('Raw Data - Production'!F73*Weights!$B$2),"")</f>
        <v/>
      </c>
      <c r="S41" s="13" t="str">
        <f>+IFERROR('Raw Data - Production'!N73/('Raw Data - Production'!G73*Weights!$B$2),"")</f>
        <v/>
      </c>
      <c r="T41" s="13" t="str">
        <f>+IFERROR('Raw Data - Production'!O73/('Raw Data - Production'!H73*Weights!$B$2),"")</f>
        <v/>
      </c>
      <c r="U41" s="13" t="str">
        <f>+IFERROR('Raw Data - Production'!P73/('Raw Data - Production'!I73*Weights!$B$2),"")</f>
        <v/>
      </c>
      <c r="V41" s="13"/>
      <c r="W41" s="13"/>
      <c r="X41" s="13"/>
      <c r="Y41" s="13"/>
      <c r="AA41" s="2">
        <f t="shared" si="10"/>
        <v>46213</v>
      </c>
      <c r="AD41">
        <f t="shared" si="11"/>
        <v>28</v>
      </c>
      <c r="AE41" s="13">
        <f t="shared" ref="AE41:AG104" si="16">$AB41/$AB$1</f>
        <v>0</v>
      </c>
      <c r="AF41" s="13">
        <f t="shared" si="16"/>
        <v>0</v>
      </c>
      <c r="AG41" s="13">
        <f t="shared" si="16"/>
        <v>0</v>
      </c>
      <c r="AH41" s="13">
        <f t="shared" ref="AH41:AJ104" si="17">+$AC41/$AC$1</f>
        <v>0</v>
      </c>
      <c r="AI41" s="13">
        <f t="shared" si="17"/>
        <v>0</v>
      </c>
      <c r="AJ41" s="13">
        <f t="shared" si="17"/>
        <v>0</v>
      </c>
      <c r="AK41" s="13"/>
      <c r="AL41" s="13"/>
      <c r="AM41" s="13"/>
      <c r="AN41" s="13"/>
      <c r="AP41" s="2">
        <f t="shared" si="14"/>
        <v>46213</v>
      </c>
      <c r="AQ41">
        <f t="shared" si="15"/>
        <v>28</v>
      </c>
      <c r="AR41" s="18">
        <f>('Raw Data - Production'!D73/100)/60</f>
        <v>0</v>
      </c>
      <c r="AS41" s="18">
        <f>('Raw Data - Production'!E73/100)/60</f>
        <v>0</v>
      </c>
      <c r="AT41" s="18">
        <f>('Raw Data - Production'!G73/50)/60</f>
        <v>0</v>
      </c>
      <c r="AU41" s="18">
        <f>('Raw Data - Production'!H73/50)/60</f>
        <v>0</v>
      </c>
      <c r="AV41" s="18">
        <f>('Raw Data - Production'!I73/50)/60</f>
        <v>0</v>
      </c>
      <c r="AW41" s="18"/>
      <c r="AX41" s="18"/>
      <c r="AY41" s="18"/>
      <c r="AZ41" s="18"/>
    </row>
    <row r="42" spans="1:52" x14ac:dyDescent="0.35">
      <c r="A42" s="2">
        <f t="shared" si="1"/>
        <v>46216</v>
      </c>
      <c r="B42">
        <f t="shared" si="2"/>
        <v>29</v>
      </c>
      <c r="C42" s="13" t="str">
        <f t="shared" si="3"/>
        <v/>
      </c>
      <c r="D42" s="13" t="str">
        <f t="shared" si="4"/>
        <v/>
      </c>
      <c r="E42" s="13" t="str">
        <f t="shared" si="5"/>
        <v/>
      </c>
      <c r="F42" s="13" t="str">
        <f t="shared" si="6"/>
        <v/>
      </c>
      <c r="G42" s="13" t="str">
        <f t="shared" si="7"/>
        <v/>
      </c>
      <c r="H42" s="13" t="str">
        <f t="shared" si="8"/>
        <v/>
      </c>
      <c r="I42" s="13"/>
      <c r="J42" s="13"/>
      <c r="K42" s="13"/>
      <c r="L42" s="13"/>
      <c r="N42" s="2">
        <f>+'Daily Summary Old'!A69</f>
        <v>46216</v>
      </c>
      <c r="O42">
        <f t="shared" si="9"/>
        <v>29</v>
      </c>
      <c r="P42" s="13" t="str">
        <f>+IFERROR('Raw Data - Production'!K74/('Raw Data - Production'!D74*Weights!$B$2),"")</f>
        <v/>
      </c>
      <c r="Q42" s="13" t="str">
        <f>+IFERROR('Raw Data - Production'!L74/('Raw Data - Production'!E74*Weights!$B$2),"")</f>
        <v/>
      </c>
      <c r="R42" s="13" t="str">
        <f>+IFERROR('Raw Data - Production'!M74/('Raw Data - Production'!F74*Weights!$B$2),"")</f>
        <v/>
      </c>
      <c r="S42" s="13" t="str">
        <f>+IFERROR('Raw Data - Production'!N74/('Raw Data - Production'!G74*Weights!$B$2),"")</f>
        <v/>
      </c>
      <c r="T42" s="13" t="str">
        <f>+IFERROR('Raw Data - Production'!O74/('Raw Data - Production'!H74*Weights!$B$2),"")</f>
        <v/>
      </c>
      <c r="U42" s="13" t="str">
        <f>+IFERROR('Raw Data - Production'!P74/('Raw Data - Production'!I74*Weights!$B$2),"")</f>
        <v/>
      </c>
      <c r="V42" s="13"/>
      <c r="W42" s="13"/>
      <c r="X42" s="13"/>
      <c r="Y42" s="13"/>
      <c r="AA42" s="2">
        <f t="shared" si="10"/>
        <v>46216</v>
      </c>
      <c r="AD42">
        <f t="shared" si="11"/>
        <v>29</v>
      </c>
      <c r="AE42" s="13">
        <f t="shared" si="16"/>
        <v>0</v>
      </c>
      <c r="AF42" s="13">
        <f t="shared" si="16"/>
        <v>0</v>
      </c>
      <c r="AG42" s="13">
        <f t="shared" si="16"/>
        <v>0</v>
      </c>
      <c r="AH42" s="13">
        <f t="shared" si="17"/>
        <v>0</v>
      </c>
      <c r="AI42" s="13">
        <f t="shared" si="17"/>
        <v>0</v>
      </c>
      <c r="AJ42" s="13">
        <f t="shared" si="17"/>
        <v>0</v>
      </c>
      <c r="AK42" s="13"/>
      <c r="AL42" s="13"/>
      <c r="AM42" s="13"/>
      <c r="AN42" s="13"/>
      <c r="AP42" s="2">
        <f t="shared" si="14"/>
        <v>46216</v>
      </c>
      <c r="AQ42">
        <f t="shared" si="15"/>
        <v>29</v>
      </c>
      <c r="AR42" s="18">
        <f>('Raw Data - Production'!D74/100)/60</f>
        <v>0</v>
      </c>
      <c r="AS42" s="18">
        <f>('Raw Data - Production'!E74/100)/60</f>
        <v>0</v>
      </c>
      <c r="AT42" s="18">
        <f>('Raw Data - Production'!G74/50)/60</f>
        <v>0</v>
      </c>
      <c r="AU42" s="18">
        <f>('Raw Data - Production'!H74/50)/60</f>
        <v>0</v>
      </c>
      <c r="AV42" s="18">
        <f>('Raw Data - Production'!I74/50)/60</f>
        <v>0</v>
      </c>
      <c r="AW42" s="18"/>
      <c r="AX42" s="18"/>
      <c r="AY42" s="18"/>
      <c r="AZ42" s="18"/>
    </row>
    <row r="43" spans="1:52" x14ac:dyDescent="0.35">
      <c r="A43" s="2">
        <f t="shared" si="1"/>
        <v>46217</v>
      </c>
      <c r="B43">
        <f t="shared" si="2"/>
        <v>29</v>
      </c>
      <c r="C43" s="13" t="str">
        <f t="shared" si="3"/>
        <v/>
      </c>
      <c r="D43" s="13" t="str">
        <f t="shared" si="4"/>
        <v/>
      </c>
      <c r="E43" s="13" t="str">
        <f t="shared" si="5"/>
        <v/>
      </c>
      <c r="F43" s="13" t="str">
        <f t="shared" si="6"/>
        <v/>
      </c>
      <c r="G43" s="13" t="str">
        <f t="shared" si="7"/>
        <v/>
      </c>
      <c r="H43" s="13" t="str">
        <f t="shared" si="8"/>
        <v/>
      </c>
      <c r="I43" s="13"/>
      <c r="J43" s="13"/>
      <c r="K43" s="13"/>
      <c r="L43" s="13"/>
      <c r="N43" s="2">
        <f>+'Daily Summary Old'!A70</f>
        <v>46217</v>
      </c>
      <c r="O43">
        <f t="shared" si="9"/>
        <v>29</v>
      </c>
      <c r="P43" s="13" t="str">
        <f>+IFERROR('Raw Data - Production'!K75/('Raw Data - Production'!D75*Weights!$B$2),"")</f>
        <v/>
      </c>
      <c r="Q43" s="13" t="str">
        <f>+IFERROR('Raw Data - Production'!L75/('Raw Data - Production'!E75*Weights!$B$2),"")</f>
        <v/>
      </c>
      <c r="R43" s="13" t="str">
        <f>+IFERROR('Raw Data - Production'!M75/('Raw Data - Production'!F75*Weights!$B$2),"")</f>
        <v/>
      </c>
      <c r="S43" s="13" t="str">
        <f>+IFERROR('Raw Data - Production'!N75/('Raw Data - Production'!G75*Weights!$B$2),"")</f>
        <v/>
      </c>
      <c r="T43" s="13" t="str">
        <f>+IFERROR('Raw Data - Production'!O75/('Raw Data - Production'!H75*Weights!$B$2),"")</f>
        <v/>
      </c>
      <c r="U43" s="13" t="str">
        <f>+IFERROR('Raw Data - Production'!P75/('Raw Data - Production'!I75*Weights!$B$2),"")</f>
        <v/>
      </c>
      <c r="V43" s="13"/>
      <c r="W43" s="13"/>
      <c r="X43" s="13"/>
      <c r="Y43" s="13"/>
      <c r="AA43" s="2">
        <f t="shared" si="10"/>
        <v>46217</v>
      </c>
      <c r="AD43">
        <f t="shared" si="11"/>
        <v>29</v>
      </c>
      <c r="AE43" s="13">
        <f t="shared" si="16"/>
        <v>0</v>
      </c>
      <c r="AF43" s="13">
        <f t="shared" si="16"/>
        <v>0</v>
      </c>
      <c r="AG43" s="13">
        <f t="shared" si="16"/>
        <v>0</v>
      </c>
      <c r="AH43" s="13">
        <f t="shared" si="17"/>
        <v>0</v>
      </c>
      <c r="AI43" s="13">
        <f t="shared" si="17"/>
        <v>0</v>
      </c>
      <c r="AJ43" s="13">
        <f t="shared" si="17"/>
        <v>0</v>
      </c>
      <c r="AK43" s="13"/>
      <c r="AL43" s="13"/>
      <c r="AM43" s="13"/>
      <c r="AN43" s="13"/>
      <c r="AP43" s="2">
        <f t="shared" si="14"/>
        <v>46217</v>
      </c>
      <c r="AQ43">
        <f t="shared" si="15"/>
        <v>29</v>
      </c>
      <c r="AR43" s="18">
        <f>('Raw Data - Production'!D75/100)/60</f>
        <v>0</v>
      </c>
      <c r="AS43" s="18">
        <f>('Raw Data - Production'!E75/100)/60</f>
        <v>0</v>
      </c>
      <c r="AT43" s="18">
        <f>('Raw Data - Production'!G75/50)/60</f>
        <v>0</v>
      </c>
      <c r="AU43" s="18">
        <f>('Raw Data - Production'!H75/50)/60</f>
        <v>0</v>
      </c>
      <c r="AV43" s="18">
        <f>('Raw Data - Production'!I75/50)/60</f>
        <v>0</v>
      </c>
      <c r="AW43" s="18"/>
      <c r="AX43" s="18"/>
      <c r="AY43" s="18"/>
      <c r="AZ43" s="18"/>
    </row>
    <row r="44" spans="1:52" x14ac:dyDescent="0.35">
      <c r="A44" s="2">
        <f t="shared" si="1"/>
        <v>46218</v>
      </c>
      <c r="B44">
        <f t="shared" si="2"/>
        <v>29</v>
      </c>
      <c r="C44" s="13" t="str">
        <f t="shared" si="3"/>
        <v/>
      </c>
      <c r="D44" s="13" t="str">
        <f t="shared" si="4"/>
        <v/>
      </c>
      <c r="E44" s="13" t="str">
        <f t="shared" si="5"/>
        <v/>
      </c>
      <c r="F44" s="13" t="str">
        <f t="shared" si="6"/>
        <v/>
      </c>
      <c r="G44" s="13" t="str">
        <f t="shared" si="7"/>
        <v/>
      </c>
      <c r="H44" s="13" t="str">
        <f t="shared" si="8"/>
        <v/>
      </c>
      <c r="I44" s="13"/>
      <c r="J44" s="13"/>
      <c r="K44" s="13"/>
      <c r="L44" s="13"/>
      <c r="N44" s="2">
        <f>+'Daily Summary Old'!A71</f>
        <v>46218</v>
      </c>
      <c r="O44">
        <f t="shared" si="9"/>
        <v>29</v>
      </c>
      <c r="P44" s="13" t="str">
        <f>+IFERROR('Raw Data - Production'!K76/('Raw Data - Production'!D76*Weights!$B$2),"")</f>
        <v/>
      </c>
      <c r="Q44" s="13" t="str">
        <f>+IFERROR('Raw Data - Production'!L76/('Raw Data - Production'!E76*Weights!$B$2),"")</f>
        <v/>
      </c>
      <c r="R44" s="13" t="str">
        <f>+IFERROR('Raw Data - Production'!M76/('Raw Data - Production'!F76*Weights!$B$2),"")</f>
        <v/>
      </c>
      <c r="S44" s="13" t="str">
        <f>+IFERROR('Raw Data - Production'!N76/('Raw Data - Production'!G76*Weights!$B$2),"")</f>
        <v/>
      </c>
      <c r="T44" s="13" t="str">
        <f>+IFERROR('Raw Data - Production'!O76/('Raw Data - Production'!H76*Weights!$B$2),"")</f>
        <v/>
      </c>
      <c r="U44" s="13" t="str">
        <f>+IFERROR('Raw Data - Production'!P76/('Raw Data - Production'!I76*Weights!$B$2),"")</f>
        <v/>
      </c>
      <c r="V44" s="13"/>
      <c r="W44" s="13"/>
      <c r="X44" s="13"/>
      <c r="Y44" s="13"/>
      <c r="AA44" s="2">
        <f t="shared" si="10"/>
        <v>46218</v>
      </c>
      <c r="AD44">
        <f t="shared" si="11"/>
        <v>29</v>
      </c>
      <c r="AE44" s="13">
        <f t="shared" si="16"/>
        <v>0</v>
      </c>
      <c r="AF44" s="13">
        <f t="shared" si="16"/>
        <v>0</v>
      </c>
      <c r="AG44" s="13">
        <f t="shared" si="16"/>
        <v>0</v>
      </c>
      <c r="AH44" s="13">
        <f t="shared" si="17"/>
        <v>0</v>
      </c>
      <c r="AI44" s="13">
        <f t="shared" si="17"/>
        <v>0</v>
      </c>
      <c r="AJ44" s="13">
        <f t="shared" si="17"/>
        <v>0</v>
      </c>
      <c r="AK44" s="13"/>
      <c r="AL44" s="13"/>
      <c r="AM44" s="13"/>
      <c r="AN44" s="13"/>
      <c r="AP44" s="2">
        <f t="shared" si="14"/>
        <v>46218</v>
      </c>
      <c r="AQ44">
        <f t="shared" si="15"/>
        <v>29</v>
      </c>
      <c r="AR44" s="18">
        <f>('Raw Data - Production'!D76/100)/60</f>
        <v>0</v>
      </c>
      <c r="AS44" s="18">
        <f>('Raw Data - Production'!E76/100)/60</f>
        <v>0</v>
      </c>
      <c r="AT44" s="18">
        <f>('Raw Data - Production'!G76/50)/60</f>
        <v>0</v>
      </c>
      <c r="AU44" s="18">
        <f>('Raw Data - Production'!H76/50)/60</f>
        <v>0</v>
      </c>
      <c r="AV44" s="18">
        <f>('Raw Data - Production'!I76/50)/60</f>
        <v>0</v>
      </c>
      <c r="AW44" s="18"/>
      <c r="AX44" s="18"/>
      <c r="AY44" s="18"/>
      <c r="AZ44" s="18"/>
    </row>
    <row r="45" spans="1:52" x14ac:dyDescent="0.35">
      <c r="A45" s="2">
        <f t="shared" si="1"/>
        <v>46219</v>
      </c>
      <c r="B45">
        <f t="shared" si="2"/>
        <v>29</v>
      </c>
      <c r="C45" s="13" t="str">
        <f t="shared" si="3"/>
        <v/>
      </c>
      <c r="D45" s="13" t="str">
        <f t="shared" si="4"/>
        <v/>
      </c>
      <c r="E45" s="13" t="str">
        <f t="shared" si="5"/>
        <v/>
      </c>
      <c r="F45" s="13" t="str">
        <f t="shared" si="6"/>
        <v/>
      </c>
      <c r="G45" s="13" t="str">
        <f t="shared" si="7"/>
        <v/>
      </c>
      <c r="H45" s="13" t="str">
        <f t="shared" si="8"/>
        <v/>
      </c>
      <c r="I45" s="13"/>
      <c r="J45" s="13"/>
      <c r="K45" s="13"/>
      <c r="L45" s="13"/>
      <c r="N45" s="2">
        <f>+'Daily Summary Old'!A72</f>
        <v>46219</v>
      </c>
      <c r="O45">
        <f t="shared" si="9"/>
        <v>29</v>
      </c>
      <c r="P45" s="13" t="str">
        <f>+IFERROR('Raw Data - Production'!K77/('Raw Data - Production'!D77*Weights!$B$2),"")</f>
        <v/>
      </c>
      <c r="Q45" s="13" t="str">
        <f>+IFERROR('Raw Data - Production'!L77/('Raw Data - Production'!E77*Weights!$B$2),"")</f>
        <v/>
      </c>
      <c r="R45" s="13" t="str">
        <f>+IFERROR('Raw Data - Production'!M77/('Raw Data - Production'!F77*Weights!$B$2),"")</f>
        <v/>
      </c>
      <c r="S45" s="13" t="str">
        <f>+IFERROR('Raw Data - Production'!N77/('Raw Data - Production'!G77*Weights!$B$2),"")</f>
        <v/>
      </c>
      <c r="T45" s="13" t="str">
        <f>+IFERROR('Raw Data - Production'!O77/('Raw Data - Production'!H77*Weights!$B$2),"")</f>
        <v/>
      </c>
      <c r="U45" s="13" t="str">
        <f>+IFERROR('Raw Data - Production'!P77/('Raw Data - Production'!I77*Weights!$B$2),"")</f>
        <v/>
      </c>
      <c r="V45" s="13"/>
      <c r="W45" s="13"/>
      <c r="X45" s="13"/>
      <c r="Y45" s="13"/>
      <c r="AA45" s="2">
        <f t="shared" si="10"/>
        <v>46219</v>
      </c>
      <c r="AD45">
        <f t="shared" si="11"/>
        <v>29</v>
      </c>
      <c r="AE45" s="13">
        <f t="shared" si="16"/>
        <v>0</v>
      </c>
      <c r="AF45" s="13">
        <f t="shared" si="16"/>
        <v>0</v>
      </c>
      <c r="AG45" s="13">
        <f t="shared" si="16"/>
        <v>0</v>
      </c>
      <c r="AH45" s="13">
        <f t="shared" si="17"/>
        <v>0</v>
      </c>
      <c r="AI45" s="13">
        <f t="shared" si="17"/>
        <v>0</v>
      </c>
      <c r="AJ45" s="13">
        <f t="shared" si="17"/>
        <v>0</v>
      </c>
      <c r="AK45" s="13"/>
      <c r="AL45" s="13"/>
      <c r="AM45" s="13"/>
      <c r="AN45" s="13"/>
      <c r="AP45" s="2">
        <f t="shared" si="14"/>
        <v>46219</v>
      </c>
      <c r="AQ45">
        <f t="shared" si="15"/>
        <v>29</v>
      </c>
      <c r="AR45" s="18">
        <f>('Raw Data - Production'!D77/100)/60</f>
        <v>0</v>
      </c>
      <c r="AS45" s="18">
        <f>('Raw Data - Production'!E77/100)/60</f>
        <v>0</v>
      </c>
      <c r="AT45" s="18">
        <f>('Raw Data - Production'!G77/50)/60</f>
        <v>0</v>
      </c>
      <c r="AU45" s="18">
        <f>('Raw Data - Production'!H77/50)/60</f>
        <v>0</v>
      </c>
      <c r="AV45" s="18">
        <f>('Raw Data - Production'!I77/50)/60</f>
        <v>0</v>
      </c>
      <c r="AW45" s="18"/>
      <c r="AX45" s="18"/>
      <c r="AY45" s="18"/>
      <c r="AZ45" s="18"/>
    </row>
    <row r="46" spans="1:52" x14ac:dyDescent="0.35">
      <c r="A46" s="2">
        <f t="shared" si="1"/>
        <v>46220</v>
      </c>
      <c r="B46">
        <f t="shared" si="2"/>
        <v>29</v>
      </c>
      <c r="C46" s="13" t="str">
        <f t="shared" si="3"/>
        <v/>
      </c>
      <c r="D46" s="13" t="str">
        <f t="shared" si="4"/>
        <v/>
      </c>
      <c r="E46" s="13" t="str">
        <f t="shared" si="5"/>
        <v/>
      </c>
      <c r="F46" s="13" t="str">
        <f t="shared" si="6"/>
        <v/>
      </c>
      <c r="G46" s="13" t="str">
        <f t="shared" si="7"/>
        <v/>
      </c>
      <c r="H46" s="13" t="str">
        <f t="shared" si="8"/>
        <v/>
      </c>
      <c r="I46" s="13"/>
      <c r="J46" s="13"/>
      <c r="K46" s="13"/>
      <c r="L46" s="13"/>
      <c r="N46" s="2">
        <f>+'Daily Summary Old'!A73</f>
        <v>46220</v>
      </c>
      <c r="O46">
        <f t="shared" si="9"/>
        <v>29</v>
      </c>
      <c r="P46" s="13" t="str">
        <f>+IFERROR('Raw Data - Production'!K78/('Raw Data - Production'!D78*Weights!$B$2),"")</f>
        <v/>
      </c>
      <c r="Q46" s="13" t="str">
        <f>+IFERROR('Raw Data - Production'!L78/('Raw Data - Production'!E78*Weights!$B$2),"")</f>
        <v/>
      </c>
      <c r="R46" s="13" t="str">
        <f>+IFERROR('Raw Data - Production'!M78/('Raw Data - Production'!F78*Weights!$B$2),"")</f>
        <v/>
      </c>
      <c r="S46" s="13" t="str">
        <f>+IFERROR('Raw Data - Production'!N78/('Raw Data - Production'!G78*Weights!$B$2),"")</f>
        <v/>
      </c>
      <c r="T46" s="13" t="str">
        <f>+IFERROR('Raw Data - Production'!O78/('Raw Data - Production'!H78*Weights!$B$2),"")</f>
        <v/>
      </c>
      <c r="U46" s="13" t="str">
        <f>+IFERROR('Raw Data - Production'!P78/('Raw Data - Production'!I78*Weights!$B$2),"")</f>
        <v/>
      </c>
      <c r="V46" s="13"/>
      <c r="W46" s="13"/>
      <c r="X46" s="13"/>
      <c r="Y46" s="13"/>
      <c r="AA46" s="2">
        <f t="shared" si="10"/>
        <v>46220</v>
      </c>
      <c r="AD46">
        <f t="shared" si="11"/>
        <v>29</v>
      </c>
      <c r="AE46" s="13">
        <f t="shared" si="16"/>
        <v>0</v>
      </c>
      <c r="AF46" s="13">
        <f t="shared" si="16"/>
        <v>0</v>
      </c>
      <c r="AG46" s="13">
        <f t="shared" si="16"/>
        <v>0</v>
      </c>
      <c r="AH46" s="13">
        <f t="shared" si="17"/>
        <v>0</v>
      </c>
      <c r="AI46" s="13">
        <f t="shared" si="17"/>
        <v>0</v>
      </c>
      <c r="AJ46" s="13">
        <f t="shared" si="17"/>
        <v>0</v>
      </c>
      <c r="AK46" s="13"/>
      <c r="AL46" s="13"/>
      <c r="AM46" s="13"/>
      <c r="AN46" s="13"/>
      <c r="AP46" s="2">
        <f t="shared" si="14"/>
        <v>46220</v>
      </c>
      <c r="AQ46">
        <f t="shared" si="15"/>
        <v>29</v>
      </c>
      <c r="AR46" s="18">
        <f>('Raw Data - Production'!D78/100)/60</f>
        <v>0</v>
      </c>
      <c r="AS46" s="18">
        <f>('Raw Data - Production'!E78/100)/60</f>
        <v>0</v>
      </c>
      <c r="AT46" s="18">
        <f>('Raw Data - Production'!G78/50)/60</f>
        <v>0</v>
      </c>
      <c r="AU46" s="18">
        <f>('Raw Data - Production'!H78/50)/60</f>
        <v>0</v>
      </c>
      <c r="AV46" s="18">
        <f>('Raw Data - Production'!I78/50)/60</f>
        <v>0</v>
      </c>
      <c r="AW46" s="18"/>
      <c r="AX46" s="18"/>
      <c r="AY46" s="18"/>
      <c r="AZ46" s="18"/>
    </row>
    <row r="47" spans="1:52" x14ac:dyDescent="0.35">
      <c r="A47" s="2">
        <f t="shared" si="1"/>
        <v>46223</v>
      </c>
      <c r="B47">
        <f t="shared" si="2"/>
        <v>30</v>
      </c>
      <c r="C47" s="13">
        <f t="shared" si="3"/>
        <v>0.61531724554183809</v>
      </c>
      <c r="D47" s="13">
        <f t="shared" si="4"/>
        <v>0.62015490809327856</v>
      </c>
      <c r="E47" s="13" t="str">
        <f t="shared" si="5"/>
        <v/>
      </c>
      <c r="F47" s="13" t="str">
        <f t="shared" si="6"/>
        <v/>
      </c>
      <c r="G47" s="13" t="str">
        <f t="shared" si="7"/>
        <v/>
      </c>
      <c r="H47" s="13" t="str">
        <f t="shared" si="8"/>
        <v/>
      </c>
      <c r="I47" s="13"/>
      <c r="J47" s="13"/>
      <c r="K47" s="13"/>
      <c r="L47" s="13"/>
      <c r="N47" s="2">
        <f>+'Daily Summary Old'!A74</f>
        <v>46223</v>
      </c>
      <c r="O47">
        <f t="shared" si="9"/>
        <v>30</v>
      </c>
      <c r="P47" s="13">
        <f>+IFERROR('Raw Data - Production'!K79/('Raw Data - Production'!D79*Weights!$B$2),"")</f>
        <v>5.6678575197093718E-2</v>
      </c>
      <c r="Q47" s="13">
        <f>+IFERROR('Raw Data - Production'!L79/('Raw Data - Production'!E79*Weights!$B$2),"")</f>
        <v>6.2991190147227052E-2</v>
      </c>
      <c r="R47" s="13" t="str">
        <f>+IFERROR('Raw Data - Production'!M79/('Raw Data - Production'!F79*Weights!$B$2),"")</f>
        <v/>
      </c>
      <c r="S47" s="13" t="str">
        <f>+IFERROR('Raw Data - Production'!N79/('Raw Data - Production'!G79*Weights!$B$2),"")</f>
        <v/>
      </c>
      <c r="T47" s="13" t="str">
        <f>+IFERROR('Raw Data - Production'!O79/('Raw Data - Production'!H79*Weights!$B$2),"")</f>
        <v/>
      </c>
      <c r="U47" s="13" t="str">
        <f>+IFERROR('Raw Data - Production'!P79/('Raw Data - Production'!I79*Weights!$B$2),"")</f>
        <v/>
      </c>
      <c r="V47" s="13"/>
      <c r="W47" s="13"/>
      <c r="X47" s="13"/>
      <c r="Y47" s="13"/>
      <c r="AA47" s="2">
        <f t="shared" si="10"/>
        <v>46223</v>
      </c>
      <c r="AB47" s="11">
        <v>112</v>
      </c>
      <c r="AC47" s="11">
        <v>55</v>
      </c>
      <c r="AD47">
        <f t="shared" si="11"/>
        <v>30</v>
      </c>
      <c r="AE47" s="13">
        <f t="shared" si="16"/>
        <v>1.1200000000000001</v>
      </c>
      <c r="AF47" s="13">
        <f t="shared" si="16"/>
        <v>1.1200000000000001</v>
      </c>
      <c r="AG47" s="13">
        <f t="shared" si="16"/>
        <v>1.1200000000000001</v>
      </c>
      <c r="AH47" s="13">
        <f t="shared" si="17"/>
        <v>0.91666666666666663</v>
      </c>
      <c r="AI47" s="13">
        <f t="shared" si="17"/>
        <v>0.91666666666666663</v>
      </c>
      <c r="AJ47" s="13">
        <f t="shared" si="17"/>
        <v>0.91666666666666663</v>
      </c>
      <c r="AK47" s="13"/>
      <c r="AL47" s="13"/>
      <c r="AM47" s="13"/>
      <c r="AN47" s="13"/>
      <c r="AP47" s="2">
        <f t="shared" si="14"/>
        <v>46223</v>
      </c>
      <c r="AQ47">
        <f t="shared" si="15"/>
        <v>30</v>
      </c>
      <c r="AR47" s="18">
        <f>('Raw Data - Production'!D79/100)/60</f>
        <v>4.3679999999999994</v>
      </c>
      <c r="AS47" s="18">
        <f>('Raw Data - Production'!E79/100)/60</f>
        <v>4.4320000000000004</v>
      </c>
      <c r="AT47" s="18">
        <f>('Raw Data - Production'!G79/50)/60</f>
        <v>0</v>
      </c>
      <c r="AU47" s="18">
        <f>('Raw Data - Production'!H79/50)/60</f>
        <v>0</v>
      </c>
      <c r="AV47" s="18">
        <f>('Raw Data - Production'!I79/50)/60</f>
        <v>0</v>
      </c>
      <c r="AW47" s="18"/>
      <c r="AX47" s="18"/>
      <c r="AY47" s="18"/>
      <c r="AZ47" s="18"/>
    </row>
    <row r="48" spans="1:52" x14ac:dyDescent="0.35">
      <c r="A48" s="2">
        <f t="shared" si="1"/>
        <v>46224</v>
      </c>
      <c r="B48">
        <f t="shared" si="2"/>
        <v>30</v>
      </c>
      <c r="C48" s="13">
        <f t="shared" si="3"/>
        <v>1.1655226995884775</v>
      </c>
      <c r="D48" s="13">
        <f t="shared" si="4"/>
        <v>0.78752623319615911</v>
      </c>
      <c r="E48" s="13" t="str">
        <f t="shared" si="5"/>
        <v/>
      </c>
      <c r="F48" s="13">
        <f t="shared" si="6"/>
        <v>0.42010242341106541</v>
      </c>
      <c r="G48" s="13" t="str">
        <f t="shared" si="7"/>
        <v/>
      </c>
      <c r="H48" s="13">
        <f t="shared" si="8"/>
        <v>0.48506881572930954</v>
      </c>
      <c r="I48" s="13"/>
      <c r="J48" s="13"/>
      <c r="K48" s="13"/>
      <c r="L48" s="13"/>
      <c r="N48" s="2">
        <f>+'Daily Summary Old'!A75</f>
        <v>46224</v>
      </c>
      <c r="O48">
        <f t="shared" si="9"/>
        <v>30</v>
      </c>
      <c r="P48" s="13">
        <f>+IFERROR('Raw Data - Production'!K80/('Raw Data - Production'!D80*Weights!$B$2),"")</f>
        <v>4.7260802469135811E-2</v>
      </c>
      <c r="Q48" s="13">
        <f>+IFERROR('Raw Data - Production'!L80/('Raw Data - Production'!E80*Weights!$B$2),"")</f>
        <v>6.0966316110349035E-2</v>
      </c>
      <c r="R48" s="13" t="str">
        <f>+IFERROR('Raw Data - Production'!M80/('Raw Data - Production'!F80*Weights!$B$2),"")</f>
        <v/>
      </c>
      <c r="S48" s="13">
        <f>+IFERROR('Raw Data - Production'!N80/('Raw Data - Production'!G80*Weights!$B$2),"")</f>
        <v>0.33041526374859709</v>
      </c>
      <c r="T48" s="13" t="str">
        <f>+IFERROR('Raw Data - Production'!O80/('Raw Data - Production'!H80*Weights!$B$2),"")</f>
        <v/>
      </c>
      <c r="U48" s="13">
        <f>+IFERROR('Raw Data - Production'!P80/('Raw Data - Production'!I80*Weights!$B$2),"")</f>
        <v>0.16418149751483085</v>
      </c>
      <c r="V48" s="13"/>
      <c r="W48" s="13"/>
      <c r="X48" s="13"/>
      <c r="Y48" s="13"/>
      <c r="AA48" s="2">
        <f t="shared" si="10"/>
        <v>46224</v>
      </c>
      <c r="AB48" s="11">
        <v>112</v>
      </c>
      <c r="AC48" s="11">
        <v>55</v>
      </c>
      <c r="AD48">
        <f t="shared" si="11"/>
        <v>30</v>
      </c>
      <c r="AE48" s="13">
        <f t="shared" si="16"/>
        <v>1.1200000000000001</v>
      </c>
      <c r="AF48" s="13">
        <f t="shared" si="16"/>
        <v>1.1200000000000001</v>
      </c>
      <c r="AG48" s="13">
        <f t="shared" si="16"/>
        <v>1.1200000000000001</v>
      </c>
      <c r="AH48" s="13">
        <f t="shared" si="17"/>
        <v>0.91666666666666663</v>
      </c>
      <c r="AI48" s="13">
        <f t="shared" si="17"/>
        <v>0.91666666666666663</v>
      </c>
      <c r="AJ48" s="13">
        <f t="shared" si="17"/>
        <v>0.91666666666666663</v>
      </c>
      <c r="AK48" s="13"/>
      <c r="AL48" s="13"/>
      <c r="AM48" s="13"/>
      <c r="AN48" s="13"/>
      <c r="AP48" s="2">
        <f t="shared" si="14"/>
        <v>46224</v>
      </c>
      <c r="AQ48">
        <f t="shared" si="15"/>
        <v>30</v>
      </c>
      <c r="AR48" s="18">
        <f>('Raw Data - Production'!D80/100)/60</f>
        <v>8.1920000000000002</v>
      </c>
      <c r="AS48" s="18">
        <f>('Raw Data - Production'!E80/100)/60</f>
        <v>5.6159999999999997</v>
      </c>
      <c r="AT48" s="18">
        <f>('Raw Data - Production'!G80/50)/60</f>
        <v>5.1333333333333337</v>
      </c>
      <c r="AU48" s="18">
        <f>('Raw Data - Production'!H80/50)/60</f>
        <v>0</v>
      </c>
      <c r="AV48" s="18">
        <f>('Raw Data - Production'!I80/50)/60</f>
        <v>4.7483333333333331</v>
      </c>
      <c r="AW48" s="18"/>
      <c r="AX48" s="18"/>
      <c r="AY48" s="18"/>
      <c r="AZ48" s="18"/>
    </row>
    <row r="49" spans="1:52" x14ac:dyDescent="0.35">
      <c r="A49" s="2">
        <f t="shared" si="1"/>
        <v>46225</v>
      </c>
      <c r="B49">
        <f t="shared" si="2"/>
        <v>30</v>
      </c>
      <c r="C49" s="13">
        <f t="shared" si="3"/>
        <v>0.88468753909465014</v>
      </c>
      <c r="D49" s="13">
        <f t="shared" si="4"/>
        <v>0.73898245267489715</v>
      </c>
      <c r="E49" s="13" t="str">
        <f t="shared" si="5"/>
        <v/>
      </c>
      <c r="F49" s="13">
        <f t="shared" si="6"/>
        <v>0.28766735253772291</v>
      </c>
      <c r="G49" s="13" t="str">
        <f t="shared" si="7"/>
        <v/>
      </c>
      <c r="H49" s="13">
        <f t="shared" si="8"/>
        <v>0.3523344764517603</v>
      </c>
      <c r="I49" s="13"/>
      <c r="J49" s="13"/>
      <c r="K49" s="13"/>
      <c r="L49" s="13"/>
      <c r="N49" s="2">
        <f>+'Daily Summary Old'!A76</f>
        <v>46225</v>
      </c>
      <c r="O49">
        <f t="shared" si="9"/>
        <v>30</v>
      </c>
      <c r="P49" s="13">
        <f>+IFERROR('Raw Data - Production'!K81/('Raw Data - Production'!D81*Weights!$B$2),"")</f>
        <v>0.14191093372244398</v>
      </c>
      <c r="Q49" s="13">
        <f>+IFERROR('Raw Data - Production'!L81/('Raw Data - Production'!E81*Weights!$B$2),"")</f>
        <v>6.8421835490108593E-2</v>
      </c>
      <c r="R49" s="13" t="str">
        <f>+IFERROR('Raw Data - Production'!M81/('Raw Data - Production'!F81*Weights!$B$2),"")</f>
        <v/>
      </c>
      <c r="S49" s="13">
        <f>+IFERROR('Raw Data - Production'!N81/('Raw Data - Production'!G81*Weights!$B$2),"")</f>
        <v>0.37925925925925924</v>
      </c>
      <c r="T49" s="13" t="str">
        <f>+IFERROR('Raw Data - Production'!O81/('Raw Data - Production'!H81*Weights!$B$2),"")</f>
        <v/>
      </c>
      <c r="U49" s="13">
        <f>+IFERROR('Raw Data - Production'!P81/('Raw Data - Production'!I81*Weights!$B$2),"")</f>
        <v>0.30396701194823261</v>
      </c>
      <c r="V49" s="13"/>
      <c r="W49" s="13"/>
      <c r="X49" s="13"/>
      <c r="Y49" s="13"/>
      <c r="AA49" s="2">
        <f t="shared" si="10"/>
        <v>46225</v>
      </c>
      <c r="AB49" s="11">
        <v>112</v>
      </c>
      <c r="AC49" s="11">
        <v>55</v>
      </c>
      <c r="AD49">
        <f t="shared" si="11"/>
        <v>30</v>
      </c>
      <c r="AE49" s="13">
        <f t="shared" si="16"/>
        <v>1.1200000000000001</v>
      </c>
      <c r="AF49" s="13">
        <f t="shared" si="16"/>
        <v>1.1200000000000001</v>
      </c>
      <c r="AG49" s="13">
        <f t="shared" si="16"/>
        <v>1.1200000000000001</v>
      </c>
      <c r="AH49" s="13">
        <f t="shared" si="17"/>
        <v>0.91666666666666663</v>
      </c>
      <c r="AI49" s="13">
        <f t="shared" si="17"/>
        <v>0.91666666666666663</v>
      </c>
      <c r="AJ49" s="13">
        <f t="shared" si="17"/>
        <v>0.91666666666666663</v>
      </c>
      <c r="AK49" s="13"/>
      <c r="AL49" s="13"/>
      <c r="AM49" s="13"/>
      <c r="AN49" s="13"/>
      <c r="AP49" s="2">
        <f t="shared" si="14"/>
        <v>46225</v>
      </c>
      <c r="AQ49">
        <f t="shared" si="15"/>
        <v>30</v>
      </c>
      <c r="AR49" s="18">
        <f>('Raw Data - Production'!D81/100)/60</f>
        <v>6.9039999999999999</v>
      </c>
      <c r="AS49" s="18">
        <f>('Raw Data - Production'!E81/100)/60</f>
        <v>5.3120000000000003</v>
      </c>
      <c r="AT49" s="18">
        <f>('Raw Data - Production'!G81/50)/60</f>
        <v>3.7916666666666665</v>
      </c>
      <c r="AU49" s="18">
        <f>('Raw Data - Production'!H81/50)/60</f>
        <v>0</v>
      </c>
      <c r="AV49" s="18">
        <f>('Raw Data - Production'!I81/50)/60</f>
        <v>4.1416666666666666</v>
      </c>
      <c r="AW49" s="18"/>
      <c r="AX49" s="18"/>
      <c r="AY49" s="18"/>
      <c r="AZ49" s="18"/>
    </row>
    <row r="50" spans="1:52" x14ac:dyDescent="0.35">
      <c r="A50" s="2">
        <f t="shared" si="1"/>
        <v>46226</v>
      </c>
      <c r="B50">
        <f t="shared" si="2"/>
        <v>30</v>
      </c>
      <c r="C50" s="13">
        <f t="shared" si="3"/>
        <v>0.94818186008230465</v>
      </c>
      <c r="D50" s="13">
        <f t="shared" si="4"/>
        <v>0.77835237311385475</v>
      </c>
      <c r="E50" s="13" t="str">
        <f t="shared" si="5"/>
        <v/>
      </c>
      <c r="F50" s="13">
        <f t="shared" si="6"/>
        <v>0.37031950160036575</v>
      </c>
      <c r="G50" s="13" t="str">
        <f t="shared" si="7"/>
        <v/>
      </c>
      <c r="H50" s="13">
        <f t="shared" si="8"/>
        <v>0.393384545038866</v>
      </c>
      <c r="I50" s="13"/>
      <c r="J50" s="13"/>
      <c r="K50" s="13"/>
      <c r="L50" s="13"/>
      <c r="N50" s="2">
        <f>+'Daily Summary Old'!A77</f>
        <v>46226</v>
      </c>
      <c r="O50">
        <f t="shared" si="9"/>
        <v>30</v>
      </c>
      <c r="P50" s="13">
        <f>+IFERROR('Raw Data - Production'!K82/('Raw Data - Production'!D82*Weights!$B$2),"")</f>
        <v>6.4057768460284187E-2</v>
      </c>
      <c r="Q50" s="13">
        <f>+IFERROR('Raw Data - Production'!L82/('Raw Data - Production'!E82*Weights!$B$2),"")</f>
        <v>9.5107453132144484E-2</v>
      </c>
      <c r="R50" s="13" t="str">
        <f>+IFERROR('Raw Data - Production'!M82/('Raw Data - Production'!F82*Weights!$B$2),"")</f>
        <v/>
      </c>
      <c r="S50" s="13">
        <f>+IFERROR('Raw Data - Production'!N82/('Raw Data - Production'!G82*Weights!$B$2),"")</f>
        <v>0.14430120086352927</v>
      </c>
      <c r="T50" s="13" t="str">
        <f>+IFERROR('Raw Data - Production'!O82/('Raw Data - Production'!H82*Weights!$B$2),"")</f>
        <v/>
      </c>
      <c r="U50" s="13">
        <f>+IFERROR('Raw Data - Production'!P82/('Raw Data - Production'!I82*Weights!$B$2),"")</f>
        <v>0.11576900465789354</v>
      </c>
      <c r="V50" s="13"/>
      <c r="W50" s="13"/>
      <c r="X50" s="13"/>
      <c r="Y50" s="13"/>
      <c r="AA50" s="2">
        <f t="shared" si="10"/>
        <v>46226</v>
      </c>
      <c r="AB50" s="11">
        <v>112</v>
      </c>
      <c r="AC50" s="11">
        <v>55</v>
      </c>
      <c r="AD50">
        <f t="shared" si="11"/>
        <v>30</v>
      </c>
      <c r="AE50" s="13">
        <f t="shared" si="16"/>
        <v>1.1200000000000001</v>
      </c>
      <c r="AF50" s="13">
        <f t="shared" si="16"/>
        <v>1.1200000000000001</v>
      </c>
      <c r="AG50" s="13">
        <f t="shared" si="16"/>
        <v>1.1200000000000001</v>
      </c>
      <c r="AH50" s="13">
        <f t="shared" si="17"/>
        <v>0.91666666666666663</v>
      </c>
      <c r="AI50" s="13">
        <f t="shared" si="17"/>
        <v>0.91666666666666663</v>
      </c>
      <c r="AJ50" s="13">
        <f t="shared" si="17"/>
        <v>0.91666666666666663</v>
      </c>
      <c r="AK50" s="13"/>
      <c r="AL50" s="13"/>
      <c r="AM50" s="13"/>
      <c r="AN50" s="13"/>
      <c r="AP50" s="2">
        <f t="shared" si="14"/>
        <v>46226</v>
      </c>
      <c r="AQ50">
        <f t="shared" si="15"/>
        <v>30</v>
      </c>
      <c r="AR50" s="18">
        <f>('Raw Data - Production'!D82/100)/60</f>
        <v>6.7840000000000007</v>
      </c>
      <c r="AS50" s="18">
        <f>('Raw Data - Production'!E82/100)/60</f>
        <v>5.7600000000000007</v>
      </c>
      <c r="AT50" s="18">
        <f>('Raw Data - Production'!G82/50)/60</f>
        <v>3.5408333333333331</v>
      </c>
      <c r="AU50" s="18">
        <f>('Raw Data - Production'!H82/50)/60</f>
        <v>0</v>
      </c>
      <c r="AV50" s="18">
        <f>('Raw Data - Production'!I82/50)/60</f>
        <v>3.64</v>
      </c>
      <c r="AW50" s="18"/>
      <c r="AX50" s="18"/>
      <c r="AY50" s="18"/>
      <c r="AZ50" s="18"/>
    </row>
    <row r="51" spans="1:52" x14ac:dyDescent="0.35">
      <c r="A51" s="2">
        <f t="shared" si="1"/>
        <v>46227</v>
      </c>
      <c r="B51">
        <f t="shared" si="2"/>
        <v>30</v>
      </c>
      <c r="C51" s="13" t="str">
        <f t="shared" si="3"/>
        <v/>
      </c>
      <c r="D51" s="13" t="str">
        <f t="shared" si="4"/>
        <v/>
      </c>
      <c r="E51" s="13" t="str">
        <f t="shared" si="5"/>
        <v/>
      </c>
      <c r="F51" s="13" t="str">
        <f t="shared" si="6"/>
        <v/>
      </c>
      <c r="G51" s="13" t="str">
        <f t="shared" si="7"/>
        <v/>
      </c>
      <c r="H51" s="13" t="str">
        <f t="shared" si="8"/>
        <v/>
      </c>
      <c r="I51" s="13"/>
      <c r="J51" s="13"/>
      <c r="K51" s="13"/>
      <c r="L51" s="13"/>
      <c r="N51" s="2">
        <f>+'Daily Summary Old'!A78</f>
        <v>46227</v>
      </c>
      <c r="O51">
        <f t="shared" si="9"/>
        <v>30</v>
      </c>
      <c r="P51" s="13" t="str">
        <f>+IFERROR('Raw Data - Production'!K83/('Raw Data - Production'!D83*Weights!$B$2),"")</f>
        <v/>
      </c>
      <c r="Q51" s="13" t="str">
        <f>+IFERROR('Raw Data - Production'!L83/('Raw Data - Production'!E83*Weights!$B$2),"")</f>
        <v/>
      </c>
      <c r="R51" s="13" t="str">
        <f>+IFERROR('Raw Data - Production'!M83/('Raw Data - Production'!F83*Weights!$B$2),"")</f>
        <v/>
      </c>
      <c r="S51" s="13" t="str">
        <f>+IFERROR('Raw Data - Production'!N83/('Raw Data - Production'!G83*Weights!$B$2),"")</f>
        <v/>
      </c>
      <c r="T51" s="13" t="str">
        <f>+IFERROR('Raw Data - Production'!O83/('Raw Data - Production'!H83*Weights!$B$2),"")</f>
        <v/>
      </c>
      <c r="U51" s="13" t="str">
        <f>+IFERROR('Raw Data - Production'!P83/('Raw Data - Production'!I83*Weights!$B$2),"")</f>
        <v/>
      </c>
      <c r="V51" s="13"/>
      <c r="W51" s="13"/>
      <c r="X51" s="13"/>
      <c r="Y51" s="13"/>
      <c r="AA51" s="2">
        <f t="shared" si="10"/>
        <v>46227</v>
      </c>
      <c r="AD51">
        <f t="shared" si="11"/>
        <v>30</v>
      </c>
      <c r="AE51" s="13">
        <f t="shared" si="16"/>
        <v>0</v>
      </c>
      <c r="AF51" s="13">
        <f t="shared" si="16"/>
        <v>0</v>
      </c>
      <c r="AG51" s="13">
        <f t="shared" si="16"/>
        <v>0</v>
      </c>
      <c r="AH51" s="13">
        <f t="shared" si="17"/>
        <v>0</v>
      </c>
      <c r="AI51" s="13">
        <f t="shared" si="17"/>
        <v>0</v>
      </c>
      <c r="AJ51" s="13">
        <f t="shared" si="17"/>
        <v>0</v>
      </c>
      <c r="AK51" s="13"/>
      <c r="AL51" s="13"/>
      <c r="AM51" s="13"/>
      <c r="AN51" s="13"/>
      <c r="AP51" s="2">
        <f t="shared" si="14"/>
        <v>46227</v>
      </c>
      <c r="AQ51">
        <f t="shared" si="15"/>
        <v>30</v>
      </c>
      <c r="AR51" s="18">
        <f>('Raw Data - Production'!D83/100)/60</f>
        <v>0</v>
      </c>
      <c r="AS51" s="18">
        <f>('Raw Data - Production'!E83/100)/60</f>
        <v>0</v>
      </c>
      <c r="AT51" s="18">
        <f>('Raw Data - Production'!G83/50)/60</f>
        <v>0</v>
      </c>
      <c r="AU51" s="18">
        <f>('Raw Data - Production'!H83/50)/60</f>
        <v>0</v>
      </c>
      <c r="AV51" s="18">
        <f>('Raw Data - Production'!I83/50)/60</f>
        <v>0</v>
      </c>
      <c r="AW51" s="18"/>
      <c r="AX51" s="18"/>
      <c r="AY51" s="18"/>
      <c r="AZ51" s="18"/>
    </row>
    <row r="52" spans="1:52" x14ac:dyDescent="0.35">
      <c r="A52" s="2">
        <f t="shared" si="1"/>
        <v>46230</v>
      </c>
      <c r="B52">
        <f t="shared" si="2"/>
        <v>31</v>
      </c>
      <c r="C52" s="13">
        <f t="shared" si="3"/>
        <v>0.74810714951989032</v>
      </c>
      <c r="D52" s="13">
        <f t="shared" si="4"/>
        <v>0.49005914951989038</v>
      </c>
      <c r="E52" s="13" t="str">
        <f t="shared" si="5"/>
        <v/>
      </c>
      <c r="F52" s="13">
        <f t="shared" si="6"/>
        <v>0.6782239368998626</v>
      </c>
      <c r="G52" s="13" t="str">
        <f t="shared" si="7"/>
        <v/>
      </c>
      <c r="H52" s="13">
        <f t="shared" si="8"/>
        <v>0.23846913580246912</v>
      </c>
      <c r="I52" s="13"/>
      <c r="J52" s="13"/>
      <c r="K52" s="13"/>
      <c r="L52" s="13"/>
      <c r="N52" s="2">
        <f>+'Daily Summary Old'!A79</f>
        <v>46230</v>
      </c>
      <c r="O52">
        <f t="shared" si="9"/>
        <v>31</v>
      </c>
      <c r="P52" s="13">
        <f>+IFERROR('Raw Data - Production'!K84/('Raw Data - Production'!D84*Weights!$B$2),"")</f>
        <v>0.10027907856771204</v>
      </c>
      <c r="Q52" s="13">
        <f>+IFERROR('Raw Data - Production'!L84/('Raw Data - Production'!E84*Weights!$B$2),"")</f>
        <v>0.14540466392318244</v>
      </c>
      <c r="R52" s="13" t="str">
        <f>+IFERROR('Raw Data - Production'!M84/('Raw Data - Production'!F84*Weights!$B$2),"")</f>
        <v/>
      </c>
      <c r="S52" s="13">
        <f>+IFERROR('Raw Data - Production'!N84/('Raw Data - Production'!G84*Weights!$B$2),"")</f>
        <v>6.6462088051881973E-2</v>
      </c>
      <c r="T52" s="13" t="str">
        <f>+IFERROR('Raw Data - Production'!O84/('Raw Data - Production'!H84*Weights!$B$2),"")</f>
        <v/>
      </c>
      <c r="U52" s="13">
        <f>+IFERROR('Raw Data - Production'!P84/('Raw Data - Production'!I84*Weights!$B$2),"")</f>
        <v>0.2257495590828924</v>
      </c>
      <c r="V52" s="13"/>
      <c r="W52" s="13"/>
      <c r="X52" s="13"/>
      <c r="Y52" s="13"/>
      <c r="AA52" s="2">
        <f t="shared" si="10"/>
        <v>46230</v>
      </c>
      <c r="AB52" s="11">
        <v>112</v>
      </c>
      <c r="AC52" s="11">
        <v>55</v>
      </c>
      <c r="AD52">
        <f t="shared" si="11"/>
        <v>31</v>
      </c>
      <c r="AE52" s="13">
        <f t="shared" si="16"/>
        <v>1.1200000000000001</v>
      </c>
      <c r="AF52" s="13">
        <f t="shared" si="16"/>
        <v>1.1200000000000001</v>
      </c>
      <c r="AG52" s="13">
        <f t="shared" si="16"/>
        <v>1.1200000000000001</v>
      </c>
      <c r="AH52" s="13">
        <f t="shared" si="17"/>
        <v>0.91666666666666663</v>
      </c>
      <c r="AI52" s="13">
        <f t="shared" si="17"/>
        <v>0.91666666666666663</v>
      </c>
      <c r="AJ52" s="13">
        <f t="shared" si="17"/>
        <v>0.91666666666666663</v>
      </c>
      <c r="AK52" s="13"/>
      <c r="AL52" s="13"/>
      <c r="AM52" s="13"/>
      <c r="AN52" s="13"/>
      <c r="AP52" s="2">
        <f t="shared" si="14"/>
        <v>46230</v>
      </c>
      <c r="AQ52">
        <f t="shared" si="15"/>
        <v>31</v>
      </c>
      <c r="AR52" s="18">
        <f>('Raw Data - Production'!D84/100)/60</f>
        <v>5.5679999999999996</v>
      </c>
      <c r="AS52" s="18">
        <f>('Raw Data - Production'!E84/100)/60</f>
        <v>3.8400000000000003</v>
      </c>
      <c r="AT52" s="18">
        <f>('Raw Data - Production'!G84/50)/60</f>
        <v>5.9441666666666659</v>
      </c>
      <c r="AU52" s="18">
        <f>('Raw Data - Production'!H84/50)/60</f>
        <v>0</v>
      </c>
      <c r="AV52" s="18">
        <f>('Raw Data - Production'!I84/50)/60</f>
        <v>2.52</v>
      </c>
      <c r="AW52" s="18"/>
      <c r="AX52" s="18"/>
      <c r="AY52" s="18"/>
      <c r="AZ52" s="18"/>
    </row>
    <row r="53" spans="1:52" x14ac:dyDescent="0.35">
      <c r="A53" s="2">
        <f t="shared" si="1"/>
        <v>46231</v>
      </c>
      <c r="B53">
        <f t="shared" si="2"/>
        <v>31</v>
      </c>
      <c r="C53" s="13">
        <f t="shared" si="3"/>
        <v>0.59136000000000011</v>
      </c>
      <c r="D53" s="13">
        <f t="shared" si="4"/>
        <v>0.62540800000000007</v>
      </c>
      <c r="E53" s="13" t="str">
        <f t="shared" si="5"/>
        <v/>
      </c>
      <c r="F53" s="13">
        <f t="shared" si="6"/>
        <v>0.58850352080475532</v>
      </c>
      <c r="G53" s="13" t="str">
        <f t="shared" si="7"/>
        <v/>
      </c>
      <c r="H53" s="13">
        <f t="shared" si="8"/>
        <v>0.54784224965706441</v>
      </c>
      <c r="I53" s="13"/>
      <c r="J53" s="13"/>
      <c r="K53" s="13"/>
      <c r="L53" s="13"/>
      <c r="N53" s="2">
        <f>+'Daily Summary Old'!A80</f>
        <v>46231</v>
      </c>
      <c r="O53">
        <f t="shared" si="9"/>
        <v>31</v>
      </c>
      <c r="P53" s="13">
        <f>+IFERROR('Raw Data - Production'!K85/('Raw Data - Production'!D85*Weights!$B$2),"")</f>
        <v>0</v>
      </c>
      <c r="Q53" s="13">
        <f>+IFERROR('Raw Data - Production'!L85/('Raw Data - Production'!E85*Weights!$B$2),"")</f>
        <v>0</v>
      </c>
      <c r="R53" s="13" t="str">
        <f>+IFERROR('Raw Data - Production'!M85/('Raw Data - Production'!F85*Weights!$B$2),"")</f>
        <v/>
      </c>
      <c r="S53" s="13">
        <f>+IFERROR('Raw Data - Production'!N85/('Raw Data - Production'!G85*Weights!$B$2),"")</f>
        <v>4.7911519921362618E-2</v>
      </c>
      <c r="T53" s="13" t="str">
        <f>+IFERROR('Raw Data - Production'!O85/('Raw Data - Production'!H85*Weights!$B$2),"")</f>
        <v/>
      </c>
      <c r="U53" s="13">
        <f>+IFERROR('Raw Data - Production'!P85/('Raw Data - Production'!I85*Weights!$B$2),"")</f>
        <v>7.1978120287299024E-2</v>
      </c>
      <c r="V53" s="13"/>
      <c r="W53" s="13"/>
      <c r="X53" s="13"/>
      <c r="Y53" s="13"/>
      <c r="AA53" s="2">
        <f t="shared" si="10"/>
        <v>46231</v>
      </c>
      <c r="AB53" s="11">
        <v>112</v>
      </c>
      <c r="AC53" s="11">
        <v>55</v>
      </c>
      <c r="AD53">
        <f t="shared" si="11"/>
        <v>31</v>
      </c>
      <c r="AE53" s="13">
        <f t="shared" si="16"/>
        <v>1.1200000000000001</v>
      </c>
      <c r="AF53" s="13">
        <f t="shared" si="16"/>
        <v>1.1200000000000001</v>
      </c>
      <c r="AG53" s="13">
        <f t="shared" si="16"/>
        <v>1.1200000000000001</v>
      </c>
      <c r="AH53" s="13">
        <f t="shared" si="17"/>
        <v>0.91666666666666663</v>
      </c>
      <c r="AI53" s="13">
        <f t="shared" si="17"/>
        <v>0.91666666666666663</v>
      </c>
      <c r="AJ53" s="13">
        <f t="shared" si="17"/>
        <v>0.91666666666666663</v>
      </c>
      <c r="AK53" s="13"/>
      <c r="AL53" s="13"/>
      <c r="AM53" s="13"/>
      <c r="AN53" s="13"/>
      <c r="AP53" s="2">
        <f t="shared" si="14"/>
        <v>46231</v>
      </c>
      <c r="AQ53">
        <f t="shared" si="15"/>
        <v>31</v>
      </c>
      <c r="AR53" s="18">
        <f>('Raw Data - Production'!D85/100)/60</f>
        <v>3.96</v>
      </c>
      <c r="AS53" s="18">
        <f>('Raw Data - Production'!E85/100)/60</f>
        <v>4.1879999999999997</v>
      </c>
      <c r="AT53" s="18">
        <f>('Raw Data - Production'!G85/50)/60</f>
        <v>5.0573333333333332</v>
      </c>
      <c r="AU53" s="18">
        <f>('Raw Data - Production'!H85/50)/60</f>
        <v>0</v>
      </c>
      <c r="AV53" s="18">
        <f>('Raw Data - Production'!I85/50)/60</f>
        <v>4.83</v>
      </c>
      <c r="AW53" s="18"/>
      <c r="AX53" s="18"/>
      <c r="AY53" s="18"/>
      <c r="AZ53" s="18"/>
    </row>
    <row r="54" spans="1:52" x14ac:dyDescent="0.35">
      <c r="A54" s="2">
        <f t="shared" si="1"/>
        <v>46232</v>
      </c>
      <c r="B54">
        <f t="shared" si="2"/>
        <v>31</v>
      </c>
      <c r="C54" s="13">
        <f t="shared" si="3"/>
        <v>0.66083011248285328</v>
      </c>
      <c r="D54" s="13">
        <f t="shared" si="4"/>
        <v>0.9126368395061728</v>
      </c>
      <c r="E54" s="13" t="str">
        <f t="shared" si="5"/>
        <v/>
      </c>
      <c r="F54" s="13">
        <f t="shared" si="6"/>
        <v>0.27774622770919061</v>
      </c>
      <c r="G54" s="13" t="str">
        <f t="shared" si="7"/>
        <v/>
      </c>
      <c r="H54" s="13">
        <f t="shared" si="8"/>
        <v>0.39885562414266129</v>
      </c>
      <c r="I54" s="13"/>
      <c r="J54" s="13"/>
      <c r="K54" s="13"/>
      <c r="L54" s="13"/>
      <c r="N54" s="2">
        <f>+'Daily Summary Old'!A81</f>
        <v>46232</v>
      </c>
      <c r="O54">
        <f t="shared" si="9"/>
        <v>31</v>
      </c>
      <c r="P54" s="13">
        <f>+IFERROR('Raw Data - Production'!K86/('Raw Data - Production'!D86*Weights!$B$2),"")</f>
        <v>8.595394255910184E-2</v>
      </c>
      <c r="Q54" s="13">
        <f>+IFERROR('Raw Data - Production'!L86/('Raw Data - Production'!E86*Weights!$B$2),"")</f>
        <v>8.4021671551647567E-2</v>
      </c>
      <c r="R54" s="13" t="str">
        <f>+IFERROR('Raw Data - Production'!M86/('Raw Data - Production'!F86*Weights!$B$2),"")</f>
        <v/>
      </c>
      <c r="S54" s="13">
        <f>+IFERROR('Raw Data - Production'!N86/('Raw Data - Production'!G86*Weights!$B$2),"")</f>
        <v>0.59921179262743052</v>
      </c>
      <c r="T54" s="13" t="str">
        <f>+IFERROR('Raw Data - Production'!O86/('Raw Data - Production'!H86*Weights!$B$2),"")</f>
        <v/>
      </c>
      <c r="U54" s="13">
        <f>+IFERROR('Raw Data - Production'!P86/('Raw Data - Production'!I86*Weights!$B$2),"")</f>
        <v>0.44112501255358399</v>
      </c>
      <c r="V54" s="13"/>
      <c r="W54" s="13"/>
      <c r="X54" s="13"/>
      <c r="Y54" s="13"/>
      <c r="AA54" s="2">
        <f t="shared" si="10"/>
        <v>46232</v>
      </c>
      <c r="AB54" s="11">
        <v>112</v>
      </c>
      <c r="AC54" s="11">
        <v>55</v>
      </c>
      <c r="AD54">
        <f t="shared" si="11"/>
        <v>31</v>
      </c>
      <c r="AE54" s="13">
        <f t="shared" si="16"/>
        <v>1.1200000000000001</v>
      </c>
      <c r="AF54" s="13">
        <f t="shared" si="16"/>
        <v>1.1200000000000001</v>
      </c>
      <c r="AG54" s="13">
        <f t="shared" si="16"/>
        <v>1.1200000000000001</v>
      </c>
      <c r="AH54" s="13">
        <f t="shared" si="17"/>
        <v>0.91666666666666663</v>
      </c>
      <c r="AI54" s="13">
        <f t="shared" si="17"/>
        <v>0.91666666666666663</v>
      </c>
      <c r="AJ54" s="13">
        <f t="shared" si="17"/>
        <v>0.91666666666666663</v>
      </c>
      <c r="AK54" s="13"/>
      <c r="AL54" s="13"/>
      <c r="AM54" s="13"/>
      <c r="AN54" s="13"/>
      <c r="AP54" s="2">
        <f t="shared" si="14"/>
        <v>46232</v>
      </c>
      <c r="AQ54">
        <f t="shared" si="15"/>
        <v>31</v>
      </c>
      <c r="AR54" s="18">
        <f>('Raw Data - Production'!D86/100)/60</f>
        <v>4.8413333333333339</v>
      </c>
      <c r="AS54" s="18">
        <f>('Raw Data - Production'!E86/100)/60</f>
        <v>6.6719999999999997</v>
      </c>
      <c r="AT54" s="18">
        <f>('Raw Data - Production'!G86/50)/60</f>
        <v>5.67</v>
      </c>
      <c r="AU54" s="18">
        <f>('Raw Data - Production'!H86/50)/60</f>
        <v>0</v>
      </c>
      <c r="AV54" s="18">
        <f>('Raw Data - Production'!I86/50)/60</f>
        <v>5.8391666666666673</v>
      </c>
      <c r="AW54" s="18"/>
      <c r="AX54" s="18"/>
      <c r="AY54" s="18"/>
      <c r="AZ54" s="18"/>
    </row>
    <row r="55" spans="1:52" x14ac:dyDescent="0.35">
      <c r="A55" s="2">
        <f t="shared" si="1"/>
        <v>46233</v>
      </c>
      <c r="B55">
        <f t="shared" si="2"/>
        <v>31</v>
      </c>
      <c r="C55" s="13">
        <f t="shared" si="3"/>
        <v>0.81416287517146779</v>
      </c>
      <c r="D55" s="13">
        <f t="shared" si="4"/>
        <v>0.11268213991769548</v>
      </c>
      <c r="E55" s="13" t="str">
        <f t="shared" si="5"/>
        <v/>
      </c>
      <c r="F55" s="13" t="str">
        <f t="shared" si="6"/>
        <v/>
      </c>
      <c r="G55" s="13" t="str">
        <f t="shared" si="7"/>
        <v/>
      </c>
      <c r="H55" s="13" t="str">
        <f t="shared" si="8"/>
        <v/>
      </c>
      <c r="I55" s="13"/>
      <c r="J55" s="13"/>
      <c r="K55" s="13"/>
      <c r="L55" s="13"/>
      <c r="N55" s="2">
        <f>+'Daily Summary Old'!A82</f>
        <v>46233</v>
      </c>
      <c r="O55">
        <f t="shared" si="9"/>
        <v>31</v>
      </c>
      <c r="P55" s="13">
        <f>+IFERROR('Raw Data - Production'!K87/('Raw Data - Production'!D87*Weights!$B$2),"")</f>
        <v>8.8906494135252312E-2</v>
      </c>
      <c r="Q55" s="13">
        <f>+IFERROR('Raw Data - Production'!L87/('Raw Data - Production'!E87*Weights!$B$2),"")</f>
        <v>0.2139917695473251</v>
      </c>
      <c r="R55" s="13" t="str">
        <f>+IFERROR('Raw Data - Production'!M87/('Raw Data - Production'!F87*Weights!$B$2),"")</f>
        <v/>
      </c>
      <c r="S55" s="13" t="str">
        <f>+IFERROR('Raw Data - Production'!N87/('Raw Data - Production'!G87*Weights!$B$2),"")</f>
        <v/>
      </c>
      <c r="T55" s="13" t="str">
        <f>+IFERROR('Raw Data - Production'!O87/('Raw Data - Production'!H87*Weights!$B$2),"")</f>
        <v/>
      </c>
      <c r="U55" s="13" t="str">
        <f>+IFERROR('Raw Data - Production'!P87/('Raw Data - Production'!I87*Weights!$B$2),"")</f>
        <v/>
      </c>
      <c r="V55" s="13"/>
      <c r="W55" s="13"/>
      <c r="X55" s="13"/>
      <c r="Y55" s="13"/>
      <c r="AA55" s="2">
        <f t="shared" si="10"/>
        <v>46233</v>
      </c>
      <c r="AB55" s="11">
        <v>112</v>
      </c>
      <c r="AD55">
        <f t="shared" si="11"/>
        <v>31</v>
      </c>
      <c r="AE55" s="13">
        <f t="shared" si="16"/>
        <v>1.1200000000000001</v>
      </c>
      <c r="AF55" s="13">
        <f t="shared" si="16"/>
        <v>1.1200000000000001</v>
      </c>
      <c r="AG55" s="13">
        <f t="shared" si="16"/>
        <v>1.1200000000000001</v>
      </c>
      <c r="AH55" s="13">
        <f t="shared" si="17"/>
        <v>0</v>
      </c>
      <c r="AI55" s="13">
        <f t="shared" si="17"/>
        <v>0</v>
      </c>
      <c r="AJ55" s="13">
        <f t="shared" si="17"/>
        <v>0</v>
      </c>
      <c r="AK55" s="13"/>
      <c r="AL55" s="13"/>
      <c r="AM55" s="13"/>
      <c r="AN55" s="13"/>
      <c r="AP55" s="2">
        <f t="shared" si="14"/>
        <v>46233</v>
      </c>
      <c r="AQ55">
        <f t="shared" si="15"/>
        <v>31</v>
      </c>
      <c r="AR55" s="18">
        <f>('Raw Data - Production'!D87/100)/60</f>
        <v>5.984</v>
      </c>
      <c r="AS55" s="18">
        <f>('Raw Data - Production'!E87/100)/60</f>
        <v>0.96000000000000008</v>
      </c>
      <c r="AT55" s="18">
        <f>('Raw Data - Production'!G87/50)/60</f>
        <v>0</v>
      </c>
      <c r="AU55" s="18">
        <f>('Raw Data - Production'!H87/50)/60</f>
        <v>0</v>
      </c>
      <c r="AV55" s="18">
        <f>('Raw Data - Production'!I87/50)/60</f>
        <v>0</v>
      </c>
      <c r="AW55" s="18"/>
      <c r="AX55" s="18"/>
      <c r="AY55" s="18"/>
      <c r="AZ55" s="18"/>
    </row>
    <row r="56" spans="1:52" x14ac:dyDescent="0.35">
      <c r="A56" s="2">
        <f t="shared" si="1"/>
        <v>46234</v>
      </c>
      <c r="B56">
        <f t="shared" si="2"/>
        <v>31</v>
      </c>
      <c r="C56" s="13" t="str">
        <f t="shared" si="3"/>
        <v/>
      </c>
      <c r="D56" s="13" t="str">
        <f t="shared" si="4"/>
        <v/>
      </c>
      <c r="E56" s="13" t="str">
        <f t="shared" si="5"/>
        <v/>
      </c>
      <c r="F56" s="13" t="str">
        <f t="shared" si="6"/>
        <v/>
      </c>
      <c r="G56" s="13" t="str">
        <f t="shared" si="7"/>
        <v/>
      </c>
      <c r="H56" s="13" t="str">
        <f t="shared" si="8"/>
        <v/>
      </c>
      <c r="I56" s="13"/>
      <c r="J56" s="13"/>
      <c r="K56" s="13"/>
      <c r="L56" s="13"/>
      <c r="N56" s="2">
        <f>+'Daily Summary Old'!A83</f>
        <v>46234</v>
      </c>
      <c r="O56">
        <f t="shared" si="9"/>
        <v>31</v>
      </c>
      <c r="P56" s="13" t="str">
        <f>+IFERROR('Raw Data - Production'!K88/('Raw Data - Production'!D88*Weights!$B$2),"")</f>
        <v/>
      </c>
      <c r="Q56" s="13" t="str">
        <f>+IFERROR('Raw Data - Production'!L88/('Raw Data - Production'!E88*Weights!$B$2),"")</f>
        <v/>
      </c>
      <c r="R56" s="13" t="str">
        <f>+IFERROR('Raw Data - Production'!M88/('Raw Data - Production'!F88*Weights!$B$2),"")</f>
        <v/>
      </c>
      <c r="S56" s="13" t="str">
        <f>+IFERROR('Raw Data - Production'!N88/('Raw Data - Production'!G88*Weights!$B$2),"")</f>
        <v/>
      </c>
      <c r="T56" s="13" t="str">
        <f>+IFERROR('Raw Data - Production'!O88/('Raw Data - Production'!H88*Weights!$B$2),"")</f>
        <v/>
      </c>
      <c r="U56" s="13" t="str">
        <f>+IFERROR('Raw Data - Production'!P88/('Raw Data - Production'!I88*Weights!$B$2),"")</f>
        <v/>
      </c>
      <c r="V56" s="13"/>
      <c r="W56" s="13"/>
      <c r="X56" s="13"/>
      <c r="Y56" s="13"/>
      <c r="AA56" s="2">
        <f t="shared" si="10"/>
        <v>46234</v>
      </c>
      <c r="AD56">
        <f t="shared" si="11"/>
        <v>31</v>
      </c>
      <c r="AE56" s="13">
        <f t="shared" si="16"/>
        <v>0</v>
      </c>
      <c r="AF56" s="13">
        <f t="shared" si="16"/>
        <v>0</v>
      </c>
      <c r="AG56" s="13">
        <f t="shared" si="16"/>
        <v>0</v>
      </c>
      <c r="AH56" s="13">
        <f t="shared" si="17"/>
        <v>0</v>
      </c>
      <c r="AI56" s="13">
        <f t="shared" si="17"/>
        <v>0</v>
      </c>
      <c r="AJ56" s="13">
        <f t="shared" si="17"/>
        <v>0</v>
      </c>
      <c r="AK56" s="13"/>
      <c r="AL56" s="13"/>
      <c r="AM56" s="13"/>
      <c r="AN56" s="13"/>
      <c r="AP56" s="2">
        <f t="shared" si="14"/>
        <v>46234</v>
      </c>
      <c r="AQ56">
        <f t="shared" si="15"/>
        <v>31</v>
      </c>
      <c r="AR56" s="18">
        <f>('Raw Data - Production'!D88/100)/60</f>
        <v>0</v>
      </c>
      <c r="AS56" s="18">
        <f>('Raw Data - Production'!E88/100)/60</f>
        <v>0</v>
      </c>
      <c r="AT56" s="18">
        <f>('Raw Data - Production'!G88/50)/60</f>
        <v>0</v>
      </c>
      <c r="AU56" s="18">
        <f>('Raw Data - Production'!H88/50)/60</f>
        <v>0</v>
      </c>
      <c r="AV56" s="18">
        <f>('Raw Data - Production'!I88/50)/60</f>
        <v>0</v>
      </c>
      <c r="AW56" s="18"/>
      <c r="AX56" s="18"/>
      <c r="AY56" s="18"/>
      <c r="AZ56" s="18"/>
    </row>
    <row r="57" spans="1:52" x14ac:dyDescent="0.35">
      <c r="A57" s="2">
        <f t="shared" si="1"/>
        <v>46237</v>
      </c>
      <c r="B57">
        <f t="shared" si="2"/>
        <v>32</v>
      </c>
      <c r="C57" s="13">
        <f t="shared" si="3"/>
        <v>0.79940407133058999</v>
      </c>
      <c r="D57" s="13">
        <f t="shared" si="4"/>
        <v>0.79723105624142676</v>
      </c>
      <c r="E57" s="13" t="str">
        <f t="shared" si="5"/>
        <v/>
      </c>
      <c r="F57" s="13">
        <f t="shared" si="6"/>
        <v>0.64587151348879746</v>
      </c>
      <c r="G57" s="13" t="str">
        <f t="shared" si="7"/>
        <v/>
      </c>
      <c r="H57" s="13">
        <f t="shared" si="8"/>
        <v>0.6834460448102424</v>
      </c>
      <c r="I57" s="13"/>
      <c r="J57" s="13"/>
      <c r="K57" s="13"/>
      <c r="L57" s="13"/>
      <c r="N57" s="2">
        <f>+'Daily Summary Old'!A84</f>
        <v>46237</v>
      </c>
      <c r="O57">
        <f t="shared" si="9"/>
        <v>32</v>
      </c>
      <c r="P57" s="13">
        <f>+IFERROR('Raw Data - Production'!K89/('Raw Data - Production'!D89*Weights!$B$2),"")</f>
        <v>8.8359628171920029E-2</v>
      </c>
      <c r="Q57" s="13">
        <f>+IFERROR('Raw Data - Production'!L89/('Raw Data - Production'!E89*Weights!$B$2),"")</f>
        <v>7.3159579332418845E-2</v>
      </c>
      <c r="R57" s="13" t="str">
        <f>+IFERROR('Raw Data - Production'!M89/('Raw Data - Production'!F89*Weights!$B$2),"")</f>
        <v/>
      </c>
      <c r="S57" s="13">
        <f>+IFERROR('Raw Data - Production'!N89/('Raw Data - Production'!G89*Weights!$B$2),"")</f>
        <v>0.28556963152126136</v>
      </c>
      <c r="T57" s="13" t="str">
        <f>+IFERROR('Raw Data - Production'!O89/('Raw Data - Production'!H89*Weights!$B$2),"")</f>
        <v/>
      </c>
      <c r="U57" s="13">
        <f>+IFERROR('Raw Data - Production'!P89/('Raw Data - Production'!I89*Weights!$B$2),"")</f>
        <v>0.25689949824316749</v>
      </c>
      <c r="V57" s="13"/>
      <c r="W57" s="13"/>
      <c r="X57" s="13"/>
      <c r="Y57" s="13"/>
      <c r="AA57" s="2">
        <f t="shared" si="10"/>
        <v>46237</v>
      </c>
      <c r="AB57" s="11">
        <v>112</v>
      </c>
      <c r="AC57" s="11">
        <v>55</v>
      </c>
      <c r="AD57">
        <f t="shared" si="11"/>
        <v>32</v>
      </c>
      <c r="AE57" s="13">
        <f t="shared" si="16"/>
        <v>1.1200000000000001</v>
      </c>
      <c r="AF57" s="13">
        <f t="shared" si="16"/>
        <v>1.1200000000000001</v>
      </c>
      <c r="AG57" s="13">
        <f t="shared" si="16"/>
        <v>1.1200000000000001</v>
      </c>
      <c r="AH57" s="13">
        <f t="shared" si="17"/>
        <v>0.91666666666666663</v>
      </c>
      <c r="AI57" s="13">
        <f t="shared" si="17"/>
        <v>0.91666666666666663</v>
      </c>
      <c r="AJ57" s="13">
        <f t="shared" si="17"/>
        <v>0.91666666666666663</v>
      </c>
      <c r="AK57" s="13"/>
      <c r="AL57" s="13"/>
      <c r="AM57" s="13"/>
      <c r="AN57" s="13"/>
      <c r="AP57" s="2">
        <f t="shared" si="14"/>
        <v>46237</v>
      </c>
      <c r="AQ57">
        <f t="shared" si="15"/>
        <v>32</v>
      </c>
      <c r="AR57" s="18">
        <f>('Raw Data - Production'!D89/100)/60</f>
        <v>5.8719999999999999</v>
      </c>
      <c r="AS57" s="18">
        <f>('Raw Data - Production'!E89/100)/60</f>
        <v>5.7600000000000007</v>
      </c>
      <c r="AT57" s="18">
        <f>('Raw Data - Production'!G89/50)/60</f>
        <v>7.3966666666666665</v>
      </c>
      <c r="AU57" s="18">
        <f>('Raw Data - Production'!H89/50)/60</f>
        <v>0</v>
      </c>
      <c r="AV57" s="18">
        <f>('Raw Data - Production'!I89/50)/60</f>
        <v>7.5250000000000004</v>
      </c>
      <c r="AW57" s="18"/>
      <c r="AX57" s="18"/>
      <c r="AY57" s="18"/>
      <c r="AZ57" s="18"/>
    </row>
    <row r="58" spans="1:52" x14ac:dyDescent="0.35">
      <c r="A58" s="2">
        <f t="shared" si="1"/>
        <v>46238</v>
      </c>
      <c r="B58">
        <f t="shared" si="2"/>
        <v>32</v>
      </c>
      <c r="C58" s="13">
        <f t="shared" si="3"/>
        <v>0.97804361042524013</v>
      </c>
      <c r="D58" s="13">
        <f t="shared" si="4"/>
        <v>0.93203665294924565</v>
      </c>
      <c r="E58" s="13" t="str">
        <f t="shared" si="5"/>
        <v/>
      </c>
      <c r="F58" s="13">
        <f t="shared" si="6"/>
        <v>0.62550114311842697</v>
      </c>
      <c r="G58" s="13" t="str">
        <f t="shared" si="7"/>
        <v/>
      </c>
      <c r="H58" s="13">
        <f t="shared" si="8"/>
        <v>0.65585048010973934</v>
      </c>
      <c r="I58" s="13"/>
      <c r="J58" s="13"/>
      <c r="K58" s="13"/>
      <c r="L58" s="13"/>
      <c r="N58" s="2">
        <f>+'Daily Summary Old'!A85</f>
        <v>46238</v>
      </c>
      <c r="O58">
        <f t="shared" si="9"/>
        <v>32</v>
      </c>
      <c r="P58" s="13">
        <f>+IFERROR('Raw Data - Production'!K90/('Raw Data - Production'!D90*Weights!$B$2),"")</f>
        <v>0.11590183896399399</v>
      </c>
      <c r="Q58" s="13">
        <f>+IFERROR('Raw Data - Production'!L90/('Raw Data - Production'!E90*Weights!$B$2),"")</f>
        <v>0.13315043438500229</v>
      </c>
      <c r="R58" s="13" t="str">
        <f>+IFERROR('Raw Data - Production'!M90/('Raw Data - Production'!F90*Weights!$B$2),"")</f>
        <v/>
      </c>
      <c r="S58" s="13">
        <f>+IFERROR('Raw Data - Production'!N90/('Raw Data - Production'!G90*Weights!$B$2),"")</f>
        <v>0.13987619739253726</v>
      </c>
      <c r="T58" s="13" t="str">
        <f>+IFERROR('Raw Data - Production'!O90/('Raw Data - Production'!H90*Weights!$B$2),"")</f>
        <v/>
      </c>
      <c r="U58" s="13">
        <f>+IFERROR('Raw Data - Production'!P90/('Raw Data - Production'!I90*Weights!$B$2),"")</f>
        <v>9.1013656231047541E-2</v>
      </c>
      <c r="V58" s="13"/>
      <c r="W58" s="13"/>
      <c r="X58" s="13"/>
      <c r="Y58" s="13"/>
      <c r="AA58" s="2">
        <f t="shared" si="10"/>
        <v>46238</v>
      </c>
      <c r="AB58" s="11">
        <v>112</v>
      </c>
      <c r="AC58" s="11">
        <v>55</v>
      </c>
      <c r="AD58">
        <f t="shared" si="11"/>
        <v>32</v>
      </c>
      <c r="AE58" s="13">
        <f t="shared" si="16"/>
        <v>1.1200000000000001</v>
      </c>
      <c r="AF58" s="13">
        <f t="shared" si="16"/>
        <v>1.1200000000000001</v>
      </c>
      <c r="AG58" s="13">
        <f t="shared" si="16"/>
        <v>1.1200000000000001</v>
      </c>
      <c r="AH58" s="13">
        <f t="shared" si="17"/>
        <v>0.91666666666666663</v>
      </c>
      <c r="AI58" s="13">
        <f t="shared" si="17"/>
        <v>0.91666666666666663</v>
      </c>
      <c r="AJ58" s="13">
        <f t="shared" si="17"/>
        <v>0.91666666666666663</v>
      </c>
      <c r="AK58" s="13"/>
      <c r="AL58" s="13"/>
      <c r="AM58" s="13"/>
      <c r="AN58" s="13"/>
      <c r="AP58" s="2">
        <f t="shared" si="14"/>
        <v>46238</v>
      </c>
      <c r="AQ58">
        <f t="shared" si="15"/>
        <v>32</v>
      </c>
      <c r="AR58" s="18">
        <f>('Raw Data - Production'!D90/100)/60</f>
        <v>7.4080000000000004</v>
      </c>
      <c r="AS58" s="18">
        <f>('Raw Data - Production'!E90/100)/60</f>
        <v>7.2</v>
      </c>
      <c r="AT58" s="18">
        <f>('Raw Data - Production'!G90/50)/60</f>
        <v>5.95</v>
      </c>
      <c r="AU58" s="18">
        <f>('Raw Data - Production'!H90/50)/60</f>
        <v>0</v>
      </c>
      <c r="AV58" s="18">
        <f>('Raw Data - Production'!I90/50)/60</f>
        <v>5.9033333333333333</v>
      </c>
      <c r="AW58" s="18"/>
      <c r="AX58" s="18"/>
      <c r="AY58" s="18"/>
      <c r="AZ58" s="18"/>
    </row>
    <row r="59" spans="1:52" x14ac:dyDescent="0.35">
      <c r="A59" s="2">
        <f t="shared" si="1"/>
        <v>46239</v>
      </c>
      <c r="B59">
        <f t="shared" si="2"/>
        <v>32</v>
      </c>
      <c r="C59" s="13">
        <f t="shared" si="3"/>
        <v>0.93293634019204386</v>
      </c>
      <c r="D59" s="13">
        <f t="shared" si="4"/>
        <v>0.79641494650205746</v>
      </c>
      <c r="E59" s="13" t="str">
        <f t="shared" si="5"/>
        <v/>
      </c>
      <c r="F59" s="13">
        <f t="shared" si="6"/>
        <v>0.34851691815272062</v>
      </c>
      <c r="G59" s="13" t="str">
        <f t="shared" si="7"/>
        <v/>
      </c>
      <c r="H59" s="13">
        <f t="shared" si="8"/>
        <v>0.44176794695930494</v>
      </c>
      <c r="I59" s="13"/>
      <c r="J59" s="13"/>
      <c r="K59" s="13"/>
      <c r="L59" s="13"/>
      <c r="N59" s="2">
        <f>+'Daily Summary Old'!A86</f>
        <v>46239</v>
      </c>
      <c r="O59">
        <f t="shared" si="9"/>
        <v>32</v>
      </c>
      <c r="P59" s="13">
        <f>+IFERROR('Raw Data - Production'!K91/('Raw Data - Production'!D91*Weights!$B$2),"")</f>
        <v>0.18739053540764722</v>
      </c>
      <c r="Q59" s="13">
        <f>+IFERROR('Raw Data - Production'!L91/('Raw Data - Production'!E91*Weights!$B$2),"")</f>
        <v>7.1529282299941543E-2</v>
      </c>
      <c r="R59" s="13" t="str">
        <f>+IFERROR('Raw Data - Production'!M91/('Raw Data - Production'!F91*Weights!$B$2),"")</f>
        <v/>
      </c>
      <c r="S59" s="13">
        <f>+IFERROR('Raw Data - Production'!N91/('Raw Data - Production'!G91*Weights!$B$2),"")</f>
        <v>0.49186182519515853</v>
      </c>
      <c r="T59" s="13" t="str">
        <f>+IFERROR('Raw Data - Production'!O91/('Raw Data - Production'!H91*Weights!$B$2),"")</f>
        <v/>
      </c>
      <c r="U59" s="13">
        <f>+IFERROR('Raw Data - Production'!P91/('Raw Data - Production'!I91*Weights!$B$2),"")</f>
        <v>0.32207595737865613</v>
      </c>
      <c r="V59" s="13"/>
      <c r="W59" s="13"/>
      <c r="X59" s="13"/>
      <c r="Y59" s="13"/>
      <c r="AA59" s="2">
        <f t="shared" si="10"/>
        <v>46239</v>
      </c>
      <c r="AB59" s="11">
        <v>112</v>
      </c>
      <c r="AC59" s="11">
        <v>55</v>
      </c>
      <c r="AD59">
        <f t="shared" si="11"/>
        <v>32</v>
      </c>
      <c r="AE59" s="13">
        <f t="shared" si="16"/>
        <v>1.1200000000000001</v>
      </c>
      <c r="AF59" s="13">
        <f t="shared" si="16"/>
        <v>1.1200000000000001</v>
      </c>
      <c r="AG59" s="13">
        <f t="shared" si="16"/>
        <v>1.1200000000000001</v>
      </c>
      <c r="AH59" s="13">
        <f t="shared" si="17"/>
        <v>0.91666666666666663</v>
      </c>
      <c r="AI59" s="13">
        <f t="shared" si="17"/>
        <v>0.91666666666666663</v>
      </c>
      <c r="AJ59" s="13">
        <f t="shared" si="17"/>
        <v>0.91666666666666663</v>
      </c>
      <c r="AK59" s="13"/>
      <c r="AL59" s="13"/>
      <c r="AM59" s="13"/>
      <c r="AN59" s="13"/>
      <c r="AP59" s="2">
        <f t="shared" si="14"/>
        <v>46239</v>
      </c>
      <c r="AQ59">
        <f t="shared" si="15"/>
        <v>32</v>
      </c>
      <c r="AR59" s="18">
        <f>('Raw Data - Production'!D91/100)/60</f>
        <v>7.6879999999999997</v>
      </c>
      <c r="AS59" s="18">
        <f>('Raw Data - Production'!E91/100)/60</f>
        <v>5.7439999999999998</v>
      </c>
      <c r="AT59" s="18">
        <f>('Raw Data - Production'!G91/50)/60</f>
        <v>5.6116666666666664</v>
      </c>
      <c r="AU59" s="18">
        <f>('Raw Data - Production'!H91/50)/60</f>
        <v>0</v>
      </c>
      <c r="AV59" s="18">
        <f>('Raw Data - Production'!I91/50)/60</f>
        <v>5.3316666666666661</v>
      </c>
      <c r="AW59" s="18"/>
      <c r="AX59" s="18"/>
      <c r="AY59" s="18"/>
      <c r="AZ59" s="18"/>
    </row>
    <row r="60" spans="1:52" x14ac:dyDescent="0.35">
      <c r="A60" s="2">
        <f t="shared" si="1"/>
        <v>46240</v>
      </c>
      <c r="B60">
        <f t="shared" si="2"/>
        <v>32</v>
      </c>
      <c r="C60" s="13">
        <f t="shared" si="3"/>
        <v>0.70785229080932788</v>
      </c>
      <c r="D60" s="13">
        <f t="shared" si="4"/>
        <v>0.34635500685871051</v>
      </c>
      <c r="E60" s="13" t="str">
        <f t="shared" si="5"/>
        <v/>
      </c>
      <c r="F60" s="13">
        <f t="shared" si="6"/>
        <v>0.59400251486053957</v>
      </c>
      <c r="G60" s="13" t="str">
        <f t="shared" si="7"/>
        <v/>
      </c>
      <c r="H60" s="13">
        <f t="shared" si="8"/>
        <v>0.5233122999542752</v>
      </c>
      <c r="I60" s="13"/>
      <c r="J60" s="13"/>
      <c r="K60" s="13"/>
      <c r="L60" s="13"/>
      <c r="N60" s="2">
        <f>+'Daily Summary Old'!A87</f>
        <v>46240</v>
      </c>
      <c r="O60">
        <f t="shared" si="9"/>
        <v>32</v>
      </c>
      <c r="P60" s="13">
        <f>+IFERROR('Raw Data - Production'!K92/('Raw Data - Production'!D92*Weights!$B$2),"")</f>
        <v>0.10225713929417633</v>
      </c>
      <c r="Q60" s="13">
        <f>+IFERROR('Raw Data - Production'!L92/('Raw Data - Production'!E92*Weights!$B$2),"")</f>
        <v>0.2566212936583307</v>
      </c>
      <c r="R60" s="13" t="str">
        <f>+IFERROR('Raw Data - Production'!M92/('Raw Data - Production'!F92*Weights!$B$2),"")</f>
        <v/>
      </c>
      <c r="S60" s="13">
        <f>+IFERROR('Raw Data - Production'!N92/('Raw Data - Production'!G92*Weights!$B$2),"")</f>
        <v>0.19112001506823514</v>
      </c>
      <c r="T60" s="13" t="str">
        <f>+IFERROR('Raw Data - Production'!O92/('Raw Data - Production'!H92*Weights!$B$2),"")</f>
        <v/>
      </c>
      <c r="U60" s="13">
        <f>+IFERROR('Raw Data - Production'!P92/('Raw Data - Production'!I92*Weights!$B$2),"")</f>
        <v>0.24795443374678347</v>
      </c>
      <c r="V60" s="13"/>
      <c r="W60" s="13"/>
      <c r="X60" s="13"/>
      <c r="Y60" s="13"/>
      <c r="AA60" s="2">
        <f t="shared" si="10"/>
        <v>46240</v>
      </c>
      <c r="AB60" s="11">
        <v>112</v>
      </c>
      <c r="AC60" s="11">
        <v>55</v>
      </c>
      <c r="AD60">
        <f t="shared" si="11"/>
        <v>32</v>
      </c>
      <c r="AE60" s="13">
        <f t="shared" si="16"/>
        <v>1.1200000000000001</v>
      </c>
      <c r="AF60" s="13">
        <f t="shared" si="16"/>
        <v>1.1200000000000001</v>
      </c>
      <c r="AG60" s="13">
        <f t="shared" si="16"/>
        <v>1.1200000000000001</v>
      </c>
      <c r="AH60" s="13">
        <f t="shared" si="17"/>
        <v>0.91666666666666663</v>
      </c>
      <c r="AI60" s="13">
        <f t="shared" si="17"/>
        <v>0.91666666666666663</v>
      </c>
      <c r="AJ60" s="13">
        <f t="shared" si="17"/>
        <v>0.91666666666666663</v>
      </c>
      <c r="AK60" s="13"/>
      <c r="AL60" s="13"/>
      <c r="AM60" s="13"/>
      <c r="AN60" s="13"/>
      <c r="AP60" s="2">
        <f t="shared" si="14"/>
        <v>46240</v>
      </c>
      <c r="AQ60">
        <f t="shared" si="15"/>
        <v>32</v>
      </c>
      <c r="AR60" s="18">
        <f>('Raw Data - Production'!D92/100)/60</f>
        <v>5.28</v>
      </c>
      <c r="AS60" s="18">
        <f>('Raw Data - Production'!E92/100)/60</f>
        <v>3.1199999999999997</v>
      </c>
      <c r="AT60" s="18">
        <f>('Raw Data - Production'!G92/50)/60</f>
        <v>6.0083333333333337</v>
      </c>
      <c r="AU60" s="18">
        <f>('Raw Data - Production'!H92/50)/60</f>
        <v>0</v>
      </c>
      <c r="AV60" s="18">
        <f>('Raw Data - Production'!I92/50)/60</f>
        <v>5.6933333333333334</v>
      </c>
      <c r="AW60" s="18"/>
      <c r="AX60" s="18"/>
      <c r="AY60" s="18"/>
      <c r="AZ60" s="18"/>
    </row>
    <row r="61" spans="1:52" x14ac:dyDescent="0.35">
      <c r="A61" s="2">
        <f t="shared" si="1"/>
        <v>46241</v>
      </c>
      <c r="B61">
        <f t="shared" si="2"/>
        <v>32</v>
      </c>
      <c r="C61" s="13" t="str">
        <f t="shared" si="3"/>
        <v/>
      </c>
      <c r="D61" s="13" t="str">
        <f t="shared" si="4"/>
        <v/>
      </c>
      <c r="E61" s="13" t="str">
        <f t="shared" si="5"/>
        <v/>
      </c>
      <c r="F61" s="13" t="str">
        <f t="shared" si="6"/>
        <v/>
      </c>
      <c r="G61" s="13" t="str">
        <f t="shared" si="7"/>
        <v/>
      </c>
      <c r="H61" s="13" t="str">
        <f t="shared" si="8"/>
        <v/>
      </c>
      <c r="I61" s="13"/>
      <c r="J61" s="13"/>
      <c r="K61" s="13"/>
      <c r="L61" s="13"/>
      <c r="N61" s="2">
        <f>+'Daily Summary Old'!A88</f>
        <v>46241</v>
      </c>
      <c r="O61">
        <f t="shared" si="9"/>
        <v>32</v>
      </c>
      <c r="P61" s="13" t="str">
        <f>+IFERROR('Raw Data - Production'!K93/('Raw Data - Production'!D93*Weights!$B$2),"")</f>
        <v/>
      </c>
      <c r="Q61" s="13" t="str">
        <f>+IFERROR('Raw Data - Production'!L93/('Raw Data - Production'!E93*Weights!$B$2),"")</f>
        <v/>
      </c>
      <c r="R61" s="13" t="str">
        <f>+IFERROR('Raw Data - Production'!M93/('Raw Data - Production'!F93*Weights!$B$2),"")</f>
        <v/>
      </c>
      <c r="S61" s="13" t="str">
        <f>+IFERROR('Raw Data - Production'!N93/('Raw Data - Production'!G93*Weights!$B$2),"")</f>
        <v/>
      </c>
      <c r="T61" s="13" t="str">
        <f>+IFERROR('Raw Data - Production'!O93/('Raw Data - Production'!H93*Weights!$B$2),"")</f>
        <v/>
      </c>
      <c r="U61" s="13" t="str">
        <f>+IFERROR('Raw Data - Production'!P93/('Raw Data - Production'!I93*Weights!$B$2),"")</f>
        <v/>
      </c>
      <c r="V61" s="13"/>
      <c r="W61" s="13"/>
      <c r="X61" s="13"/>
      <c r="Y61" s="13"/>
      <c r="AA61" s="2">
        <f t="shared" si="10"/>
        <v>46241</v>
      </c>
      <c r="AD61">
        <f t="shared" si="11"/>
        <v>32</v>
      </c>
      <c r="AE61" s="13">
        <f t="shared" si="16"/>
        <v>0</v>
      </c>
      <c r="AF61" s="13">
        <f t="shared" si="16"/>
        <v>0</v>
      </c>
      <c r="AG61" s="13">
        <f t="shared" si="16"/>
        <v>0</v>
      </c>
      <c r="AH61" s="13">
        <f t="shared" si="17"/>
        <v>0</v>
      </c>
      <c r="AI61" s="13">
        <f t="shared" si="17"/>
        <v>0</v>
      </c>
      <c r="AJ61" s="13">
        <f t="shared" si="17"/>
        <v>0</v>
      </c>
      <c r="AK61" s="13"/>
      <c r="AL61" s="13"/>
      <c r="AM61" s="13"/>
      <c r="AN61" s="13"/>
      <c r="AP61" s="2">
        <f t="shared" si="14"/>
        <v>46241</v>
      </c>
      <c r="AQ61">
        <f t="shared" si="15"/>
        <v>32</v>
      </c>
      <c r="AR61" s="18">
        <f>('Raw Data - Production'!D93/100)/60</f>
        <v>0</v>
      </c>
      <c r="AS61" s="18">
        <f>('Raw Data - Production'!E93/100)/60</f>
        <v>0</v>
      </c>
      <c r="AT61" s="18">
        <f>('Raw Data - Production'!G93/50)/60</f>
        <v>0</v>
      </c>
      <c r="AU61" s="18">
        <f>('Raw Data - Production'!H93/50)/60</f>
        <v>0</v>
      </c>
      <c r="AV61" s="18">
        <f>('Raw Data - Production'!I93/50)/60</f>
        <v>0</v>
      </c>
      <c r="AW61" s="18"/>
      <c r="AX61" s="18"/>
      <c r="AY61" s="18"/>
      <c r="AZ61" s="18"/>
    </row>
    <row r="62" spans="1:52" x14ac:dyDescent="0.35">
      <c r="A62" s="2">
        <f t="shared" si="1"/>
        <v>46244</v>
      </c>
      <c r="B62">
        <f t="shared" si="2"/>
        <v>33</v>
      </c>
      <c r="C62" s="13">
        <f t="shared" si="3"/>
        <v>0.79810370370370376</v>
      </c>
      <c r="D62" s="13">
        <f t="shared" si="4"/>
        <v>0.65632043895747605</v>
      </c>
      <c r="E62" s="13" t="str">
        <f t="shared" si="5"/>
        <v/>
      </c>
      <c r="F62" s="13">
        <f t="shared" si="6"/>
        <v>1.0222194787379972</v>
      </c>
      <c r="G62" s="13" t="str">
        <f t="shared" si="7"/>
        <v/>
      </c>
      <c r="H62" s="13">
        <f t="shared" si="8"/>
        <v>0.47697942386831282</v>
      </c>
      <c r="I62" s="13"/>
      <c r="J62" s="13"/>
      <c r="K62" s="13"/>
      <c r="L62" s="13"/>
      <c r="N62" s="2">
        <f>+'Daily Summary Old'!A89</f>
        <v>46244</v>
      </c>
      <c r="O62">
        <f t="shared" si="9"/>
        <v>33</v>
      </c>
      <c r="P62" s="13">
        <f>+IFERROR('Raw Data - Production'!K94/('Raw Data - Production'!D94*Weights!$B$2),"")</f>
        <v>2.3208587177255584E-2</v>
      </c>
      <c r="Q62" s="13">
        <f>+IFERROR('Raw Data - Production'!L94/('Raw Data - Production'!E94*Weights!$B$2),"")</f>
        <v>7.6125508224273664E-2</v>
      </c>
      <c r="R62" s="13" t="str">
        <f>+IFERROR('Raw Data - Production'!M94/('Raw Data - Production'!F94*Weights!$B$2),"")</f>
        <v/>
      </c>
      <c r="S62" s="13">
        <f>+IFERROR('Raw Data - Production'!N94/('Raw Data - Production'!G94*Weights!$B$2),"")</f>
        <v>6.7884973795139275E-2</v>
      </c>
      <c r="T62" s="13" t="str">
        <f>+IFERROR('Raw Data - Production'!O94/('Raw Data - Production'!H94*Weights!$B$2),"")</f>
        <v/>
      </c>
      <c r="U62" s="13">
        <f>+IFERROR('Raw Data - Production'!P94/('Raw Data - Production'!I94*Weights!$B$2),"")</f>
        <v>0.51251251251251251</v>
      </c>
      <c r="V62" s="13"/>
      <c r="W62" s="13"/>
      <c r="X62" s="13"/>
      <c r="Y62" s="13"/>
      <c r="AA62" s="2">
        <f t="shared" si="10"/>
        <v>46244</v>
      </c>
      <c r="AB62" s="11">
        <v>100</v>
      </c>
      <c r="AC62" s="11">
        <v>60</v>
      </c>
      <c r="AD62">
        <f t="shared" si="11"/>
        <v>33</v>
      </c>
      <c r="AE62" s="13">
        <f t="shared" si="16"/>
        <v>1</v>
      </c>
      <c r="AF62" s="13">
        <f t="shared" si="16"/>
        <v>1</v>
      </c>
      <c r="AG62" s="13">
        <f t="shared" si="16"/>
        <v>1</v>
      </c>
      <c r="AH62" s="13">
        <f t="shared" si="17"/>
        <v>1</v>
      </c>
      <c r="AI62" s="13">
        <f t="shared" si="17"/>
        <v>1</v>
      </c>
      <c r="AJ62" s="13">
        <f t="shared" si="17"/>
        <v>1</v>
      </c>
      <c r="AK62" s="13"/>
      <c r="AL62" s="13"/>
      <c r="AM62" s="13"/>
      <c r="AN62" s="13"/>
      <c r="AP62" s="2">
        <f t="shared" si="14"/>
        <v>46244</v>
      </c>
      <c r="AQ62">
        <f t="shared" si="15"/>
        <v>33</v>
      </c>
      <c r="AR62" s="18">
        <f>('Raw Data - Production'!D94/100)/60</f>
        <v>6.1280000000000001</v>
      </c>
      <c r="AS62" s="18">
        <f>('Raw Data - Production'!E94/100)/60</f>
        <v>5.3280000000000003</v>
      </c>
      <c r="AT62" s="18">
        <f>('Raw Data - Production'!G94/50)/60</f>
        <v>8.2249999999999996</v>
      </c>
      <c r="AU62" s="18">
        <f>('Raw Data - Production'!H94/50)/60</f>
        <v>0</v>
      </c>
      <c r="AV62" s="18">
        <f>('Raw Data - Production'!I94/50)/60</f>
        <v>7.3383333333333338</v>
      </c>
      <c r="AW62" s="18"/>
      <c r="AX62" s="18"/>
      <c r="AY62" s="18"/>
      <c r="AZ62" s="18"/>
    </row>
    <row r="63" spans="1:52" x14ac:dyDescent="0.35">
      <c r="A63" s="2">
        <f t="shared" si="1"/>
        <v>46245</v>
      </c>
      <c r="B63">
        <f t="shared" si="2"/>
        <v>33</v>
      </c>
      <c r="C63" s="13">
        <f t="shared" si="3"/>
        <v>0.94072976680384068</v>
      </c>
      <c r="D63" s="13">
        <f t="shared" si="4"/>
        <v>0.82927846364883406</v>
      </c>
      <c r="E63" s="13" t="str">
        <f t="shared" si="5"/>
        <v/>
      </c>
      <c r="F63" s="13">
        <f t="shared" si="6"/>
        <v>0.58099588477366249</v>
      </c>
      <c r="G63" s="13" t="str">
        <f t="shared" si="7"/>
        <v/>
      </c>
      <c r="H63" s="13">
        <f t="shared" si="8"/>
        <v>0.66223319615912213</v>
      </c>
      <c r="I63" s="13"/>
      <c r="J63" s="13"/>
      <c r="K63" s="13"/>
      <c r="L63" s="13"/>
      <c r="N63" s="2">
        <f>+'Daily Summary Old'!A90</f>
        <v>46245</v>
      </c>
      <c r="O63">
        <f t="shared" si="9"/>
        <v>33</v>
      </c>
      <c r="P63" s="13">
        <f>+IFERROR('Raw Data - Production'!K95/('Raw Data - Production'!D95*Weights!$B$2),"")</f>
        <v>5.1683702818708793E-2</v>
      </c>
      <c r="Q63" s="13">
        <f>+IFERROR('Raw Data - Production'!L95/('Raw Data - Production'!E95*Weights!$B$2),"")</f>
        <v>7.4466000391926315E-2</v>
      </c>
      <c r="R63" s="13" t="str">
        <f>+IFERROR('Raw Data - Production'!M95/('Raw Data - Production'!F95*Weights!$B$2),"")</f>
        <v/>
      </c>
      <c r="S63" s="13">
        <f>+IFERROR('Raw Data - Production'!N95/('Raw Data - Production'!G95*Weights!$B$2),"")</f>
        <v>0.32703179369846036</v>
      </c>
      <c r="T63" s="13" t="str">
        <f>+IFERROR('Raw Data - Production'!O95/('Raw Data - Production'!H95*Weights!$B$2),"")</f>
        <v/>
      </c>
      <c r="U63" s="13">
        <f>+IFERROR('Raw Data - Production'!P95/('Raw Data - Production'!I95*Weights!$B$2),"")</f>
        <v>0.29046443268665489</v>
      </c>
      <c r="V63" s="13"/>
      <c r="W63" s="13"/>
      <c r="X63" s="13"/>
      <c r="Y63" s="13"/>
      <c r="AA63" s="2">
        <f t="shared" si="10"/>
        <v>46245</v>
      </c>
      <c r="AB63" s="11">
        <v>100</v>
      </c>
      <c r="AC63" s="11">
        <v>60</v>
      </c>
      <c r="AD63">
        <f t="shared" si="11"/>
        <v>33</v>
      </c>
      <c r="AE63" s="13">
        <f t="shared" si="16"/>
        <v>1</v>
      </c>
      <c r="AF63" s="13">
        <f t="shared" si="16"/>
        <v>1</v>
      </c>
      <c r="AG63" s="13">
        <f t="shared" si="16"/>
        <v>1</v>
      </c>
      <c r="AH63" s="13">
        <f t="shared" si="17"/>
        <v>1</v>
      </c>
      <c r="AI63" s="13">
        <f t="shared" si="17"/>
        <v>1</v>
      </c>
      <c r="AJ63" s="13">
        <f t="shared" si="17"/>
        <v>1</v>
      </c>
      <c r="AK63" s="13"/>
      <c r="AL63" s="13"/>
      <c r="AM63" s="13"/>
      <c r="AN63" s="13"/>
      <c r="AP63" s="2">
        <f t="shared" si="14"/>
        <v>46245</v>
      </c>
      <c r="AQ63">
        <f t="shared" si="15"/>
        <v>33</v>
      </c>
      <c r="AR63" s="18">
        <f>('Raw Data - Production'!D95/100)/60</f>
        <v>7.4399999999999995</v>
      </c>
      <c r="AS63" s="18">
        <f>('Raw Data - Production'!E95/100)/60</f>
        <v>6.72</v>
      </c>
      <c r="AT63" s="18">
        <f>('Raw Data - Production'!G95/50)/60</f>
        <v>6.4749999999999996</v>
      </c>
      <c r="AU63" s="18">
        <f>('Raw Data - Production'!H95/50)/60</f>
        <v>0</v>
      </c>
      <c r="AV63" s="18">
        <f>('Raw Data - Production'!I95/50)/60</f>
        <v>7</v>
      </c>
      <c r="AW63" s="18"/>
      <c r="AX63" s="18"/>
      <c r="AY63" s="18"/>
      <c r="AZ63" s="18"/>
    </row>
    <row r="64" spans="1:52" x14ac:dyDescent="0.35">
      <c r="A64" s="2">
        <f t="shared" si="1"/>
        <v>46246</v>
      </c>
      <c r="B64">
        <f t="shared" si="2"/>
        <v>33</v>
      </c>
      <c r="C64" s="13">
        <f t="shared" si="3"/>
        <v>0.90943209876543218</v>
      </c>
      <c r="D64" s="13">
        <f t="shared" si="4"/>
        <v>1.0187764060356654</v>
      </c>
      <c r="E64" s="13" t="str">
        <f t="shared" si="5"/>
        <v/>
      </c>
      <c r="F64" s="13">
        <f t="shared" si="6"/>
        <v>1.1323100137174209</v>
      </c>
      <c r="G64" s="13" t="str">
        <f t="shared" si="7"/>
        <v/>
      </c>
      <c r="H64" s="13">
        <f t="shared" si="8"/>
        <v>0.53783813443072703</v>
      </c>
      <c r="I64" s="13"/>
      <c r="J64" s="13"/>
      <c r="K64" s="13"/>
      <c r="L64" s="13"/>
      <c r="N64" s="2">
        <f>+'Daily Summary Old'!A91</f>
        <v>46246</v>
      </c>
      <c r="O64">
        <f t="shared" si="9"/>
        <v>33</v>
      </c>
      <c r="P64" s="13">
        <f>+IFERROR('Raw Data - Production'!K96/('Raw Data - Production'!D96*Weights!$B$2),"")</f>
        <v>5.2674897119341563E-2</v>
      </c>
      <c r="Q64" s="13">
        <f>+IFERROR('Raw Data - Production'!L96/('Raw Data - Production'!E96*Weights!$B$2),"")</f>
        <v>3.524961549652908E-2</v>
      </c>
      <c r="R64" s="13" t="str">
        <f>+IFERROR('Raw Data - Production'!M96/('Raw Data - Production'!F96*Weights!$B$2),"")</f>
        <v/>
      </c>
      <c r="S64" s="13">
        <f>+IFERROR('Raw Data - Production'!N96/('Raw Data - Production'!G96*Weights!$B$2),"")</f>
        <v>5.342837419126973E-2</v>
      </c>
      <c r="T64" s="13" t="str">
        <f>+IFERROR('Raw Data - Production'!O96/('Raw Data - Production'!H96*Weights!$B$2),"")</f>
        <v/>
      </c>
      <c r="U64" s="13">
        <f>+IFERROR('Raw Data - Production'!P96/('Raw Data - Production'!I96*Weights!$B$2),"")</f>
        <v>0.11345362456473568</v>
      </c>
      <c r="V64" s="13"/>
      <c r="W64" s="13"/>
      <c r="X64" s="13"/>
      <c r="Y64" s="13"/>
      <c r="AA64" s="2">
        <f t="shared" si="10"/>
        <v>46246</v>
      </c>
      <c r="AB64" s="11">
        <v>100</v>
      </c>
      <c r="AC64" s="11">
        <v>60</v>
      </c>
      <c r="AD64">
        <f t="shared" si="11"/>
        <v>33</v>
      </c>
      <c r="AE64" s="13">
        <f t="shared" si="16"/>
        <v>1</v>
      </c>
      <c r="AF64" s="13">
        <f t="shared" si="16"/>
        <v>1</v>
      </c>
      <c r="AG64" s="13">
        <f t="shared" si="16"/>
        <v>1</v>
      </c>
      <c r="AH64" s="13">
        <f t="shared" si="17"/>
        <v>1</v>
      </c>
      <c r="AI64" s="13">
        <f t="shared" si="17"/>
        <v>1</v>
      </c>
      <c r="AJ64" s="13">
        <f t="shared" si="17"/>
        <v>1</v>
      </c>
      <c r="AK64" s="13"/>
      <c r="AL64" s="13"/>
      <c r="AM64" s="13"/>
      <c r="AN64" s="13"/>
      <c r="AP64" s="2">
        <f t="shared" si="14"/>
        <v>46246</v>
      </c>
      <c r="AQ64">
        <f t="shared" si="15"/>
        <v>33</v>
      </c>
      <c r="AR64" s="18">
        <f>('Raw Data - Production'!D96/100)/60</f>
        <v>7.2</v>
      </c>
      <c r="AS64" s="18">
        <f>('Raw Data - Production'!E96/100)/60</f>
        <v>7.92</v>
      </c>
      <c r="AT64" s="18">
        <f>('Raw Data - Production'!G96/50)/60</f>
        <v>8.9716666666666658</v>
      </c>
      <c r="AU64" s="18">
        <f>('Raw Data - Production'!H96/50)/60</f>
        <v>0</v>
      </c>
      <c r="AV64" s="18">
        <f>('Raw Data - Production'!I96/50)/60</f>
        <v>4.55</v>
      </c>
      <c r="AW64" s="18"/>
      <c r="AX64" s="18"/>
      <c r="AY64" s="18"/>
      <c r="AZ64" s="18"/>
    </row>
    <row r="65" spans="1:52" x14ac:dyDescent="0.35">
      <c r="A65" s="2">
        <f t="shared" si="1"/>
        <v>46247</v>
      </c>
      <c r="B65">
        <f t="shared" si="2"/>
        <v>33</v>
      </c>
      <c r="C65" s="13" t="str">
        <f t="shared" si="3"/>
        <v/>
      </c>
      <c r="D65" s="13" t="str">
        <f t="shared" si="4"/>
        <v/>
      </c>
      <c r="E65" s="13" t="str">
        <f t="shared" si="5"/>
        <v/>
      </c>
      <c r="F65" s="13" t="str">
        <f t="shared" si="6"/>
        <v/>
      </c>
      <c r="G65" s="13" t="str">
        <f t="shared" si="7"/>
        <v/>
      </c>
      <c r="H65" s="13" t="str">
        <f t="shared" si="8"/>
        <v/>
      </c>
      <c r="I65" s="13"/>
      <c r="J65" s="13"/>
      <c r="K65" s="13"/>
      <c r="L65" s="13"/>
      <c r="N65" s="2">
        <f>+'Daily Summary Old'!A92</f>
        <v>46247</v>
      </c>
      <c r="O65">
        <f t="shared" si="9"/>
        <v>33</v>
      </c>
      <c r="P65" s="13" t="str">
        <f>+IFERROR('Raw Data - Production'!K97/('Raw Data - Production'!D97*Weights!$B$2),"")</f>
        <v/>
      </c>
      <c r="Q65" s="13" t="str">
        <f>+IFERROR('Raw Data - Production'!L97/('Raw Data - Production'!E97*Weights!$B$2),"")</f>
        <v/>
      </c>
      <c r="R65" s="13" t="str">
        <f>+IFERROR('Raw Data - Production'!M97/('Raw Data - Production'!F97*Weights!$B$2),"")</f>
        <v/>
      </c>
      <c r="S65" s="13" t="str">
        <f>+IFERROR('Raw Data - Production'!N97/('Raw Data - Production'!G97*Weights!$B$2),"")</f>
        <v/>
      </c>
      <c r="T65" s="13" t="str">
        <f>+IFERROR('Raw Data - Production'!O97/('Raw Data - Production'!H97*Weights!$B$2),"")</f>
        <v/>
      </c>
      <c r="U65" s="13" t="str">
        <f>+IFERROR('Raw Data - Production'!P97/('Raw Data - Production'!I97*Weights!$B$2),"")</f>
        <v/>
      </c>
      <c r="V65" s="13"/>
      <c r="W65" s="13"/>
      <c r="X65" s="13"/>
      <c r="Y65" s="13"/>
      <c r="AA65" s="2">
        <f t="shared" si="10"/>
        <v>46247</v>
      </c>
      <c r="AB65" s="11">
        <v>110</v>
      </c>
      <c r="AC65" s="11">
        <v>60</v>
      </c>
      <c r="AD65">
        <f t="shared" si="11"/>
        <v>33</v>
      </c>
      <c r="AE65" s="13">
        <f t="shared" si="16"/>
        <v>1.1000000000000001</v>
      </c>
      <c r="AF65" s="13">
        <f t="shared" si="16"/>
        <v>1.1000000000000001</v>
      </c>
      <c r="AG65" s="13">
        <f t="shared" si="16"/>
        <v>1.1000000000000001</v>
      </c>
      <c r="AH65" s="13">
        <f t="shared" si="17"/>
        <v>1</v>
      </c>
      <c r="AI65" s="13">
        <f t="shared" si="17"/>
        <v>1</v>
      </c>
      <c r="AJ65" s="13">
        <f t="shared" si="17"/>
        <v>1</v>
      </c>
      <c r="AK65" s="13"/>
      <c r="AL65" s="13"/>
      <c r="AM65" s="13"/>
      <c r="AN65" s="13"/>
      <c r="AP65" s="2">
        <f t="shared" si="14"/>
        <v>46247</v>
      </c>
      <c r="AQ65">
        <f t="shared" si="15"/>
        <v>33</v>
      </c>
      <c r="AR65" s="18">
        <f>('Raw Data - Production'!D97/100)/60</f>
        <v>0</v>
      </c>
      <c r="AS65" s="18">
        <f>('Raw Data - Production'!E97/100)/60</f>
        <v>0</v>
      </c>
      <c r="AT65" s="18">
        <f>('Raw Data - Production'!G97/50)/60</f>
        <v>0</v>
      </c>
      <c r="AU65" s="18">
        <f>('Raw Data - Production'!H97/50)/60</f>
        <v>0</v>
      </c>
      <c r="AV65" s="18">
        <f>('Raw Data - Production'!I97/50)/60</f>
        <v>0</v>
      </c>
      <c r="AW65" s="18"/>
      <c r="AX65" s="18"/>
      <c r="AY65" s="18"/>
      <c r="AZ65" s="18"/>
    </row>
    <row r="66" spans="1:52" x14ac:dyDescent="0.35">
      <c r="A66" s="2">
        <f t="shared" si="1"/>
        <v>46248</v>
      </c>
      <c r="B66">
        <f t="shared" si="2"/>
        <v>33</v>
      </c>
      <c r="C66" s="13" t="str">
        <f t="shared" si="3"/>
        <v/>
      </c>
      <c r="D66" s="13" t="str">
        <f t="shared" si="4"/>
        <v/>
      </c>
      <c r="E66" s="13" t="str">
        <f t="shared" si="5"/>
        <v/>
      </c>
      <c r="F66" s="13" t="str">
        <f t="shared" si="6"/>
        <v/>
      </c>
      <c r="G66" s="13" t="str">
        <f t="shared" si="7"/>
        <v/>
      </c>
      <c r="H66" s="13" t="str">
        <f t="shared" si="8"/>
        <v/>
      </c>
      <c r="I66" s="13"/>
      <c r="J66" s="13"/>
      <c r="K66" s="13"/>
      <c r="L66" s="13"/>
      <c r="N66" s="2">
        <f>+'Daily Summary Old'!A93</f>
        <v>46248</v>
      </c>
      <c r="O66">
        <f t="shared" si="9"/>
        <v>33</v>
      </c>
      <c r="P66" s="13" t="str">
        <f>+IFERROR('Raw Data - Production'!K98/('Raw Data - Production'!D98*Weights!$B$2),"")</f>
        <v/>
      </c>
      <c r="Q66" s="13" t="str">
        <f>+IFERROR('Raw Data - Production'!L98/('Raw Data - Production'!E98*Weights!$B$2),"")</f>
        <v/>
      </c>
      <c r="R66" s="13" t="str">
        <f>+IFERROR('Raw Data - Production'!M98/('Raw Data - Production'!F98*Weights!$B$2),"")</f>
        <v/>
      </c>
      <c r="S66" s="13" t="str">
        <f>+IFERROR('Raw Data - Production'!N98/('Raw Data - Production'!G98*Weights!$B$2),"")</f>
        <v/>
      </c>
      <c r="T66" s="13" t="str">
        <f>+IFERROR('Raw Data - Production'!O98/('Raw Data - Production'!H98*Weights!$B$2),"")</f>
        <v/>
      </c>
      <c r="U66" s="13" t="str">
        <f>+IFERROR('Raw Data - Production'!P98/('Raw Data - Production'!I98*Weights!$B$2),"")</f>
        <v/>
      </c>
      <c r="V66" s="13"/>
      <c r="W66" s="13"/>
      <c r="X66" s="13"/>
      <c r="Y66" s="13"/>
      <c r="AA66" s="2">
        <f t="shared" si="10"/>
        <v>46248</v>
      </c>
      <c r="AB66" s="11">
        <v>110</v>
      </c>
      <c r="AC66" s="11">
        <v>60</v>
      </c>
      <c r="AD66">
        <f t="shared" si="11"/>
        <v>33</v>
      </c>
      <c r="AE66" s="13">
        <f t="shared" si="16"/>
        <v>1.1000000000000001</v>
      </c>
      <c r="AF66" s="13">
        <f t="shared" si="16"/>
        <v>1.1000000000000001</v>
      </c>
      <c r="AG66" s="13">
        <f t="shared" si="16"/>
        <v>1.1000000000000001</v>
      </c>
      <c r="AH66" s="13">
        <f t="shared" si="17"/>
        <v>1</v>
      </c>
      <c r="AI66" s="13">
        <f t="shared" si="17"/>
        <v>1</v>
      </c>
      <c r="AJ66" s="13">
        <f t="shared" si="17"/>
        <v>1</v>
      </c>
      <c r="AK66" s="13"/>
      <c r="AL66" s="13"/>
      <c r="AM66" s="13"/>
      <c r="AN66" s="13"/>
      <c r="AP66" s="2">
        <f t="shared" si="14"/>
        <v>46248</v>
      </c>
      <c r="AQ66">
        <f t="shared" si="15"/>
        <v>33</v>
      </c>
      <c r="AR66" s="18">
        <f>('Raw Data - Production'!D98/100)/60</f>
        <v>0</v>
      </c>
      <c r="AS66" s="18">
        <f>('Raw Data - Production'!E98/100)/60</f>
        <v>0</v>
      </c>
      <c r="AT66" s="18">
        <f>('Raw Data - Production'!G98/50)/60</f>
        <v>0</v>
      </c>
      <c r="AU66" s="18">
        <f>('Raw Data - Production'!H98/50)/60</f>
        <v>0</v>
      </c>
      <c r="AV66" s="18">
        <f>('Raw Data - Production'!I98/50)/60</f>
        <v>0</v>
      </c>
      <c r="AW66" s="18"/>
      <c r="AX66" s="18"/>
      <c r="AY66" s="18"/>
      <c r="AZ66" s="18"/>
    </row>
    <row r="67" spans="1:52" x14ac:dyDescent="0.35">
      <c r="A67" s="2">
        <f t="shared" si="1"/>
        <v>46251</v>
      </c>
      <c r="B67">
        <f t="shared" si="2"/>
        <v>34</v>
      </c>
      <c r="C67" s="13" t="str">
        <f t="shared" si="3"/>
        <v/>
      </c>
      <c r="D67" s="13" t="str">
        <f t="shared" si="4"/>
        <v/>
      </c>
      <c r="E67" s="13" t="str">
        <f t="shared" si="5"/>
        <v/>
      </c>
      <c r="F67" s="13">
        <f t="shared" si="6"/>
        <v>0.86871879286694098</v>
      </c>
      <c r="G67" s="13" t="str">
        <f t="shared" si="7"/>
        <v/>
      </c>
      <c r="H67" s="13">
        <f t="shared" si="8"/>
        <v>1.1094238683127571</v>
      </c>
      <c r="I67" s="13"/>
      <c r="J67" s="13"/>
      <c r="K67" s="13"/>
      <c r="L67" s="13"/>
      <c r="N67" s="2">
        <f>+'Daily Summary Old'!A94</f>
        <v>46251</v>
      </c>
      <c r="O67">
        <f t="shared" si="9"/>
        <v>34</v>
      </c>
      <c r="P67" s="13" t="str">
        <f>+IFERROR('Raw Data - Production'!K99/('Raw Data - Production'!D99*Weights!$B$2),"")</f>
        <v/>
      </c>
      <c r="Q67" s="13" t="str">
        <f>+IFERROR('Raw Data - Production'!L99/('Raw Data - Production'!E99*Weights!$B$2),"")</f>
        <v/>
      </c>
      <c r="R67" s="13" t="str">
        <f>+IFERROR('Raw Data - Production'!M99/('Raw Data - Production'!F99*Weights!$B$2),"")</f>
        <v/>
      </c>
      <c r="S67" s="13">
        <f>+IFERROR('Raw Data - Production'!N99/('Raw Data - Production'!G99*Weights!$B$2),"")</f>
        <v>6.9229864785420342E-2</v>
      </c>
      <c r="T67" s="13" t="str">
        <f>+IFERROR('Raw Data - Production'!O99/('Raw Data - Production'!H99*Weights!$B$2),"")</f>
        <v/>
      </c>
      <c r="U67" s="13">
        <f>+IFERROR('Raw Data - Production'!P99/('Raw Data - Production'!I99*Weights!$B$2),"")</f>
        <v>4.0106247374080486E-2</v>
      </c>
      <c r="V67" s="13"/>
      <c r="W67" s="13"/>
      <c r="X67" s="13"/>
      <c r="Y67" s="13"/>
      <c r="AA67" s="2">
        <f t="shared" si="10"/>
        <v>46251</v>
      </c>
      <c r="AC67" s="11">
        <v>60</v>
      </c>
      <c r="AD67">
        <f t="shared" si="11"/>
        <v>34</v>
      </c>
      <c r="AE67" s="13">
        <f t="shared" si="16"/>
        <v>0</v>
      </c>
      <c r="AF67" s="13">
        <f t="shared" si="16"/>
        <v>0</v>
      </c>
      <c r="AG67" s="13">
        <f t="shared" si="16"/>
        <v>0</v>
      </c>
      <c r="AH67" s="13">
        <f t="shared" si="17"/>
        <v>1</v>
      </c>
      <c r="AI67" s="13">
        <f t="shared" si="17"/>
        <v>1</v>
      </c>
      <c r="AJ67" s="13">
        <f t="shared" si="17"/>
        <v>1</v>
      </c>
      <c r="AK67" s="13"/>
      <c r="AL67" s="13"/>
      <c r="AM67" s="13"/>
      <c r="AN67" s="13"/>
      <c r="AP67" s="2">
        <f t="shared" si="14"/>
        <v>46251</v>
      </c>
      <c r="AQ67">
        <f t="shared" si="15"/>
        <v>34</v>
      </c>
      <c r="AR67" s="18">
        <f>('Raw Data - Production'!D99/100)/60</f>
        <v>0</v>
      </c>
      <c r="AS67" s="18">
        <f>('Raw Data - Production'!E99/100)/60</f>
        <v>0</v>
      </c>
      <c r="AT67" s="18">
        <f>('Raw Data - Production'!G99/50)/60</f>
        <v>7</v>
      </c>
      <c r="AU67" s="18">
        <f>('Raw Data - Production'!H99/50)/60</f>
        <v>0</v>
      </c>
      <c r="AV67" s="18">
        <f>('Raw Data - Production'!I99/50)/60</f>
        <v>8.668333333333333</v>
      </c>
      <c r="AW67" s="18"/>
      <c r="AX67" s="18"/>
      <c r="AY67" s="18"/>
      <c r="AZ67" s="18"/>
    </row>
    <row r="68" spans="1:52" x14ac:dyDescent="0.35">
      <c r="A68" s="2">
        <f t="shared" ref="A68:A131" si="18">N68</f>
        <v>46252</v>
      </c>
      <c r="B68">
        <f t="shared" ref="B68:B131" si="19">+WEEKNUM(A68)</f>
        <v>34</v>
      </c>
      <c r="C68" s="13">
        <f t="shared" ref="C68:C131" si="20">IFERROR(AE68*(100%-P68)*(AR68/7.5),"")</f>
        <v>0.75108784636488357</v>
      </c>
      <c r="D68" s="13">
        <f t="shared" ref="D68:D131" si="21">IFERROR(AF68*(100%-Q68)*(AS68/7.5),"")</f>
        <v>0.96161185185185194</v>
      </c>
      <c r="E68" s="13">
        <f t="shared" ref="E68:E131" si="22">IFERROR(AG68*(100%-R68)*(AT68/7.5),"")</f>
        <v>0.26709998475842095</v>
      </c>
      <c r="F68" s="13">
        <f t="shared" ref="F68:F131" si="23">IFERROR(AH68*(100%-S68)*(AT68/7.5),"")</f>
        <v>0.23700137174211247</v>
      </c>
      <c r="G68" s="13" t="str">
        <f t="shared" ref="G68:G131" si="24">IFERROR(AI68*(100%-T68)*(AU68/7.5),"")</f>
        <v/>
      </c>
      <c r="H68" s="13" t="str">
        <f t="shared" ref="H68:H131" si="25">IFERROR(AJ68*(100%-U68)*(AV68/7.5),"")</f>
        <v/>
      </c>
      <c r="I68" s="13"/>
      <c r="J68" s="13"/>
      <c r="K68" s="13"/>
      <c r="L68" s="13"/>
      <c r="N68" s="2">
        <f>+'Daily Summary Old'!A95</f>
        <v>46252</v>
      </c>
      <c r="O68">
        <f t="shared" ref="O68:O131" si="26">+WEEKNUM(N68)</f>
        <v>34</v>
      </c>
      <c r="P68" s="13">
        <f>+IFERROR('Raw Data - Production'!K100/('Raw Data - Production'!D100*Weights!$B$2),"")</f>
        <v>9.07220351664796E-2</v>
      </c>
      <c r="Q68" s="13">
        <f>+IFERROR('Raw Data - Production'!L100/('Raw Data - Production'!E100*Weights!$B$2),"")</f>
        <v>5.1440329218106991E-2</v>
      </c>
      <c r="R68" s="13">
        <f>+IFERROR('Raw Data - Production'!M100/('Raw Data - Production'!F100*Weights!$B$2),"")</f>
        <v>5.3955189757658895E-2</v>
      </c>
      <c r="S68" s="13">
        <f>+IFERROR('Raw Data - Production'!N100/('Raw Data - Production'!G100*Weights!$B$2),"")</f>
        <v>7.661803217358773E-2</v>
      </c>
      <c r="T68" s="13" t="str">
        <f>+IFERROR('Raw Data - Production'!O100/('Raw Data - Production'!H100*Weights!$B$2),"")</f>
        <v/>
      </c>
      <c r="U68" s="13" t="str">
        <f>+IFERROR('Raw Data - Production'!P100/('Raw Data - Production'!I100*Weights!$B$2),"")</f>
        <v/>
      </c>
      <c r="V68" s="13"/>
      <c r="W68" s="13"/>
      <c r="X68" s="13"/>
      <c r="Y68" s="13"/>
      <c r="AA68" s="2">
        <f t="shared" ref="AA68:AA131" si="27">+N68</f>
        <v>46252</v>
      </c>
      <c r="AB68" s="11">
        <v>110</v>
      </c>
      <c r="AC68" s="11">
        <v>60</v>
      </c>
      <c r="AD68">
        <f t="shared" ref="AD68:AD131" si="28">+WEEKNUM(AA68)</f>
        <v>34</v>
      </c>
      <c r="AE68" s="13">
        <f t="shared" si="16"/>
        <v>1.1000000000000001</v>
      </c>
      <c r="AF68" s="13">
        <f t="shared" si="16"/>
        <v>1.1000000000000001</v>
      </c>
      <c r="AG68" s="13">
        <f t="shared" si="16"/>
        <v>1.1000000000000001</v>
      </c>
      <c r="AH68" s="13">
        <f t="shared" si="17"/>
        <v>1</v>
      </c>
      <c r="AI68" s="13">
        <f t="shared" si="17"/>
        <v>1</v>
      </c>
      <c r="AJ68" s="13">
        <f t="shared" si="17"/>
        <v>1</v>
      </c>
      <c r="AK68" s="13"/>
      <c r="AL68" s="13"/>
      <c r="AM68" s="13"/>
      <c r="AN68" s="13"/>
      <c r="AP68" s="2">
        <f t="shared" ref="AP68:AP131" si="29">+AA68</f>
        <v>46252</v>
      </c>
      <c r="AQ68">
        <f t="shared" ref="AQ68:AQ131" si="30">+WEEKNUM(AP68)</f>
        <v>34</v>
      </c>
      <c r="AR68" s="18">
        <f>('Raw Data - Production'!D100/100)/60</f>
        <v>5.6320000000000006</v>
      </c>
      <c r="AS68" s="18">
        <f>('Raw Data - Production'!E100/100)/60</f>
        <v>6.9120000000000008</v>
      </c>
      <c r="AT68" s="18">
        <f>('Raw Data - Production'!G100/50)/60</f>
        <v>1.925</v>
      </c>
      <c r="AU68" s="18">
        <f>('Raw Data - Production'!H100/50)/60</f>
        <v>0</v>
      </c>
      <c r="AV68" s="18">
        <f>('Raw Data - Production'!I100/50)/60</f>
        <v>0</v>
      </c>
      <c r="AW68" s="18"/>
      <c r="AX68" s="18"/>
      <c r="AY68" s="18"/>
      <c r="AZ68" s="18"/>
    </row>
    <row r="69" spans="1:52" x14ac:dyDescent="0.35">
      <c r="A69" s="2">
        <f t="shared" si="18"/>
        <v>46253</v>
      </c>
      <c r="B69">
        <f t="shared" si="19"/>
        <v>34</v>
      </c>
      <c r="C69" s="13" t="str">
        <f t="shared" si="20"/>
        <v/>
      </c>
      <c r="D69" s="13" t="str">
        <f t="shared" si="21"/>
        <v/>
      </c>
      <c r="E69" s="13" t="str">
        <f t="shared" si="22"/>
        <v/>
      </c>
      <c r="F69" s="13" t="str">
        <f t="shared" si="23"/>
        <v/>
      </c>
      <c r="G69" s="13" t="str">
        <f t="shared" si="24"/>
        <v/>
      </c>
      <c r="H69" s="13" t="str">
        <f t="shared" si="25"/>
        <v/>
      </c>
      <c r="I69" s="13"/>
      <c r="J69" s="13"/>
      <c r="K69" s="13"/>
      <c r="L69" s="13"/>
      <c r="N69" s="2">
        <f>+'Daily Summary Old'!A96</f>
        <v>46253</v>
      </c>
      <c r="O69">
        <f t="shared" si="26"/>
        <v>34</v>
      </c>
      <c r="P69" s="13" t="str">
        <f>+IFERROR('Raw Data - Production'!K101/('Raw Data - Production'!D101*Weights!$B$2),"")</f>
        <v/>
      </c>
      <c r="Q69" s="13" t="str">
        <f>+IFERROR('Raw Data - Production'!L101/('Raw Data - Production'!E101*Weights!$B$2),"")</f>
        <v/>
      </c>
      <c r="R69" s="13" t="str">
        <f>+IFERROR('Raw Data - Production'!M101/('Raw Data - Production'!F101*Weights!$B$2),"")</f>
        <v/>
      </c>
      <c r="S69" s="13" t="str">
        <f>+IFERROR('Raw Data - Production'!N101/('Raw Data - Production'!G101*Weights!$B$2),"")</f>
        <v/>
      </c>
      <c r="T69" s="13" t="str">
        <f>+IFERROR('Raw Data - Production'!O101/('Raw Data - Production'!H101*Weights!$B$2),"")</f>
        <v/>
      </c>
      <c r="U69" s="13" t="str">
        <f>+IFERROR('Raw Data - Production'!P101/('Raw Data - Production'!I101*Weights!$B$2),"")</f>
        <v/>
      </c>
      <c r="V69" s="13"/>
      <c r="W69" s="13"/>
      <c r="X69" s="13"/>
      <c r="Y69" s="13"/>
      <c r="AA69" s="2">
        <f t="shared" si="27"/>
        <v>46253</v>
      </c>
      <c r="AD69">
        <f t="shared" si="28"/>
        <v>34</v>
      </c>
      <c r="AE69" s="13">
        <f t="shared" si="16"/>
        <v>0</v>
      </c>
      <c r="AF69" s="13">
        <f t="shared" si="16"/>
        <v>0</v>
      </c>
      <c r="AG69" s="13">
        <f t="shared" si="16"/>
        <v>0</v>
      </c>
      <c r="AH69" s="13">
        <f t="shared" si="17"/>
        <v>0</v>
      </c>
      <c r="AI69" s="13">
        <f t="shared" si="17"/>
        <v>0</v>
      </c>
      <c r="AJ69" s="13">
        <f t="shared" si="17"/>
        <v>0</v>
      </c>
      <c r="AK69" s="13"/>
      <c r="AL69" s="13"/>
      <c r="AM69" s="13"/>
      <c r="AN69" s="13"/>
      <c r="AP69" s="2">
        <f t="shared" si="29"/>
        <v>46253</v>
      </c>
      <c r="AQ69">
        <f t="shared" si="30"/>
        <v>34</v>
      </c>
      <c r="AR69" s="18">
        <f>('Raw Data - Production'!D101/100)/60</f>
        <v>0</v>
      </c>
      <c r="AS69" s="18">
        <f>('Raw Data - Production'!E101/100)/60</f>
        <v>0</v>
      </c>
      <c r="AT69" s="18">
        <f>('Raw Data - Production'!G101/50)/60</f>
        <v>0</v>
      </c>
      <c r="AU69" s="18">
        <f>('Raw Data - Production'!H101/50)/60</f>
        <v>0</v>
      </c>
      <c r="AV69" s="18">
        <f>('Raw Data - Production'!I101/50)/60</f>
        <v>0</v>
      </c>
      <c r="AW69" s="18"/>
      <c r="AX69" s="18"/>
      <c r="AY69" s="18"/>
      <c r="AZ69" s="18"/>
    </row>
    <row r="70" spans="1:52" x14ac:dyDescent="0.35">
      <c r="A70" s="2">
        <f t="shared" si="18"/>
        <v>46254</v>
      </c>
      <c r="B70">
        <f t="shared" si="19"/>
        <v>34</v>
      </c>
      <c r="C70" s="13" t="str">
        <f t="shared" si="20"/>
        <v/>
      </c>
      <c r="D70" s="13" t="str">
        <f t="shared" si="21"/>
        <v/>
      </c>
      <c r="E70" s="13" t="str">
        <f t="shared" si="22"/>
        <v/>
      </c>
      <c r="F70" s="13" t="str">
        <f t="shared" si="23"/>
        <v/>
      </c>
      <c r="G70" s="13" t="str">
        <f t="shared" si="24"/>
        <v/>
      </c>
      <c r="H70" s="13" t="str">
        <f t="shared" si="25"/>
        <v/>
      </c>
      <c r="I70" s="13"/>
      <c r="J70" s="13"/>
      <c r="K70" s="13"/>
      <c r="L70" s="13"/>
      <c r="N70" s="2">
        <f>+'Daily Summary Old'!A97</f>
        <v>46254</v>
      </c>
      <c r="O70">
        <f t="shared" si="26"/>
        <v>34</v>
      </c>
      <c r="P70" s="13" t="str">
        <f>+IFERROR('Raw Data - Production'!K102/('Raw Data - Production'!D102*Weights!$B$2),"")</f>
        <v/>
      </c>
      <c r="Q70" s="13" t="str">
        <f>+IFERROR('Raw Data - Production'!L102/('Raw Data - Production'!E102*Weights!$B$2),"")</f>
        <v/>
      </c>
      <c r="R70" s="13" t="str">
        <f>+IFERROR('Raw Data - Production'!M102/('Raw Data - Production'!F102*Weights!$B$2),"")</f>
        <v/>
      </c>
      <c r="S70" s="13" t="str">
        <f>+IFERROR('Raw Data - Production'!N102/('Raw Data - Production'!G102*Weights!$B$2),"")</f>
        <v/>
      </c>
      <c r="T70" s="13" t="str">
        <f>+IFERROR('Raw Data - Production'!O102/('Raw Data - Production'!H102*Weights!$B$2),"")</f>
        <v/>
      </c>
      <c r="U70" s="13" t="str">
        <f>+IFERROR('Raw Data - Production'!P102/('Raw Data - Production'!I102*Weights!$B$2),"")</f>
        <v/>
      </c>
      <c r="V70" s="13"/>
      <c r="W70" s="13"/>
      <c r="X70" s="13"/>
      <c r="Y70" s="13"/>
      <c r="AA70" s="2">
        <f t="shared" si="27"/>
        <v>46254</v>
      </c>
      <c r="AD70">
        <f t="shared" si="28"/>
        <v>34</v>
      </c>
      <c r="AE70" s="13">
        <f t="shared" si="16"/>
        <v>0</v>
      </c>
      <c r="AF70" s="13">
        <f t="shared" si="16"/>
        <v>0</v>
      </c>
      <c r="AG70" s="13">
        <f t="shared" si="16"/>
        <v>0</v>
      </c>
      <c r="AH70" s="13">
        <f t="shared" si="17"/>
        <v>0</v>
      </c>
      <c r="AI70" s="13">
        <f t="shared" si="17"/>
        <v>0</v>
      </c>
      <c r="AJ70" s="13">
        <f t="shared" si="17"/>
        <v>0</v>
      </c>
      <c r="AK70" s="13"/>
      <c r="AL70" s="13"/>
      <c r="AM70" s="13"/>
      <c r="AN70" s="13"/>
      <c r="AP70" s="2">
        <f t="shared" si="29"/>
        <v>46254</v>
      </c>
      <c r="AQ70">
        <f t="shared" si="30"/>
        <v>34</v>
      </c>
      <c r="AR70" s="18">
        <f>('Raw Data - Production'!D102/100)/60</f>
        <v>0</v>
      </c>
      <c r="AS70" s="18">
        <f>('Raw Data - Production'!E102/100)/60</f>
        <v>0</v>
      </c>
      <c r="AT70" s="18">
        <f>('Raw Data - Production'!G102/50)/60</f>
        <v>0</v>
      </c>
      <c r="AU70" s="18">
        <f>('Raw Data - Production'!H102/50)/60</f>
        <v>0</v>
      </c>
      <c r="AV70" s="18">
        <f>('Raw Data - Production'!I102/50)/60</f>
        <v>0</v>
      </c>
      <c r="AW70" s="18"/>
      <c r="AX70" s="18"/>
      <c r="AY70" s="18"/>
      <c r="AZ70" s="18"/>
    </row>
    <row r="71" spans="1:52" x14ac:dyDescent="0.35">
      <c r="A71" s="2">
        <f t="shared" si="18"/>
        <v>46255</v>
      </c>
      <c r="B71">
        <f t="shared" si="19"/>
        <v>34</v>
      </c>
      <c r="C71" s="13" t="str">
        <f t="shared" si="20"/>
        <v/>
      </c>
      <c r="D71" s="13" t="str">
        <f t="shared" si="21"/>
        <v/>
      </c>
      <c r="E71" s="13" t="str">
        <f t="shared" si="22"/>
        <v/>
      </c>
      <c r="F71" s="13" t="str">
        <f t="shared" si="23"/>
        <v/>
      </c>
      <c r="G71" s="13" t="str">
        <f t="shared" si="24"/>
        <v/>
      </c>
      <c r="H71" s="13" t="str">
        <f t="shared" si="25"/>
        <v/>
      </c>
      <c r="I71" s="13"/>
      <c r="J71" s="13"/>
      <c r="K71" s="13"/>
      <c r="L71" s="13"/>
      <c r="N71" s="2">
        <f>+'Daily Summary Old'!A98</f>
        <v>46255</v>
      </c>
      <c r="O71">
        <f t="shared" si="26"/>
        <v>34</v>
      </c>
      <c r="P71" s="13" t="str">
        <f>+IFERROR('Raw Data - Production'!K103/('Raw Data - Production'!D103*Weights!$B$2),"")</f>
        <v/>
      </c>
      <c r="Q71" s="13" t="str">
        <f>+IFERROR('Raw Data - Production'!L103/('Raw Data - Production'!E103*Weights!$B$2),"")</f>
        <v/>
      </c>
      <c r="R71" s="13" t="str">
        <f>+IFERROR('Raw Data - Production'!M103/('Raw Data - Production'!F103*Weights!$B$2),"")</f>
        <v/>
      </c>
      <c r="S71" s="13" t="str">
        <f>+IFERROR('Raw Data - Production'!N103/('Raw Data - Production'!G103*Weights!$B$2),"")</f>
        <v/>
      </c>
      <c r="T71" s="13" t="str">
        <f>+IFERROR('Raw Data - Production'!O103/('Raw Data - Production'!H103*Weights!$B$2),"")</f>
        <v/>
      </c>
      <c r="U71" s="13" t="str">
        <f>+IFERROR('Raw Data - Production'!P103/('Raw Data - Production'!I103*Weights!$B$2),"")</f>
        <v/>
      </c>
      <c r="V71" s="13"/>
      <c r="W71" s="13"/>
      <c r="X71" s="13"/>
      <c r="Y71" s="13"/>
      <c r="AA71" s="2">
        <f t="shared" si="27"/>
        <v>46255</v>
      </c>
      <c r="AD71">
        <f t="shared" si="28"/>
        <v>34</v>
      </c>
      <c r="AE71" s="13">
        <f t="shared" si="16"/>
        <v>0</v>
      </c>
      <c r="AF71" s="13">
        <f t="shared" si="16"/>
        <v>0</v>
      </c>
      <c r="AG71" s="13">
        <f t="shared" si="16"/>
        <v>0</v>
      </c>
      <c r="AH71" s="13">
        <f t="shared" si="17"/>
        <v>0</v>
      </c>
      <c r="AI71" s="13">
        <f t="shared" si="17"/>
        <v>0</v>
      </c>
      <c r="AJ71" s="13">
        <f t="shared" si="17"/>
        <v>0</v>
      </c>
      <c r="AK71" s="13"/>
      <c r="AL71" s="13"/>
      <c r="AM71" s="13"/>
      <c r="AN71" s="13"/>
      <c r="AP71" s="2">
        <f t="shared" si="29"/>
        <v>46255</v>
      </c>
      <c r="AQ71">
        <f t="shared" si="30"/>
        <v>34</v>
      </c>
      <c r="AR71" s="18">
        <f>('Raw Data - Production'!D103/100)/60</f>
        <v>0</v>
      </c>
      <c r="AS71" s="18">
        <f>('Raw Data - Production'!E103/100)/60</f>
        <v>0</v>
      </c>
      <c r="AT71" s="18">
        <f>('Raw Data - Production'!G103/50)/60</f>
        <v>0</v>
      </c>
      <c r="AU71" s="18">
        <f>('Raw Data - Production'!H103/50)/60</f>
        <v>0</v>
      </c>
      <c r="AV71" s="18">
        <f>('Raw Data - Production'!I103/50)/60</f>
        <v>0</v>
      </c>
      <c r="AW71" s="18"/>
      <c r="AX71" s="18"/>
      <c r="AY71" s="18"/>
      <c r="AZ71" s="18"/>
    </row>
    <row r="72" spans="1:52" x14ac:dyDescent="0.35">
      <c r="A72" s="2">
        <f t="shared" si="18"/>
        <v>46258</v>
      </c>
      <c r="B72">
        <f t="shared" si="19"/>
        <v>35</v>
      </c>
      <c r="C72" s="13" t="str">
        <f t="shared" si="20"/>
        <v/>
      </c>
      <c r="D72" s="13" t="str">
        <f t="shared" si="21"/>
        <v/>
      </c>
      <c r="E72" s="13" t="str">
        <f t="shared" si="22"/>
        <v/>
      </c>
      <c r="F72" s="13">
        <f t="shared" si="23"/>
        <v>0.77148491083676263</v>
      </c>
      <c r="G72" s="13">
        <f t="shared" si="24"/>
        <v>0.72098582533150424</v>
      </c>
      <c r="H72" s="13">
        <f t="shared" si="25"/>
        <v>0.66226886145404662</v>
      </c>
      <c r="I72" s="13"/>
      <c r="J72" s="13"/>
      <c r="K72" s="13"/>
      <c r="L72" s="13"/>
      <c r="N72" s="2">
        <f>+'Daily Summary Old'!A99</f>
        <v>46258</v>
      </c>
      <c r="O72">
        <f t="shared" si="26"/>
        <v>35</v>
      </c>
      <c r="P72" s="13" t="str">
        <f>+IFERROR('Raw Data - Production'!K104/('Raw Data - Production'!D104*Weights!$B$2),"")</f>
        <v/>
      </c>
      <c r="Q72" s="13" t="str">
        <f>+IFERROR('Raw Data - Production'!L104/('Raw Data - Production'!E104*Weights!$B$2),"")</f>
        <v/>
      </c>
      <c r="R72" s="13" t="str">
        <f>+IFERROR('Raw Data - Production'!M104/('Raw Data - Production'!F104*Weights!$B$2),"")</f>
        <v/>
      </c>
      <c r="S72" s="13">
        <f>+IFERROR('Raw Data - Production'!N104/('Raw Data - Production'!G104*Weights!$B$2),"")</f>
        <v>0.2065784526789726</v>
      </c>
      <c r="T72" s="13">
        <f>+IFERROR('Raw Data - Production'!O104/('Raw Data - Production'!H104*Weights!$B$2),"")</f>
        <v>0.22493162589780946</v>
      </c>
      <c r="U72" s="13">
        <f>+IFERROR('Raw Data - Production'!P104/('Raw Data - Production'!I104*Weights!$B$2),"")</f>
        <v>0.21401058201058201</v>
      </c>
      <c r="V72" s="13"/>
      <c r="W72" s="13"/>
      <c r="X72" s="13"/>
      <c r="Y72" s="13"/>
      <c r="AA72" s="2">
        <f t="shared" si="27"/>
        <v>46258</v>
      </c>
      <c r="AC72" s="11">
        <v>65</v>
      </c>
      <c r="AD72">
        <f t="shared" si="28"/>
        <v>35</v>
      </c>
      <c r="AE72" s="13">
        <f t="shared" si="16"/>
        <v>0</v>
      </c>
      <c r="AF72" s="13">
        <f t="shared" si="16"/>
        <v>0</v>
      </c>
      <c r="AG72" s="13">
        <f t="shared" si="16"/>
        <v>0</v>
      </c>
      <c r="AH72" s="13">
        <f t="shared" si="17"/>
        <v>1.0833333333333333</v>
      </c>
      <c r="AI72" s="13">
        <f t="shared" si="17"/>
        <v>1.0833333333333333</v>
      </c>
      <c r="AJ72" s="13">
        <f t="shared" si="17"/>
        <v>1.0833333333333333</v>
      </c>
      <c r="AK72" s="13"/>
      <c r="AL72" s="13"/>
      <c r="AM72" s="13"/>
      <c r="AN72" s="13"/>
      <c r="AP72" s="2">
        <f t="shared" si="29"/>
        <v>46258</v>
      </c>
      <c r="AQ72">
        <f t="shared" si="30"/>
        <v>35</v>
      </c>
      <c r="AR72" s="18">
        <f>('Raw Data - Production'!D104/100)/60</f>
        <v>0</v>
      </c>
      <c r="AS72" s="18">
        <f>('Raw Data - Production'!E104/100)/60</f>
        <v>0</v>
      </c>
      <c r="AT72" s="18">
        <f>('Raw Data - Production'!G104/50)/60</f>
        <v>6.7316666666666665</v>
      </c>
      <c r="AU72" s="18">
        <f>('Raw Data - Production'!H104/50)/60</f>
        <v>6.4399999999999995</v>
      </c>
      <c r="AV72" s="18">
        <f>('Raw Data - Production'!I104/50)/60</f>
        <v>5.833333333333333</v>
      </c>
      <c r="AW72" s="18"/>
      <c r="AX72" s="18"/>
      <c r="AY72" s="18"/>
      <c r="AZ72" s="18"/>
    </row>
    <row r="73" spans="1:52" x14ac:dyDescent="0.35">
      <c r="A73" s="2">
        <f t="shared" si="18"/>
        <v>46259</v>
      </c>
      <c r="B73">
        <f t="shared" si="19"/>
        <v>35</v>
      </c>
      <c r="C73" s="13">
        <f t="shared" si="20"/>
        <v>0.78029080932784656</v>
      </c>
      <c r="D73" s="13">
        <f t="shared" si="21"/>
        <v>0.77835939643347074</v>
      </c>
      <c r="E73" s="13">
        <f t="shared" si="22"/>
        <v>0.98561450654158755</v>
      </c>
      <c r="F73" s="13">
        <f t="shared" si="23"/>
        <v>1.0538693415637859</v>
      </c>
      <c r="G73" s="13">
        <f t="shared" si="24"/>
        <v>0.80888888888888877</v>
      </c>
      <c r="H73" s="13" t="str">
        <f t="shared" si="25"/>
        <v/>
      </c>
      <c r="I73" s="13"/>
      <c r="J73" s="13"/>
      <c r="K73" s="13"/>
      <c r="L73" s="13"/>
      <c r="N73" s="2">
        <f>+'Daily Summary Old'!A100</f>
        <v>46259</v>
      </c>
      <c r="O73">
        <f t="shared" si="26"/>
        <v>35</v>
      </c>
      <c r="P73" s="13">
        <f>+IFERROR('Raw Data - Production'!K105/('Raw Data - Production'!D105*Weights!$B$2),"")</f>
        <v>7.6360310928212161E-2</v>
      </c>
      <c r="Q73" s="13">
        <f>+IFERROR('Raw Data - Production'!L105/('Raw Data - Production'!E105*Weights!$B$2),"")</f>
        <v>7.8646547782350251E-2</v>
      </c>
      <c r="R73" s="13">
        <f>+IFERROR('Raw Data - Production'!M105/('Raw Data - Production'!F105*Weights!$B$2),"")</f>
        <v>9.0752205447545961E-2</v>
      </c>
      <c r="S73" s="13">
        <f>+IFERROR('Raw Data - Production'!N105/('Raw Data - Production'!G105*Weights!$B$2),"")</f>
        <v>1.2828704225705015E-2</v>
      </c>
      <c r="T73" s="13">
        <f>+IFERROR('Raw Data - Production'!O105/('Raw Data - Production'!H105*Weights!$B$2),"")</f>
        <v>0</v>
      </c>
      <c r="U73" s="13" t="str">
        <f>+IFERROR('Raw Data - Production'!P105/('Raw Data - Production'!I105*Weights!$B$2),"")</f>
        <v/>
      </c>
      <c r="V73" s="13"/>
      <c r="W73" s="13"/>
      <c r="X73" s="13"/>
      <c r="Y73" s="13"/>
      <c r="AA73" s="2">
        <f t="shared" si="27"/>
        <v>46259</v>
      </c>
      <c r="AB73" s="11">
        <v>110</v>
      </c>
      <c r="AC73" s="11">
        <v>65</v>
      </c>
      <c r="AD73">
        <f t="shared" si="28"/>
        <v>35</v>
      </c>
      <c r="AE73" s="13">
        <f t="shared" si="16"/>
        <v>1.1000000000000001</v>
      </c>
      <c r="AF73" s="13">
        <f t="shared" si="16"/>
        <v>1.1000000000000001</v>
      </c>
      <c r="AG73" s="13">
        <f t="shared" si="16"/>
        <v>1.1000000000000001</v>
      </c>
      <c r="AH73" s="13">
        <f t="shared" si="17"/>
        <v>1.0833333333333333</v>
      </c>
      <c r="AI73" s="13">
        <f t="shared" si="17"/>
        <v>1.0833333333333333</v>
      </c>
      <c r="AJ73" s="13">
        <f t="shared" si="17"/>
        <v>1.0833333333333333</v>
      </c>
      <c r="AK73" s="13"/>
      <c r="AL73" s="13"/>
      <c r="AM73" s="13"/>
      <c r="AN73" s="13"/>
      <c r="AP73" s="2">
        <f t="shared" si="29"/>
        <v>46259</v>
      </c>
      <c r="AQ73">
        <f t="shared" si="30"/>
        <v>35</v>
      </c>
      <c r="AR73" s="18">
        <f>('Raw Data - Production'!D105/100)/60</f>
        <v>5.7600000000000007</v>
      </c>
      <c r="AS73" s="18">
        <f>('Raw Data - Production'!E105/100)/60</f>
        <v>5.7600000000000007</v>
      </c>
      <c r="AT73" s="18">
        <f>('Raw Data - Production'!G105/50)/60</f>
        <v>7.3908333333333331</v>
      </c>
      <c r="AU73" s="18">
        <f>('Raw Data - Production'!H105/50)/60</f>
        <v>5.6</v>
      </c>
      <c r="AV73" s="18">
        <f>('Raw Data - Production'!I105/50)/60</f>
        <v>0</v>
      </c>
      <c r="AW73" s="18"/>
      <c r="AX73" s="18"/>
      <c r="AY73" s="18"/>
      <c r="AZ73" s="18"/>
    </row>
    <row r="74" spans="1:52" x14ac:dyDescent="0.35">
      <c r="A74" s="2">
        <f t="shared" si="18"/>
        <v>46260</v>
      </c>
      <c r="B74">
        <f t="shared" si="19"/>
        <v>35</v>
      </c>
      <c r="C74" s="13">
        <f t="shared" si="20"/>
        <v>1.0584625514403294</v>
      </c>
      <c r="D74" s="13">
        <f t="shared" si="21"/>
        <v>1.0318283676268865</v>
      </c>
      <c r="E74" s="13">
        <f t="shared" si="22"/>
        <v>0.70266614497503566</v>
      </c>
      <c r="F74" s="13">
        <f t="shared" si="23"/>
        <v>0.75140237768632834</v>
      </c>
      <c r="G74" s="13">
        <f t="shared" si="24"/>
        <v>1.0405320073159579</v>
      </c>
      <c r="H74" s="13" t="str">
        <f t="shared" si="25"/>
        <v/>
      </c>
      <c r="I74" s="13"/>
      <c r="J74" s="13"/>
      <c r="K74" s="13"/>
      <c r="L74" s="13"/>
      <c r="N74" s="2">
        <f>+'Daily Summary Old'!A101</f>
        <v>46260</v>
      </c>
      <c r="O74">
        <f t="shared" si="26"/>
        <v>35</v>
      </c>
      <c r="P74" s="13">
        <f>+IFERROR('Raw Data - Production'!K106/('Raw Data - Production'!D106*Weights!$B$2),"")</f>
        <v>8.8789125826162857E-2</v>
      </c>
      <c r="Q74" s="13">
        <f>+IFERROR('Raw Data - Production'!L106/('Raw Data - Production'!E106*Weights!$B$2),"")</f>
        <v>6.2474224994954683E-2</v>
      </c>
      <c r="R74" s="13">
        <f>+IFERROR('Raw Data - Production'!M106/('Raw Data - Production'!F106*Weights!$B$2),"")</f>
        <v>0.19480579261837028</v>
      </c>
      <c r="S74" s="13">
        <f>+IFERROR('Raw Data - Production'!N106/('Raw Data - Production'!G106*Weights!$B$2),"")</f>
        <v>0.12571151917557147</v>
      </c>
      <c r="T74" s="13">
        <f>+IFERROR('Raw Data - Production'!O106/('Raw Data - Production'!H106*Weights!$B$2),"")</f>
        <v>4.2699916601725389E-2</v>
      </c>
      <c r="U74" s="13" t="str">
        <f>+IFERROR('Raw Data - Production'!P106/('Raw Data - Production'!I106*Weights!$B$2),"")</f>
        <v/>
      </c>
      <c r="V74" s="13"/>
      <c r="W74" s="13"/>
      <c r="X74" s="13"/>
      <c r="Y74" s="13"/>
      <c r="AA74" s="2">
        <f t="shared" si="27"/>
        <v>46260</v>
      </c>
      <c r="AB74" s="11">
        <v>110</v>
      </c>
      <c r="AC74" s="11">
        <v>65</v>
      </c>
      <c r="AD74">
        <f t="shared" si="28"/>
        <v>35</v>
      </c>
      <c r="AE74" s="13">
        <f t="shared" si="16"/>
        <v>1.1000000000000001</v>
      </c>
      <c r="AF74" s="13">
        <f t="shared" si="16"/>
        <v>1.1000000000000001</v>
      </c>
      <c r="AG74" s="13">
        <f t="shared" si="16"/>
        <v>1.1000000000000001</v>
      </c>
      <c r="AH74" s="13">
        <f t="shared" si="17"/>
        <v>1.0833333333333333</v>
      </c>
      <c r="AI74" s="13">
        <f t="shared" si="17"/>
        <v>1.0833333333333333</v>
      </c>
      <c r="AJ74" s="13">
        <f t="shared" si="17"/>
        <v>1.0833333333333333</v>
      </c>
      <c r="AK74" s="13"/>
      <c r="AL74" s="13"/>
      <c r="AM74" s="13"/>
      <c r="AN74" s="13"/>
      <c r="AP74" s="2">
        <f t="shared" si="29"/>
        <v>46260</v>
      </c>
      <c r="AQ74">
        <f t="shared" si="30"/>
        <v>35</v>
      </c>
      <c r="AR74" s="18">
        <f>('Raw Data - Production'!D106/100)/60</f>
        <v>7.92</v>
      </c>
      <c r="AS74" s="18">
        <f>('Raw Data - Production'!E106/100)/60</f>
        <v>7.5040000000000004</v>
      </c>
      <c r="AT74" s="18">
        <f>('Raw Data - Production'!G106/50)/60</f>
        <v>5.95</v>
      </c>
      <c r="AU74" s="18">
        <f>('Raw Data - Production'!H106/50)/60</f>
        <v>7.5250000000000004</v>
      </c>
      <c r="AV74" s="18">
        <f>('Raw Data - Production'!I106/50)/60</f>
        <v>0</v>
      </c>
      <c r="AW74" s="18"/>
      <c r="AX74" s="18"/>
      <c r="AY74" s="18"/>
      <c r="AZ74" s="18"/>
    </row>
    <row r="75" spans="1:52" x14ac:dyDescent="0.35">
      <c r="A75" s="2">
        <f t="shared" si="18"/>
        <v>46261</v>
      </c>
      <c r="B75">
        <f t="shared" si="19"/>
        <v>35</v>
      </c>
      <c r="C75" s="13">
        <f t="shared" si="20"/>
        <v>0.87391604938271628</v>
      </c>
      <c r="D75" s="13">
        <f t="shared" si="21"/>
        <v>0.81721942386831281</v>
      </c>
      <c r="E75" s="13">
        <f t="shared" si="22"/>
        <v>0.29838975735304241</v>
      </c>
      <c r="F75" s="13">
        <f t="shared" si="23"/>
        <v>0.34688363054412436</v>
      </c>
      <c r="G75" s="13" t="str">
        <f t="shared" si="24"/>
        <v/>
      </c>
      <c r="H75" s="13" t="str">
        <f t="shared" si="25"/>
        <v/>
      </c>
      <c r="I75" s="13"/>
      <c r="J75" s="13"/>
      <c r="K75" s="13"/>
      <c r="L75" s="13"/>
      <c r="N75" s="2">
        <f>+'Daily Summary Old'!A102</f>
        <v>46261</v>
      </c>
      <c r="O75">
        <f t="shared" si="26"/>
        <v>35</v>
      </c>
      <c r="P75" s="13">
        <f>+IFERROR('Raw Data - Production'!K107/('Raw Data - Production'!D107*Weights!$B$2),"")</f>
        <v>8.0475537265660729E-2</v>
      </c>
      <c r="Q75" s="13">
        <f>+IFERROR('Raw Data - Production'!L107/('Raw Data - Production'!E107*Weights!$B$2),"")</f>
        <v>5.3676865271068172E-2</v>
      </c>
      <c r="R75" s="13">
        <f>+IFERROR('Raw Data - Production'!M107/('Raw Data - Production'!F107*Weights!$B$2),"")</f>
        <v>0.21801065279326148</v>
      </c>
      <c r="S75" s="13">
        <f>+IFERROR('Raw Data - Production'!N107/('Raw Data - Production'!G107*Weights!$B$2),"")</f>
        <v>7.6937069463227911E-2</v>
      </c>
      <c r="T75" s="13" t="str">
        <f>+IFERROR('Raw Data - Production'!O107/('Raw Data - Production'!H107*Weights!$B$2),"")</f>
        <v/>
      </c>
      <c r="U75" s="13" t="str">
        <f>+IFERROR('Raw Data - Production'!P107/('Raw Data - Production'!I107*Weights!$B$2),"")</f>
        <v/>
      </c>
      <c r="V75" s="13"/>
      <c r="W75" s="13"/>
      <c r="X75" s="13"/>
      <c r="Y75" s="13"/>
      <c r="AA75" s="2">
        <f t="shared" si="27"/>
        <v>46261</v>
      </c>
      <c r="AB75" s="11">
        <v>110</v>
      </c>
      <c r="AC75" s="11">
        <v>65</v>
      </c>
      <c r="AD75">
        <f t="shared" si="28"/>
        <v>35</v>
      </c>
      <c r="AE75" s="13">
        <f t="shared" si="16"/>
        <v>1.1000000000000001</v>
      </c>
      <c r="AF75" s="13">
        <f t="shared" si="16"/>
        <v>1.1000000000000001</v>
      </c>
      <c r="AG75" s="13">
        <f t="shared" si="16"/>
        <v>1.1000000000000001</v>
      </c>
      <c r="AH75" s="13">
        <f t="shared" si="17"/>
        <v>1.0833333333333333</v>
      </c>
      <c r="AI75" s="13">
        <f t="shared" si="17"/>
        <v>1.0833333333333333</v>
      </c>
      <c r="AJ75" s="13">
        <f t="shared" si="17"/>
        <v>1.0833333333333333</v>
      </c>
      <c r="AK75" s="13"/>
      <c r="AL75" s="13"/>
      <c r="AM75" s="13"/>
      <c r="AN75" s="13"/>
      <c r="AP75" s="2">
        <f t="shared" si="29"/>
        <v>46261</v>
      </c>
      <c r="AQ75">
        <f t="shared" si="30"/>
        <v>35</v>
      </c>
      <c r="AR75" s="18">
        <f>('Raw Data - Production'!D107/100)/60</f>
        <v>6.48</v>
      </c>
      <c r="AS75" s="18">
        <f>('Raw Data - Production'!E107/100)/60</f>
        <v>5.8879999999999999</v>
      </c>
      <c r="AT75" s="18">
        <f>('Raw Data - Production'!G107/50)/60</f>
        <v>2.6016666666666666</v>
      </c>
      <c r="AU75" s="18">
        <f>('Raw Data - Production'!H107/50)/60</f>
        <v>0</v>
      </c>
      <c r="AV75" s="18">
        <f>('Raw Data - Production'!I107/50)/60</f>
        <v>0</v>
      </c>
      <c r="AW75" s="18"/>
      <c r="AX75" s="18"/>
      <c r="AY75" s="18"/>
      <c r="AZ75" s="18"/>
    </row>
    <row r="76" spans="1:52" x14ac:dyDescent="0.35">
      <c r="A76" s="2">
        <f t="shared" si="18"/>
        <v>46262</v>
      </c>
      <c r="B76">
        <f t="shared" si="19"/>
        <v>35</v>
      </c>
      <c r="C76" s="13" t="str">
        <f t="shared" si="20"/>
        <v/>
      </c>
      <c r="D76" s="13" t="str">
        <f t="shared" si="21"/>
        <v/>
      </c>
      <c r="E76" s="13" t="str">
        <f t="shared" si="22"/>
        <v/>
      </c>
      <c r="F76" s="13" t="str">
        <f t="shared" si="23"/>
        <v/>
      </c>
      <c r="G76" s="13" t="str">
        <f t="shared" si="24"/>
        <v/>
      </c>
      <c r="H76" s="13" t="str">
        <f t="shared" si="25"/>
        <v/>
      </c>
      <c r="I76" s="13"/>
      <c r="J76" s="13"/>
      <c r="K76" s="13"/>
      <c r="L76" s="13"/>
      <c r="N76" s="2">
        <f>+'Daily Summary Old'!A103</f>
        <v>46262</v>
      </c>
      <c r="O76">
        <f t="shared" si="26"/>
        <v>35</v>
      </c>
      <c r="P76" s="13" t="str">
        <f>+IFERROR('Raw Data - Production'!K108/('Raw Data - Production'!D108*Weights!$B$2),"")</f>
        <v/>
      </c>
      <c r="Q76" s="13" t="str">
        <f>+IFERROR('Raw Data - Production'!L108/('Raw Data - Production'!E108*Weights!$B$2),"")</f>
        <v/>
      </c>
      <c r="R76" s="13" t="str">
        <f>+IFERROR('Raw Data - Production'!M108/('Raw Data - Production'!F108*Weights!$B$2),"")</f>
        <v/>
      </c>
      <c r="S76" s="13" t="str">
        <f>+IFERROR('Raw Data - Production'!N108/('Raw Data - Production'!G108*Weights!$B$2),"")</f>
        <v/>
      </c>
      <c r="T76" s="13" t="str">
        <f>+IFERROR('Raw Data - Production'!O108/('Raw Data - Production'!H108*Weights!$B$2),"")</f>
        <v/>
      </c>
      <c r="U76" s="13" t="str">
        <f>+IFERROR('Raw Data - Production'!P108/('Raw Data - Production'!I108*Weights!$B$2),"")</f>
        <v/>
      </c>
      <c r="V76" s="13"/>
      <c r="W76" s="13"/>
      <c r="X76" s="13"/>
      <c r="Y76" s="13"/>
      <c r="AA76" s="2">
        <f t="shared" si="27"/>
        <v>46262</v>
      </c>
      <c r="AD76">
        <f t="shared" si="28"/>
        <v>35</v>
      </c>
      <c r="AE76" s="13">
        <f t="shared" si="16"/>
        <v>0</v>
      </c>
      <c r="AF76" s="13">
        <f t="shared" si="16"/>
        <v>0</v>
      </c>
      <c r="AG76" s="13">
        <f t="shared" si="16"/>
        <v>0</v>
      </c>
      <c r="AH76" s="13">
        <f t="shared" si="17"/>
        <v>0</v>
      </c>
      <c r="AI76" s="13">
        <f t="shared" si="17"/>
        <v>0</v>
      </c>
      <c r="AJ76" s="13">
        <f t="shared" si="17"/>
        <v>0</v>
      </c>
      <c r="AK76" s="13"/>
      <c r="AL76" s="13"/>
      <c r="AM76" s="13"/>
      <c r="AN76" s="13"/>
      <c r="AP76" s="2">
        <f t="shared" si="29"/>
        <v>46262</v>
      </c>
      <c r="AQ76">
        <f t="shared" si="30"/>
        <v>35</v>
      </c>
      <c r="AR76" s="18">
        <f>('Raw Data - Production'!D108/100)/60</f>
        <v>0</v>
      </c>
      <c r="AS76" s="18">
        <f>('Raw Data - Production'!E108/100)/60</f>
        <v>0</v>
      </c>
      <c r="AT76" s="18">
        <f>('Raw Data - Production'!G108/50)/60</f>
        <v>0</v>
      </c>
      <c r="AU76" s="18">
        <f>('Raw Data - Production'!H108/50)/60</f>
        <v>0</v>
      </c>
      <c r="AV76" s="18">
        <f>('Raw Data - Production'!I108/50)/60</f>
        <v>0</v>
      </c>
      <c r="AW76" s="18"/>
      <c r="AX76" s="18"/>
      <c r="AY76" s="18"/>
      <c r="AZ76" s="18"/>
    </row>
    <row r="77" spans="1:52" x14ac:dyDescent="0.35">
      <c r="A77" s="2">
        <f t="shared" si="18"/>
        <v>46265</v>
      </c>
      <c r="B77">
        <f t="shared" si="19"/>
        <v>36</v>
      </c>
      <c r="C77" s="13">
        <f t="shared" si="20"/>
        <v>0</v>
      </c>
      <c r="D77" s="13">
        <f t="shared" si="21"/>
        <v>0</v>
      </c>
      <c r="E77" s="13">
        <f t="shared" si="22"/>
        <v>0</v>
      </c>
      <c r="F77" s="13">
        <f t="shared" si="23"/>
        <v>0</v>
      </c>
      <c r="G77" s="13">
        <f t="shared" si="24"/>
        <v>0</v>
      </c>
      <c r="H77" s="13" t="str">
        <f t="shared" si="25"/>
        <v/>
      </c>
      <c r="I77" s="13"/>
      <c r="J77" s="13"/>
      <c r="K77" s="13"/>
      <c r="L77" s="13"/>
      <c r="N77" s="2">
        <f>+'Daily Summary Old'!A104</f>
        <v>46265</v>
      </c>
      <c r="O77">
        <f t="shared" si="26"/>
        <v>36</v>
      </c>
      <c r="P77" s="13">
        <f>+IFERROR('Raw Data - Production'!K109/('Raw Data - Production'!D109*Weights!$B$2),"")</f>
        <v>5.0937044995950316E-2</v>
      </c>
      <c r="Q77" s="13">
        <f>+IFERROR('Raw Data - Production'!L109/('Raw Data - Production'!E109*Weights!$B$2),"")</f>
        <v>6.8038408779149517E-2</v>
      </c>
      <c r="R77" s="13">
        <f>+IFERROR('Raw Data - Production'!M109/('Raw Data - Production'!F109*Weights!$B$2),"")</f>
        <v>4.1572184429327287E-2</v>
      </c>
      <c r="S77" s="13">
        <f>+IFERROR('Raw Data - Production'!N109/('Raw Data - Production'!G109*Weights!$B$2),"")</f>
        <v>9.5887998372761615E-2</v>
      </c>
      <c r="T77" s="13">
        <f>+IFERROR('Raw Data - Production'!O109/('Raw Data - Production'!H109*Weights!$B$2),"")</f>
        <v>9.4658186161454133E-2</v>
      </c>
      <c r="U77" s="13" t="str">
        <f>+IFERROR('Raw Data - Production'!P109/('Raw Data - Production'!I109*Weights!$B$2),"")</f>
        <v/>
      </c>
      <c r="V77" s="13"/>
      <c r="W77" s="13"/>
      <c r="X77" s="13"/>
      <c r="Y77" s="13"/>
      <c r="AA77" s="2">
        <f t="shared" si="27"/>
        <v>46265</v>
      </c>
      <c r="AD77">
        <f t="shared" si="28"/>
        <v>36</v>
      </c>
      <c r="AE77" s="13">
        <f t="shared" si="16"/>
        <v>0</v>
      </c>
      <c r="AF77" s="13">
        <f t="shared" si="16"/>
        <v>0</v>
      </c>
      <c r="AG77" s="13">
        <f t="shared" si="16"/>
        <v>0</v>
      </c>
      <c r="AH77" s="13">
        <f t="shared" si="17"/>
        <v>0</v>
      </c>
      <c r="AI77" s="13">
        <f t="shared" si="17"/>
        <v>0</v>
      </c>
      <c r="AJ77" s="13">
        <f t="shared" si="17"/>
        <v>0</v>
      </c>
      <c r="AK77" s="13"/>
      <c r="AL77" s="13"/>
      <c r="AM77" s="13"/>
      <c r="AN77" s="13"/>
      <c r="AP77" s="2">
        <f t="shared" si="29"/>
        <v>46265</v>
      </c>
      <c r="AQ77">
        <f t="shared" si="30"/>
        <v>36</v>
      </c>
      <c r="AR77" s="18">
        <f>('Raw Data - Production'!D109/100)/60</f>
        <v>7.032</v>
      </c>
      <c r="AS77" s="18">
        <f>('Raw Data - Production'!E109/100)/60</f>
        <v>4.8</v>
      </c>
      <c r="AT77" s="18">
        <f>('Raw Data - Production'!G109/50)/60</f>
        <v>8.2949999999999999</v>
      </c>
      <c r="AU77" s="18">
        <f>('Raw Data - Production'!H109/50)/60</f>
        <v>7.7350000000000003</v>
      </c>
      <c r="AV77" s="18">
        <f>('Raw Data - Production'!I109/50)/60</f>
        <v>0</v>
      </c>
      <c r="AW77" s="18"/>
      <c r="AX77" s="18"/>
      <c r="AY77" s="18"/>
      <c r="AZ77" s="18"/>
    </row>
    <row r="78" spans="1:52" x14ac:dyDescent="0.35">
      <c r="A78" s="2">
        <f t="shared" si="18"/>
        <v>46266</v>
      </c>
      <c r="B78">
        <f t="shared" si="19"/>
        <v>36</v>
      </c>
      <c r="C78" s="13">
        <f t="shared" si="20"/>
        <v>0</v>
      </c>
      <c r="D78" s="13">
        <f t="shared" si="21"/>
        <v>0</v>
      </c>
      <c r="E78" s="13">
        <f t="shared" si="22"/>
        <v>0</v>
      </c>
      <c r="F78" s="13">
        <f t="shared" si="23"/>
        <v>0</v>
      </c>
      <c r="G78" s="13">
        <f t="shared" si="24"/>
        <v>0</v>
      </c>
      <c r="H78" s="13">
        <f t="shared" si="25"/>
        <v>0</v>
      </c>
      <c r="I78" s="13"/>
      <c r="J78" s="13"/>
      <c r="K78" s="13"/>
      <c r="L78" s="13"/>
      <c r="N78" s="2">
        <f>+'Daily Summary Old'!A105</f>
        <v>46266</v>
      </c>
      <c r="O78">
        <f t="shared" si="26"/>
        <v>36</v>
      </c>
      <c r="P78" s="13">
        <f>+IFERROR('Raw Data - Production'!K110/('Raw Data - Production'!D110*Weights!$B$2),"")</f>
        <v>0.12110679367577702</v>
      </c>
      <c r="Q78" s="13">
        <f>+IFERROR('Raw Data - Production'!L110/('Raw Data - Production'!E110*Weights!$B$2),"")</f>
        <v>2.0576131687242798E-2</v>
      </c>
      <c r="R78" s="13">
        <f>+IFERROR('Raw Data - Production'!M110/('Raw Data - Production'!F110*Weights!$B$2),"")</f>
        <v>0.12323434545656768</v>
      </c>
      <c r="S78" s="13">
        <f>+IFERROR('Raw Data - Production'!N110/('Raw Data - Production'!G110*Weights!$B$2),"")</f>
        <v>0.69484608163153083</v>
      </c>
      <c r="T78" s="13">
        <f>+IFERROR('Raw Data - Production'!O110/('Raw Data - Production'!H110*Weights!$B$2),"")</f>
        <v>1.4649076192016512</v>
      </c>
      <c r="U78" s="13">
        <f>+IFERROR('Raw Data - Production'!P110/('Raw Data - Production'!I110*Weights!$B$2),"")</f>
        <v>1.9684260334666839</v>
      </c>
      <c r="V78" s="13"/>
      <c r="W78" s="13"/>
      <c r="X78" s="13"/>
      <c r="Y78" s="13"/>
      <c r="AA78" s="2">
        <f t="shared" si="27"/>
        <v>46266</v>
      </c>
      <c r="AD78">
        <f t="shared" si="28"/>
        <v>36</v>
      </c>
      <c r="AE78" s="13">
        <f t="shared" si="16"/>
        <v>0</v>
      </c>
      <c r="AF78" s="13">
        <f t="shared" si="16"/>
        <v>0</v>
      </c>
      <c r="AG78" s="13">
        <f t="shared" si="16"/>
        <v>0</v>
      </c>
      <c r="AH78" s="13">
        <f t="shared" si="17"/>
        <v>0</v>
      </c>
      <c r="AI78" s="13">
        <f t="shared" si="17"/>
        <v>0</v>
      </c>
      <c r="AJ78" s="13">
        <f t="shared" si="17"/>
        <v>0</v>
      </c>
      <c r="AK78" s="13"/>
      <c r="AL78" s="13"/>
      <c r="AM78" s="13"/>
      <c r="AN78" s="13"/>
      <c r="AP78" s="2">
        <f t="shared" si="29"/>
        <v>46266</v>
      </c>
      <c r="AQ78">
        <f t="shared" si="30"/>
        <v>36</v>
      </c>
      <c r="AR78" s="18">
        <f>('Raw Data - Production'!D110/100)/60</f>
        <v>6.024</v>
      </c>
      <c r="AS78" s="18">
        <f>('Raw Data - Production'!E110/100)/60</f>
        <v>7.6800000000000006</v>
      </c>
      <c r="AT78" s="18">
        <f>('Raw Data - Production'!G110/50)/60</f>
        <v>5.2383333333333333</v>
      </c>
      <c r="AU78" s="18">
        <f>('Raw Data - Production'!H110/50)/60</f>
        <v>2.6716666666666669</v>
      </c>
      <c r="AV78" s="18">
        <f>('Raw Data - Production'!I110/50)/60</f>
        <v>1.9133333333333333</v>
      </c>
      <c r="AW78" s="18"/>
      <c r="AX78" s="18"/>
      <c r="AY78" s="18"/>
      <c r="AZ78" s="18"/>
    </row>
    <row r="79" spans="1:52" x14ac:dyDescent="0.35">
      <c r="A79" s="2">
        <f t="shared" si="18"/>
        <v>46267</v>
      </c>
      <c r="B79">
        <f t="shared" si="19"/>
        <v>36</v>
      </c>
      <c r="C79" s="13">
        <f t="shared" si="20"/>
        <v>0</v>
      </c>
      <c r="D79" s="13">
        <f t="shared" si="21"/>
        <v>0</v>
      </c>
      <c r="E79" s="13">
        <f t="shared" si="22"/>
        <v>0</v>
      </c>
      <c r="F79" s="13">
        <f t="shared" si="23"/>
        <v>0</v>
      </c>
      <c r="G79" s="13" t="str">
        <f t="shared" si="24"/>
        <v/>
      </c>
      <c r="H79" s="13" t="str">
        <f t="shared" si="25"/>
        <v/>
      </c>
      <c r="I79" s="13"/>
      <c r="J79" s="13"/>
      <c r="K79" s="13"/>
      <c r="L79" s="13"/>
      <c r="N79" s="2">
        <f>+'Daily Summary Old'!A106</f>
        <v>46267</v>
      </c>
      <c r="O79">
        <f t="shared" si="26"/>
        <v>36</v>
      </c>
      <c r="P79" s="13">
        <f>+IFERROR('Raw Data - Production'!K111/('Raw Data - Production'!D111*Weights!$B$2),"")</f>
        <v>0.63100137174211246</v>
      </c>
      <c r="Q79" s="13">
        <f>+IFERROR('Raw Data - Production'!L111/('Raw Data - Production'!E111*Weights!$B$2),"")</f>
        <v>0.100960219478738</v>
      </c>
      <c r="R79" s="13">
        <f>+IFERROR('Raw Data - Production'!M111/('Raw Data - Production'!F111*Weights!$B$2),"")</f>
        <v>8.9207487056949419E-2</v>
      </c>
      <c r="S79" s="13">
        <f>+IFERROR('Raw Data - Production'!N111/('Raw Data - Production'!G111*Weights!$B$2),"")</f>
        <v>0</v>
      </c>
      <c r="T79" s="13" t="str">
        <f>+IFERROR('Raw Data - Production'!O111/('Raw Data - Production'!H111*Weights!$B$2),"")</f>
        <v/>
      </c>
      <c r="U79" s="13" t="str">
        <f>+IFERROR('Raw Data - Production'!P111/('Raw Data - Production'!I111*Weights!$B$2),"")</f>
        <v/>
      </c>
      <c r="V79" s="13"/>
      <c r="W79" s="13"/>
      <c r="X79" s="13"/>
      <c r="Y79" s="13"/>
      <c r="AA79" s="2">
        <f t="shared" si="27"/>
        <v>46267</v>
      </c>
      <c r="AD79">
        <f t="shared" si="28"/>
        <v>36</v>
      </c>
      <c r="AE79" s="13">
        <f t="shared" si="16"/>
        <v>0</v>
      </c>
      <c r="AF79" s="13">
        <f t="shared" si="16"/>
        <v>0</v>
      </c>
      <c r="AG79" s="13">
        <f t="shared" si="16"/>
        <v>0</v>
      </c>
      <c r="AH79" s="13">
        <f t="shared" si="17"/>
        <v>0</v>
      </c>
      <c r="AI79" s="13">
        <f t="shared" si="17"/>
        <v>0</v>
      </c>
      <c r="AJ79" s="13">
        <f t="shared" si="17"/>
        <v>0</v>
      </c>
      <c r="AK79" s="13"/>
      <c r="AL79" s="13"/>
      <c r="AM79" s="13"/>
      <c r="AN79" s="13"/>
      <c r="AP79" s="2">
        <f t="shared" si="29"/>
        <v>46267</v>
      </c>
      <c r="AQ79">
        <f t="shared" si="30"/>
        <v>36</v>
      </c>
      <c r="AR79" s="18">
        <f>('Raw Data - Production'!D111/100)/60</f>
        <v>1.9200000000000002</v>
      </c>
      <c r="AS79" s="18">
        <f>('Raw Data - Production'!E111/100)/60</f>
        <v>2.4</v>
      </c>
      <c r="AT79" s="18">
        <f>('Raw Data - Production'!G111/50)/60</f>
        <v>0.66499999999999992</v>
      </c>
      <c r="AU79" s="18">
        <f>('Raw Data - Production'!H111/50)/60</f>
        <v>0</v>
      </c>
      <c r="AV79" s="18">
        <f>('Raw Data - Production'!I111/50)/60</f>
        <v>0</v>
      </c>
      <c r="AW79" s="18"/>
      <c r="AX79" s="18"/>
      <c r="AY79" s="18"/>
      <c r="AZ79" s="18"/>
    </row>
    <row r="80" spans="1:52" x14ac:dyDescent="0.35">
      <c r="A80" s="2">
        <f t="shared" si="18"/>
        <v>46268</v>
      </c>
      <c r="B80">
        <f t="shared" si="19"/>
        <v>36</v>
      </c>
      <c r="C80" s="13">
        <f t="shared" si="20"/>
        <v>0</v>
      </c>
      <c r="D80" s="13">
        <f t="shared" si="21"/>
        <v>0</v>
      </c>
      <c r="E80" s="13">
        <f t="shared" si="22"/>
        <v>0</v>
      </c>
      <c r="F80" s="13" t="str">
        <f t="shared" si="23"/>
        <v/>
      </c>
      <c r="G80" s="13" t="str">
        <f t="shared" si="24"/>
        <v/>
      </c>
      <c r="H80" s="13" t="str">
        <f t="shared" si="25"/>
        <v/>
      </c>
      <c r="I80" s="13"/>
      <c r="J80" s="13"/>
      <c r="K80" s="13"/>
      <c r="L80" s="13"/>
      <c r="N80" s="2">
        <f>+'Daily Summary Old'!A107</f>
        <v>46268</v>
      </c>
      <c r="O80">
        <f t="shared" si="26"/>
        <v>36</v>
      </c>
      <c r="P80" s="13">
        <f>+IFERROR('Raw Data - Production'!K112/('Raw Data - Production'!D112*Weights!$B$2),"")</f>
        <v>8.6281567763049238E-2</v>
      </c>
      <c r="Q80" s="13">
        <f>+IFERROR('Raw Data - Production'!L112/('Raw Data - Production'!E112*Weights!$B$2),"")</f>
        <v>6.4411144386008951E-2</v>
      </c>
      <c r="R80" s="13">
        <f>+IFERROR('Raw Data - Production'!M112/('Raw Data - Production'!F112*Weights!$B$2),"")</f>
        <v>7.2407347445072809E-2</v>
      </c>
      <c r="S80" s="13" t="str">
        <f>+IFERROR('Raw Data - Production'!N112/('Raw Data - Production'!G112*Weights!$B$2),"")</f>
        <v/>
      </c>
      <c r="T80" s="13" t="str">
        <f>+IFERROR('Raw Data - Production'!O112/('Raw Data - Production'!H112*Weights!$B$2),"")</f>
        <v/>
      </c>
      <c r="U80" s="13" t="str">
        <f>+IFERROR('Raw Data - Production'!P112/('Raw Data - Production'!I112*Weights!$B$2),"")</f>
        <v/>
      </c>
      <c r="V80" s="13"/>
      <c r="W80" s="13"/>
      <c r="X80" s="13"/>
      <c r="Y80" s="13"/>
      <c r="AA80" s="2">
        <f t="shared" si="27"/>
        <v>46268</v>
      </c>
      <c r="AD80">
        <f t="shared" si="28"/>
        <v>36</v>
      </c>
      <c r="AE80" s="13">
        <f t="shared" si="16"/>
        <v>0</v>
      </c>
      <c r="AF80" s="13">
        <f t="shared" si="16"/>
        <v>0</v>
      </c>
      <c r="AG80" s="13">
        <f t="shared" si="16"/>
        <v>0</v>
      </c>
      <c r="AH80" s="13">
        <f t="shared" si="17"/>
        <v>0</v>
      </c>
      <c r="AI80" s="13">
        <f t="shared" si="17"/>
        <v>0</v>
      </c>
      <c r="AJ80" s="13">
        <f t="shared" si="17"/>
        <v>0</v>
      </c>
      <c r="AK80" s="13"/>
      <c r="AL80" s="13"/>
      <c r="AM80" s="13"/>
      <c r="AN80" s="13"/>
      <c r="AP80" s="2">
        <f t="shared" si="29"/>
        <v>46268</v>
      </c>
      <c r="AQ80">
        <f t="shared" si="30"/>
        <v>36</v>
      </c>
      <c r="AR80" s="18">
        <f>('Raw Data - Production'!D112/100)/60</f>
        <v>9.1575000000000006</v>
      </c>
      <c r="AS80" s="18">
        <f>('Raw Data - Production'!E112/100)/60</f>
        <v>9.8134999999999994</v>
      </c>
      <c r="AT80" s="18">
        <f>('Raw Data - Production'!G112/50)/60</f>
        <v>0</v>
      </c>
      <c r="AU80" s="18">
        <f>('Raw Data - Production'!H112/50)/60</f>
        <v>0</v>
      </c>
      <c r="AV80" s="18">
        <f>('Raw Data - Production'!I112/50)/60</f>
        <v>0</v>
      </c>
      <c r="AW80" s="18"/>
      <c r="AX80" s="18"/>
      <c r="AY80" s="18"/>
      <c r="AZ80" s="18"/>
    </row>
    <row r="81" spans="1:52" x14ac:dyDescent="0.35">
      <c r="A81" s="2">
        <f t="shared" si="18"/>
        <v>46269</v>
      </c>
      <c r="B81">
        <f t="shared" si="19"/>
        <v>36</v>
      </c>
      <c r="C81" s="13" t="str">
        <f t="shared" si="20"/>
        <v/>
      </c>
      <c r="D81" s="13" t="str">
        <f t="shared" si="21"/>
        <v/>
      </c>
      <c r="E81" s="13" t="str">
        <f t="shared" si="22"/>
        <v/>
      </c>
      <c r="F81" s="13" t="str">
        <f t="shared" si="23"/>
        <v/>
      </c>
      <c r="G81" s="13" t="str">
        <f t="shared" si="24"/>
        <v/>
      </c>
      <c r="H81" s="13" t="str">
        <f t="shared" si="25"/>
        <v/>
      </c>
      <c r="I81" s="13"/>
      <c r="J81" s="13"/>
      <c r="K81" s="13"/>
      <c r="L81" s="13"/>
      <c r="N81" s="2">
        <f>+'Daily Summary Old'!A108</f>
        <v>46269</v>
      </c>
      <c r="O81">
        <f t="shared" si="26"/>
        <v>36</v>
      </c>
      <c r="P81" s="13" t="str">
        <f>+IFERROR('Raw Data - Production'!K113/('Raw Data - Production'!D113*Weights!$B$2),"")</f>
        <v/>
      </c>
      <c r="Q81" s="13" t="str">
        <f>+IFERROR('Raw Data - Production'!L113/('Raw Data - Production'!E113*Weights!$B$2),"")</f>
        <v/>
      </c>
      <c r="R81" s="13" t="str">
        <f>+IFERROR('Raw Data - Production'!M113/('Raw Data - Production'!F113*Weights!$B$2),"")</f>
        <v/>
      </c>
      <c r="S81" s="13" t="str">
        <f>+IFERROR('Raw Data - Production'!N113/('Raw Data - Production'!G113*Weights!$B$2),"")</f>
        <v/>
      </c>
      <c r="T81" s="13" t="str">
        <f>+IFERROR('Raw Data - Production'!O113/('Raw Data - Production'!H113*Weights!$B$2),"")</f>
        <v/>
      </c>
      <c r="U81" s="13" t="str">
        <f>+IFERROR('Raw Data - Production'!P113/('Raw Data - Production'!I113*Weights!$B$2),"")</f>
        <v/>
      </c>
      <c r="V81" s="13"/>
      <c r="W81" s="13"/>
      <c r="X81" s="13"/>
      <c r="Y81" s="13"/>
      <c r="AA81" s="2">
        <f t="shared" si="27"/>
        <v>46269</v>
      </c>
      <c r="AD81">
        <f t="shared" si="28"/>
        <v>36</v>
      </c>
      <c r="AE81" s="13">
        <f t="shared" si="16"/>
        <v>0</v>
      </c>
      <c r="AF81" s="13">
        <f t="shared" si="16"/>
        <v>0</v>
      </c>
      <c r="AG81" s="13">
        <f t="shared" si="16"/>
        <v>0</v>
      </c>
      <c r="AH81" s="13">
        <f t="shared" si="17"/>
        <v>0</v>
      </c>
      <c r="AI81" s="13">
        <f t="shared" si="17"/>
        <v>0</v>
      </c>
      <c r="AJ81" s="13">
        <f t="shared" si="17"/>
        <v>0</v>
      </c>
      <c r="AK81" s="13"/>
      <c r="AL81" s="13"/>
      <c r="AM81" s="13"/>
      <c r="AN81" s="13"/>
      <c r="AP81" s="2">
        <f t="shared" si="29"/>
        <v>46269</v>
      </c>
      <c r="AQ81">
        <f t="shared" si="30"/>
        <v>36</v>
      </c>
      <c r="AR81" s="18">
        <f>('Raw Data - Production'!D113/100)/60</f>
        <v>0</v>
      </c>
      <c r="AS81" s="18">
        <f>('Raw Data - Production'!E113/100)/60</f>
        <v>0</v>
      </c>
      <c r="AT81" s="18">
        <f>('Raw Data - Production'!G113/50)/60</f>
        <v>0</v>
      </c>
      <c r="AU81" s="18">
        <f>('Raw Data - Production'!H113/50)/60</f>
        <v>0</v>
      </c>
      <c r="AV81" s="18">
        <f>('Raw Data - Production'!I113/50)/60</f>
        <v>0</v>
      </c>
      <c r="AW81" s="18"/>
      <c r="AX81" s="18"/>
      <c r="AY81" s="18"/>
      <c r="AZ81" s="18"/>
    </row>
    <row r="82" spans="1:52" x14ac:dyDescent="0.35">
      <c r="A82" s="2">
        <f t="shared" si="18"/>
        <v>46273</v>
      </c>
      <c r="B82">
        <f t="shared" si="19"/>
        <v>37</v>
      </c>
      <c r="C82" s="13" t="str">
        <f t="shared" si="20"/>
        <v/>
      </c>
      <c r="D82" s="13" t="str">
        <f t="shared" si="21"/>
        <v/>
      </c>
      <c r="E82" s="13" t="str">
        <f t="shared" si="22"/>
        <v/>
      </c>
      <c r="F82" s="13" t="str">
        <f t="shared" si="23"/>
        <v/>
      </c>
      <c r="G82" s="13" t="str">
        <f t="shared" si="24"/>
        <v/>
      </c>
      <c r="H82" s="13" t="str">
        <f t="shared" si="25"/>
        <v/>
      </c>
      <c r="I82" s="13"/>
      <c r="J82" s="13"/>
      <c r="K82" s="13"/>
      <c r="L82" s="13"/>
      <c r="N82" s="2">
        <f>+'Daily Summary Old'!A109</f>
        <v>46273</v>
      </c>
      <c r="O82">
        <f t="shared" si="26"/>
        <v>37</v>
      </c>
      <c r="P82" s="13" t="str">
        <f>+IFERROR('Raw Data - Production'!K114/('Raw Data - Production'!D114*Weights!$B$2),"")</f>
        <v/>
      </c>
      <c r="Q82" s="13" t="str">
        <f>+IFERROR('Raw Data - Production'!L114/('Raw Data - Production'!E114*Weights!$B$2),"")</f>
        <v/>
      </c>
      <c r="R82" s="13" t="str">
        <f>+IFERROR('Raw Data - Production'!M114/('Raw Data - Production'!F114*Weights!$B$2),"")</f>
        <v/>
      </c>
      <c r="S82" s="13" t="str">
        <f>+IFERROR('Raw Data - Production'!N114/('Raw Data - Production'!G114*Weights!$B$2),"")</f>
        <v/>
      </c>
      <c r="T82" s="13" t="str">
        <f>+IFERROR('Raw Data - Production'!O114/('Raw Data - Production'!H114*Weights!$B$2),"")</f>
        <v/>
      </c>
      <c r="U82" s="13" t="str">
        <f>+IFERROR('Raw Data - Production'!P114/('Raw Data - Production'!I114*Weights!$B$2),"")</f>
        <v/>
      </c>
      <c r="V82" s="13"/>
      <c r="W82" s="13"/>
      <c r="X82" s="13"/>
      <c r="Y82" s="13"/>
      <c r="AA82" s="2">
        <f t="shared" si="27"/>
        <v>46273</v>
      </c>
      <c r="AD82">
        <f t="shared" si="28"/>
        <v>37</v>
      </c>
      <c r="AE82" s="13">
        <f t="shared" si="16"/>
        <v>0</v>
      </c>
      <c r="AF82" s="13">
        <f t="shared" si="16"/>
        <v>0</v>
      </c>
      <c r="AG82" s="13">
        <f t="shared" si="16"/>
        <v>0</v>
      </c>
      <c r="AH82" s="13">
        <f t="shared" si="17"/>
        <v>0</v>
      </c>
      <c r="AI82" s="13">
        <f t="shared" si="17"/>
        <v>0</v>
      </c>
      <c r="AJ82" s="13">
        <f t="shared" si="17"/>
        <v>0</v>
      </c>
      <c r="AK82" s="13"/>
      <c r="AL82" s="13"/>
      <c r="AM82" s="13"/>
      <c r="AN82" s="13"/>
      <c r="AP82" s="2">
        <f t="shared" si="29"/>
        <v>46273</v>
      </c>
      <c r="AQ82">
        <f t="shared" si="30"/>
        <v>37</v>
      </c>
      <c r="AR82" s="18">
        <f>('Raw Data - Production'!D114/100)/60</f>
        <v>0</v>
      </c>
      <c r="AS82" s="18">
        <f>('Raw Data - Production'!E114/100)/60</f>
        <v>0</v>
      </c>
      <c r="AT82" s="18">
        <f>('Raw Data - Production'!G114/50)/60</f>
        <v>0</v>
      </c>
      <c r="AU82" s="18">
        <f>('Raw Data - Production'!H114/50)/60</f>
        <v>0</v>
      </c>
      <c r="AV82" s="18">
        <f>('Raw Data - Production'!I114/50)/60</f>
        <v>0</v>
      </c>
      <c r="AW82" s="18"/>
      <c r="AX82" s="18"/>
      <c r="AY82" s="18"/>
      <c r="AZ82" s="18"/>
    </row>
    <row r="83" spans="1:52" x14ac:dyDescent="0.35">
      <c r="A83" s="2">
        <f t="shared" si="18"/>
        <v>46274</v>
      </c>
      <c r="B83">
        <f t="shared" si="19"/>
        <v>37</v>
      </c>
      <c r="C83" s="13" t="str">
        <f t="shared" si="20"/>
        <v/>
      </c>
      <c r="D83" s="13" t="str">
        <f t="shared" si="21"/>
        <v/>
      </c>
      <c r="E83" s="13" t="str">
        <f t="shared" si="22"/>
        <v/>
      </c>
      <c r="F83" s="13" t="str">
        <f t="shared" si="23"/>
        <v/>
      </c>
      <c r="G83" s="13" t="str">
        <f t="shared" si="24"/>
        <v/>
      </c>
      <c r="H83" s="13" t="str">
        <f t="shared" si="25"/>
        <v/>
      </c>
      <c r="I83" s="13"/>
      <c r="J83" s="13"/>
      <c r="K83" s="13"/>
      <c r="L83" s="13"/>
      <c r="N83" s="2">
        <f>+'Daily Summary Old'!A110</f>
        <v>46274</v>
      </c>
      <c r="O83">
        <f t="shared" si="26"/>
        <v>37</v>
      </c>
      <c r="P83" s="13" t="str">
        <f>+IFERROR('Raw Data - Production'!K115/('Raw Data - Production'!D115*Weights!$B$2),"")</f>
        <v/>
      </c>
      <c r="Q83" s="13" t="str">
        <f>+IFERROR('Raw Data - Production'!L115/('Raw Data - Production'!E115*Weights!$B$2),"")</f>
        <v/>
      </c>
      <c r="R83" s="13" t="str">
        <f>+IFERROR('Raw Data - Production'!M115/('Raw Data - Production'!F115*Weights!$B$2),"")</f>
        <v/>
      </c>
      <c r="S83" s="13" t="str">
        <f>+IFERROR('Raw Data - Production'!N115/('Raw Data - Production'!G115*Weights!$B$2),"")</f>
        <v/>
      </c>
      <c r="T83" s="13" t="str">
        <f>+IFERROR('Raw Data - Production'!O115/('Raw Data - Production'!H115*Weights!$B$2),"")</f>
        <v/>
      </c>
      <c r="U83" s="13" t="str">
        <f>+IFERROR('Raw Data - Production'!P115/('Raw Data - Production'!I115*Weights!$B$2),"")</f>
        <v/>
      </c>
      <c r="V83" s="13"/>
      <c r="W83" s="13"/>
      <c r="X83" s="13"/>
      <c r="Y83" s="13"/>
      <c r="AA83" s="2">
        <f t="shared" si="27"/>
        <v>46274</v>
      </c>
      <c r="AD83">
        <f t="shared" si="28"/>
        <v>37</v>
      </c>
      <c r="AE83" s="13">
        <f t="shared" si="16"/>
        <v>0</v>
      </c>
      <c r="AF83" s="13">
        <f t="shared" si="16"/>
        <v>0</v>
      </c>
      <c r="AG83" s="13">
        <f t="shared" si="16"/>
        <v>0</v>
      </c>
      <c r="AH83" s="13">
        <f t="shared" si="17"/>
        <v>0</v>
      </c>
      <c r="AI83" s="13">
        <f t="shared" si="17"/>
        <v>0</v>
      </c>
      <c r="AJ83" s="13">
        <f t="shared" si="17"/>
        <v>0</v>
      </c>
      <c r="AK83" s="13"/>
      <c r="AL83" s="13"/>
      <c r="AM83" s="13"/>
      <c r="AN83" s="13"/>
      <c r="AP83" s="2">
        <f t="shared" si="29"/>
        <v>46274</v>
      </c>
      <c r="AQ83">
        <f t="shared" si="30"/>
        <v>37</v>
      </c>
      <c r="AR83" s="18">
        <f>('Raw Data - Production'!D115/100)/60</f>
        <v>0</v>
      </c>
      <c r="AS83" s="18">
        <f>('Raw Data - Production'!E115/100)/60</f>
        <v>0</v>
      </c>
      <c r="AT83" s="18">
        <f>('Raw Data - Production'!G115/50)/60</f>
        <v>0</v>
      </c>
      <c r="AU83" s="18">
        <f>('Raw Data - Production'!H115/50)/60</f>
        <v>0</v>
      </c>
      <c r="AV83" s="18">
        <f>('Raw Data - Production'!I115/50)/60</f>
        <v>0</v>
      </c>
      <c r="AW83" s="18"/>
      <c r="AX83" s="18"/>
      <c r="AY83" s="18"/>
      <c r="AZ83" s="18"/>
    </row>
    <row r="84" spans="1:52" x14ac:dyDescent="0.35">
      <c r="A84" s="2">
        <f t="shared" si="18"/>
        <v>46275</v>
      </c>
      <c r="B84">
        <f t="shared" si="19"/>
        <v>37</v>
      </c>
      <c r="C84" s="13" t="str">
        <f t="shared" si="20"/>
        <v/>
      </c>
      <c r="D84" s="13" t="str">
        <f t="shared" si="21"/>
        <v/>
      </c>
      <c r="E84" s="13" t="str">
        <f t="shared" si="22"/>
        <v/>
      </c>
      <c r="F84" s="13" t="str">
        <f t="shared" si="23"/>
        <v/>
      </c>
      <c r="G84" s="13" t="str">
        <f t="shared" si="24"/>
        <v/>
      </c>
      <c r="H84" s="13" t="str">
        <f t="shared" si="25"/>
        <v/>
      </c>
      <c r="I84" s="13"/>
      <c r="J84" s="13"/>
      <c r="K84" s="13"/>
      <c r="L84" s="13"/>
      <c r="N84" s="2">
        <f>+'Daily Summary Old'!A111</f>
        <v>46275</v>
      </c>
      <c r="O84">
        <f t="shared" si="26"/>
        <v>37</v>
      </c>
      <c r="P84" s="13" t="str">
        <f>+IFERROR('Raw Data - Production'!K116/('Raw Data - Production'!D116*Weights!$B$2),"")</f>
        <v/>
      </c>
      <c r="Q84" s="13" t="str">
        <f>+IFERROR('Raw Data - Production'!L116/('Raw Data - Production'!E116*Weights!$B$2),"")</f>
        <v/>
      </c>
      <c r="R84" s="13" t="str">
        <f>+IFERROR('Raw Data - Production'!M116/('Raw Data - Production'!F116*Weights!$B$2),"")</f>
        <v/>
      </c>
      <c r="S84" s="13" t="str">
        <f>+IFERROR('Raw Data - Production'!N116/('Raw Data - Production'!G116*Weights!$B$2),"")</f>
        <v/>
      </c>
      <c r="T84" s="13" t="str">
        <f>+IFERROR('Raw Data - Production'!O116/('Raw Data - Production'!H116*Weights!$B$2),"")</f>
        <v/>
      </c>
      <c r="U84" s="13" t="str">
        <f>+IFERROR('Raw Data - Production'!P116/('Raw Data - Production'!I116*Weights!$B$2),"")</f>
        <v/>
      </c>
      <c r="V84" s="13"/>
      <c r="W84" s="13"/>
      <c r="X84" s="13"/>
      <c r="Y84" s="13"/>
      <c r="AA84" s="2">
        <f t="shared" si="27"/>
        <v>46275</v>
      </c>
      <c r="AD84">
        <f t="shared" si="28"/>
        <v>37</v>
      </c>
      <c r="AE84" s="13">
        <f t="shared" si="16"/>
        <v>0</v>
      </c>
      <c r="AF84" s="13">
        <f t="shared" si="16"/>
        <v>0</v>
      </c>
      <c r="AG84" s="13">
        <f t="shared" si="16"/>
        <v>0</v>
      </c>
      <c r="AH84" s="13">
        <f t="shared" si="17"/>
        <v>0</v>
      </c>
      <c r="AI84" s="13">
        <f t="shared" si="17"/>
        <v>0</v>
      </c>
      <c r="AJ84" s="13">
        <f t="shared" si="17"/>
        <v>0</v>
      </c>
      <c r="AK84" s="13"/>
      <c r="AL84" s="13"/>
      <c r="AM84" s="13"/>
      <c r="AN84" s="13"/>
      <c r="AP84" s="2">
        <f t="shared" si="29"/>
        <v>46275</v>
      </c>
      <c r="AQ84">
        <f t="shared" si="30"/>
        <v>37</v>
      </c>
      <c r="AR84" s="18">
        <f>('Raw Data - Production'!D116/100)/60</f>
        <v>0</v>
      </c>
      <c r="AS84" s="18">
        <f>('Raw Data - Production'!E116/100)/60</f>
        <v>0</v>
      </c>
      <c r="AT84" s="18">
        <f>('Raw Data - Production'!G116/50)/60</f>
        <v>0</v>
      </c>
      <c r="AU84" s="18">
        <f>('Raw Data - Production'!H116/50)/60</f>
        <v>0</v>
      </c>
      <c r="AV84" s="18">
        <f>('Raw Data - Production'!I116/50)/60</f>
        <v>0</v>
      </c>
      <c r="AW84" s="18"/>
      <c r="AX84" s="18"/>
      <c r="AY84" s="18"/>
      <c r="AZ84" s="18"/>
    </row>
    <row r="85" spans="1:52" x14ac:dyDescent="0.35">
      <c r="A85" s="2">
        <f t="shared" si="18"/>
        <v>46276</v>
      </c>
      <c r="B85">
        <f t="shared" si="19"/>
        <v>37</v>
      </c>
      <c r="C85" s="13" t="str">
        <f t="shared" si="20"/>
        <v/>
      </c>
      <c r="D85" s="13" t="str">
        <f t="shared" si="21"/>
        <v/>
      </c>
      <c r="E85" s="13" t="str">
        <f t="shared" si="22"/>
        <v/>
      </c>
      <c r="F85" s="13" t="str">
        <f t="shared" si="23"/>
        <v/>
      </c>
      <c r="G85" s="13" t="str">
        <f t="shared" si="24"/>
        <v/>
      </c>
      <c r="H85" s="13" t="str">
        <f t="shared" si="25"/>
        <v/>
      </c>
      <c r="I85" s="13"/>
      <c r="J85" s="13"/>
      <c r="K85" s="13"/>
      <c r="L85" s="13"/>
      <c r="N85" s="2">
        <f>+'Daily Summary Old'!A112</f>
        <v>46276</v>
      </c>
      <c r="O85">
        <f t="shared" si="26"/>
        <v>37</v>
      </c>
      <c r="P85" s="13" t="str">
        <f>+IFERROR('Raw Data - Production'!K117/('Raw Data - Production'!D117*Weights!$B$2),"")</f>
        <v/>
      </c>
      <c r="Q85" s="13" t="str">
        <f>+IFERROR('Raw Data - Production'!L117/('Raw Data - Production'!E117*Weights!$B$2),"")</f>
        <v/>
      </c>
      <c r="R85" s="13" t="str">
        <f>+IFERROR('Raw Data - Production'!M117/('Raw Data - Production'!F117*Weights!$B$2),"")</f>
        <v/>
      </c>
      <c r="S85" s="13" t="str">
        <f>+IFERROR('Raw Data - Production'!N117/('Raw Data - Production'!G117*Weights!$B$2),"")</f>
        <v/>
      </c>
      <c r="T85" s="13" t="str">
        <f>+IFERROR('Raw Data - Production'!O117/('Raw Data - Production'!H117*Weights!$B$2),"")</f>
        <v/>
      </c>
      <c r="U85" s="13" t="str">
        <f>+IFERROR('Raw Data - Production'!P117/('Raw Data - Production'!I117*Weights!$B$2),"")</f>
        <v/>
      </c>
      <c r="V85" s="13"/>
      <c r="W85" s="13"/>
      <c r="X85" s="13"/>
      <c r="Y85" s="13"/>
      <c r="AA85" s="2">
        <f t="shared" si="27"/>
        <v>46276</v>
      </c>
      <c r="AD85">
        <f t="shared" si="28"/>
        <v>37</v>
      </c>
      <c r="AE85" s="13">
        <f t="shared" si="16"/>
        <v>0</v>
      </c>
      <c r="AF85" s="13">
        <f t="shared" si="16"/>
        <v>0</v>
      </c>
      <c r="AG85" s="13">
        <f t="shared" si="16"/>
        <v>0</v>
      </c>
      <c r="AH85" s="13">
        <f t="shared" si="17"/>
        <v>0</v>
      </c>
      <c r="AI85" s="13">
        <f t="shared" si="17"/>
        <v>0</v>
      </c>
      <c r="AJ85" s="13">
        <f t="shared" si="17"/>
        <v>0</v>
      </c>
      <c r="AK85" s="13"/>
      <c r="AL85" s="13"/>
      <c r="AM85" s="13"/>
      <c r="AN85" s="13"/>
      <c r="AP85" s="2">
        <f t="shared" si="29"/>
        <v>46276</v>
      </c>
      <c r="AQ85">
        <f t="shared" si="30"/>
        <v>37</v>
      </c>
      <c r="AR85" s="18">
        <f>('Raw Data - Production'!D117/100)/60</f>
        <v>0</v>
      </c>
      <c r="AS85" s="18">
        <f>('Raw Data - Production'!E117/100)/60</f>
        <v>0</v>
      </c>
      <c r="AT85" s="18">
        <f>('Raw Data - Production'!G117/50)/60</f>
        <v>0</v>
      </c>
      <c r="AU85" s="18">
        <f>('Raw Data - Production'!H117/50)/60</f>
        <v>0</v>
      </c>
      <c r="AV85" s="18">
        <f>('Raw Data - Production'!I117/50)/60</f>
        <v>0</v>
      </c>
      <c r="AW85" s="18"/>
      <c r="AX85" s="18"/>
      <c r="AY85" s="18"/>
      <c r="AZ85" s="18"/>
    </row>
    <row r="86" spans="1:52" x14ac:dyDescent="0.35">
      <c r="A86" s="2">
        <f t="shared" si="18"/>
        <v>46279</v>
      </c>
      <c r="B86">
        <f t="shared" si="19"/>
        <v>38</v>
      </c>
      <c r="C86" s="13" t="str">
        <f t="shared" si="20"/>
        <v/>
      </c>
      <c r="D86" s="13" t="str">
        <f t="shared" si="21"/>
        <v/>
      </c>
      <c r="E86" s="13" t="str">
        <f t="shared" si="22"/>
        <v/>
      </c>
      <c r="F86" s="13" t="str">
        <f t="shared" si="23"/>
        <v/>
      </c>
      <c r="G86" s="13" t="str">
        <f t="shared" si="24"/>
        <v/>
      </c>
      <c r="H86" s="13" t="str">
        <f t="shared" si="25"/>
        <v/>
      </c>
      <c r="I86" s="13"/>
      <c r="J86" s="13"/>
      <c r="K86" s="13"/>
      <c r="L86" s="13"/>
      <c r="N86" s="2">
        <f>+'Daily Summary Old'!A113</f>
        <v>46279</v>
      </c>
      <c r="O86">
        <f t="shared" si="26"/>
        <v>38</v>
      </c>
      <c r="P86" s="13" t="str">
        <f>+IFERROR('Raw Data - Production'!K118/('Raw Data - Production'!D118*Weights!$B$2),"")</f>
        <v/>
      </c>
      <c r="Q86" s="13" t="str">
        <f>+IFERROR('Raw Data - Production'!L118/('Raw Data - Production'!E118*Weights!$B$2),"")</f>
        <v/>
      </c>
      <c r="R86" s="13" t="str">
        <f>+IFERROR('Raw Data - Production'!M118/('Raw Data - Production'!F118*Weights!$B$2),"")</f>
        <v/>
      </c>
      <c r="S86" s="13" t="str">
        <f>+IFERROR('Raw Data - Production'!N118/('Raw Data - Production'!G118*Weights!$B$2),"")</f>
        <v/>
      </c>
      <c r="T86" s="13" t="str">
        <f>+IFERROR('Raw Data - Production'!O118/('Raw Data - Production'!H118*Weights!$B$2),"")</f>
        <v/>
      </c>
      <c r="U86" s="13" t="str">
        <f>+IFERROR('Raw Data - Production'!P118/('Raw Data - Production'!I118*Weights!$B$2),"")</f>
        <v/>
      </c>
      <c r="V86" s="13"/>
      <c r="W86" s="13"/>
      <c r="X86" s="13"/>
      <c r="Y86" s="13"/>
      <c r="AA86" s="2">
        <f t="shared" si="27"/>
        <v>46279</v>
      </c>
      <c r="AD86">
        <f t="shared" si="28"/>
        <v>38</v>
      </c>
      <c r="AE86" s="13">
        <f t="shared" si="16"/>
        <v>0</v>
      </c>
      <c r="AF86" s="13">
        <f t="shared" si="16"/>
        <v>0</v>
      </c>
      <c r="AG86" s="13">
        <f t="shared" si="16"/>
        <v>0</v>
      </c>
      <c r="AH86" s="13">
        <f t="shared" si="17"/>
        <v>0</v>
      </c>
      <c r="AI86" s="13">
        <f t="shared" si="17"/>
        <v>0</v>
      </c>
      <c r="AJ86" s="13">
        <f t="shared" si="17"/>
        <v>0</v>
      </c>
      <c r="AK86" s="13"/>
      <c r="AL86" s="13"/>
      <c r="AM86" s="13"/>
      <c r="AN86" s="13"/>
      <c r="AP86" s="2">
        <f t="shared" si="29"/>
        <v>46279</v>
      </c>
      <c r="AQ86">
        <f t="shared" si="30"/>
        <v>38</v>
      </c>
      <c r="AR86" s="18">
        <f>('Raw Data - Production'!D118/100)/60</f>
        <v>0</v>
      </c>
      <c r="AS86" s="18">
        <f>('Raw Data - Production'!E118/100)/60</f>
        <v>0</v>
      </c>
      <c r="AT86" s="18">
        <f>('Raw Data - Production'!G118/50)/60</f>
        <v>0</v>
      </c>
      <c r="AU86" s="18">
        <f>('Raw Data - Production'!H118/50)/60</f>
        <v>0</v>
      </c>
      <c r="AV86" s="18">
        <f>('Raw Data - Production'!I118/50)/60</f>
        <v>0</v>
      </c>
      <c r="AW86" s="18"/>
      <c r="AX86" s="18"/>
      <c r="AY86" s="18"/>
      <c r="AZ86" s="18"/>
    </row>
    <row r="87" spans="1:52" x14ac:dyDescent="0.35">
      <c r="A87" s="2">
        <f t="shared" si="18"/>
        <v>46280</v>
      </c>
      <c r="B87">
        <f t="shared" si="19"/>
        <v>38</v>
      </c>
      <c r="C87" s="13" t="str">
        <f t="shared" si="20"/>
        <v/>
      </c>
      <c r="D87" s="13" t="str">
        <f t="shared" si="21"/>
        <v/>
      </c>
      <c r="E87" s="13" t="str">
        <f t="shared" si="22"/>
        <v/>
      </c>
      <c r="F87" s="13" t="str">
        <f t="shared" si="23"/>
        <v/>
      </c>
      <c r="G87" s="13" t="str">
        <f t="shared" si="24"/>
        <v/>
      </c>
      <c r="H87" s="13" t="str">
        <f t="shared" si="25"/>
        <v/>
      </c>
      <c r="I87" s="13"/>
      <c r="J87" s="13"/>
      <c r="K87" s="13"/>
      <c r="L87" s="13"/>
      <c r="N87" s="2">
        <f>+'Daily Summary Old'!A114</f>
        <v>46280</v>
      </c>
      <c r="O87">
        <f t="shared" si="26"/>
        <v>38</v>
      </c>
      <c r="P87" s="13" t="str">
        <f>+IFERROR('Raw Data - Production'!K119/('Raw Data - Production'!D119*Weights!$B$2),"")</f>
        <v/>
      </c>
      <c r="Q87" s="13" t="str">
        <f>+IFERROR('Raw Data - Production'!L119/('Raw Data - Production'!E119*Weights!$B$2),"")</f>
        <v/>
      </c>
      <c r="R87" s="13" t="str">
        <f>+IFERROR('Raw Data - Production'!M119/('Raw Data - Production'!F119*Weights!$B$2),"")</f>
        <v/>
      </c>
      <c r="S87" s="13" t="str">
        <f>+IFERROR('Raw Data - Production'!N119/('Raw Data - Production'!G119*Weights!$B$2),"")</f>
        <v/>
      </c>
      <c r="T87" s="13" t="str">
        <f>+IFERROR('Raw Data - Production'!O119/('Raw Data - Production'!H119*Weights!$B$2),"")</f>
        <v/>
      </c>
      <c r="U87" s="13" t="str">
        <f>+IFERROR('Raw Data - Production'!P119/('Raw Data - Production'!I119*Weights!$B$2),"")</f>
        <v/>
      </c>
      <c r="V87" s="13"/>
      <c r="W87" s="13"/>
      <c r="X87" s="13"/>
      <c r="Y87" s="13"/>
      <c r="AA87" s="2">
        <f t="shared" si="27"/>
        <v>46280</v>
      </c>
      <c r="AD87">
        <f t="shared" si="28"/>
        <v>38</v>
      </c>
      <c r="AE87" s="13">
        <f t="shared" si="16"/>
        <v>0</v>
      </c>
      <c r="AF87" s="13">
        <f t="shared" si="16"/>
        <v>0</v>
      </c>
      <c r="AG87" s="13">
        <f t="shared" si="16"/>
        <v>0</v>
      </c>
      <c r="AH87" s="13">
        <f t="shared" si="17"/>
        <v>0</v>
      </c>
      <c r="AI87" s="13">
        <f t="shared" si="17"/>
        <v>0</v>
      </c>
      <c r="AJ87" s="13">
        <f t="shared" si="17"/>
        <v>0</v>
      </c>
      <c r="AK87" s="13"/>
      <c r="AL87" s="13"/>
      <c r="AM87" s="13"/>
      <c r="AN87" s="13"/>
      <c r="AP87" s="2">
        <f t="shared" si="29"/>
        <v>46280</v>
      </c>
      <c r="AQ87">
        <f t="shared" si="30"/>
        <v>38</v>
      </c>
      <c r="AR87" s="18">
        <f>('Raw Data - Production'!D119/100)/60</f>
        <v>0</v>
      </c>
      <c r="AS87" s="18">
        <f>('Raw Data - Production'!E119/100)/60</f>
        <v>0</v>
      </c>
      <c r="AT87" s="18">
        <f>('Raw Data - Production'!G119/50)/60</f>
        <v>0</v>
      </c>
      <c r="AU87" s="18">
        <f>('Raw Data - Production'!H119/50)/60</f>
        <v>0</v>
      </c>
      <c r="AV87" s="18">
        <f>('Raw Data - Production'!I119/50)/60</f>
        <v>0</v>
      </c>
      <c r="AW87" s="18"/>
      <c r="AX87" s="18"/>
      <c r="AY87" s="18"/>
      <c r="AZ87" s="18"/>
    </row>
    <row r="88" spans="1:52" x14ac:dyDescent="0.35">
      <c r="A88" s="2">
        <f t="shared" si="18"/>
        <v>46281</v>
      </c>
      <c r="B88">
        <f t="shared" si="19"/>
        <v>38</v>
      </c>
      <c r="C88" s="13" t="str">
        <f t="shared" si="20"/>
        <v/>
      </c>
      <c r="D88" s="13" t="str">
        <f t="shared" si="21"/>
        <v/>
      </c>
      <c r="E88" s="13" t="str">
        <f t="shared" si="22"/>
        <v/>
      </c>
      <c r="F88" s="13" t="str">
        <f t="shared" si="23"/>
        <v/>
      </c>
      <c r="G88" s="13" t="str">
        <f t="shared" si="24"/>
        <v/>
      </c>
      <c r="H88" s="13" t="str">
        <f t="shared" si="25"/>
        <v/>
      </c>
      <c r="I88" s="13"/>
      <c r="J88" s="13"/>
      <c r="K88" s="13"/>
      <c r="L88" s="13"/>
      <c r="N88" s="2">
        <f>+'Daily Summary Old'!A115</f>
        <v>46281</v>
      </c>
      <c r="O88">
        <f t="shared" si="26"/>
        <v>38</v>
      </c>
      <c r="P88" s="13" t="str">
        <f>+IFERROR('Raw Data - Production'!K120/('Raw Data - Production'!D120*Weights!$B$2),"")</f>
        <v/>
      </c>
      <c r="Q88" s="13" t="str">
        <f>+IFERROR('Raw Data - Production'!L120/('Raw Data - Production'!E120*Weights!$B$2),"")</f>
        <v/>
      </c>
      <c r="R88" s="13" t="str">
        <f>+IFERROR('Raw Data - Production'!M120/('Raw Data - Production'!F120*Weights!$B$2),"")</f>
        <v/>
      </c>
      <c r="S88" s="13" t="str">
        <f>+IFERROR('Raw Data - Production'!N120/('Raw Data - Production'!G120*Weights!$B$2),"")</f>
        <v/>
      </c>
      <c r="T88" s="13" t="str">
        <f>+IFERROR('Raw Data - Production'!O120/('Raw Data - Production'!H120*Weights!$B$2),"")</f>
        <v/>
      </c>
      <c r="U88" s="13" t="str">
        <f>+IFERROR('Raw Data - Production'!P120/('Raw Data - Production'!I120*Weights!$B$2),"")</f>
        <v/>
      </c>
      <c r="V88" s="13"/>
      <c r="W88" s="13"/>
      <c r="X88" s="13"/>
      <c r="Y88" s="13"/>
      <c r="AA88" s="2">
        <f t="shared" si="27"/>
        <v>46281</v>
      </c>
      <c r="AD88">
        <f t="shared" si="28"/>
        <v>38</v>
      </c>
      <c r="AE88" s="13">
        <f t="shared" si="16"/>
        <v>0</v>
      </c>
      <c r="AF88" s="13">
        <f t="shared" si="16"/>
        <v>0</v>
      </c>
      <c r="AG88" s="13">
        <f t="shared" si="16"/>
        <v>0</v>
      </c>
      <c r="AH88" s="13">
        <f t="shared" si="17"/>
        <v>0</v>
      </c>
      <c r="AI88" s="13">
        <f t="shared" si="17"/>
        <v>0</v>
      </c>
      <c r="AJ88" s="13">
        <f t="shared" si="17"/>
        <v>0</v>
      </c>
      <c r="AK88" s="13"/>
      <c r="AL88" s="13"/>
      <c r="AM88" s="13"/>
      <c r="AN88" s="13"/>
      <c r="AP88" s="2">
        <f t="shared" si="29"/>
        <v>46281</v>
      </c>
      <c r="AQ88">
        <f t="shared" si="30"/>
        <v>38</v>
      </c>
      <c r="AR88" s="18">
        <f>('Raw Data - Production'!D120/100)/60</f>
        <v>0</v>
      </c>
      <c r="AS88" s="18">
        <f>('Raw Data - Production'!E120/100)/60</f>
        <v>0</v>
      </c>
      <c r="AT88" s="18">
        <f>('Raw Data - Production'!G120/50)/60</f>
        <v>0</v>
      </c>
      <c r="AU88" s="18">
        <f>('Raw Data - Production'!H120/50)/60</f>
        <v>0</v>
      </c>
      <c r="AV88" s="18">
        <f>('Raw Data - Production'!I120/50)/60</f>
        <v>0</v>
      </c>
      <c r="AW88" s="18"/>
      <c r="AX88" s="18"/>
      <c r="AY88" s="18"/>
      <c r="AZ88" s="18"/>
    </row>
    <row r="89" spans="1:52" x14ac:dyDescent="0.35">
      <c r="A89" s="2">
        <f t="shared" si="18"/>
        <v>46282</v>
      </c>
      <c r="B89">
        <f t="shared" si="19"/>
        <v>38</v>
      </c>
      <c r="C89" s="13" t="str">
        <f t="shared" si="20"/>
        <v/>
      </c>
      <c r="D89" s="13" t="str">
        <f t="shared" si="21"/>
        <v/>
      </c>
      <c r="E89" s="13" t="str">
        <f t="shared" si="22"/>
        <v/>
      </c>
      <c r="F89" s="13" t="str">
        <f t="shared" si="23"/>
        <v/>
      </c>
      <c r="G89" s="13" t="str">
        <f t="shared" si="24"/>
        <v/>
      </c>
      <c r="H89" s="13" t="str">
        <f t="shared" si="25"/>
        <v/>
      </c>
      <c r="I89" s="13"/>
      <c r="J89" s="13"/>
      <c r="K89" s="13"/>
      <c r="L89" s="13"/>
      <c r="N89" s="2">
        <f>+'Daily Summary Old'!A116</f>
        <v>46282</v>
      </c>
      <c r="O89">
        <f t="shared" si="26"/>
        <v>38</v>
      </c>
      <c r="P89" s="13" t="str">
        <f>+IFERROR('Raw Data - Production'!K121/('Raw Data - Production'!D121*Weights!$B$2),"")</f>
        <v/>
      </c>
      <c r="Q89" s="13" t="str">
        <f>+IFERROR('Raw Data - Production'!L121/('Raw Data - Production'!E121*Weights!$B$2),"")</f>
        <v/>
      </c>
      <c r="R89" s="13" t="str">
        <f>+IFERROR('Raw Data - Production'!M121/('Raw Data - Production'!F121*Weights!$B$2),"")</f>
        <v/>
      </c>
      <c r="S89" s="13" t="str">
        <f>+IFERROR('Raw Data - Production'!N121/('Raw Data - Production'!G121*Weights!$B$2),"")</f>
        <v/>
      </c>
      <c r="T89" s="13" t="str">
        <f>+IFERROR('Raw Data - Production'!O121/('Raw Data - Production'!H121*Weights!$B$2),"")</f>
        <v/>
      </c>
      <c r="U89" s="13" t="str">
        <f>+IFERROR('Raw Data - Production'!P121/('Raw Data - Production'!I121*Weights!$B$2),"")</f>
        <v/>
      </c>
      <c r="V89" s="13"/>
      <c r="W89" s="13"/>
      <c r="X89" s="13"/>
      <c r="Y89" s="13"/>
      <c r="AA89" s="2">
        <f t="shared" si="27"/>
        <v>46282</v>
      </c>
      <c r="AD89">
        <f t="shared" si="28"/>
        <v>38</v>
      </c>
      <c r="AE89" s="13">
        <f t="shared" si="16"/>
        <v>0</v>
      </c>
      <c r="AF89" s="13">
        <f t="shared" si="16"/>
        <v>0</v>
      </c>
      <c r="AG89" s="13">
        <f t="shared" si="16"/>
        <v>0</v>
      </c>
      <c r="AH89" s="13">
        <f t="shared" si="17"/>
        <v>0</v>
      </c>
      <c r="AI89" s="13">
        <f t="shared" si="17"/>
        <v>0</v>
      </c>
      <c r="AJ89" s="13">
        <f t="shared" si="17"/>
        <v>0</v>
      </c>
      <c r="AK89" s="13"/>
      <c r="AL89" s="13"/>
      <c r="AM89" s="13"/>
      <c r="AN89" s="13"/>
      <c r="AP89" s="2">
        <f t="shared" si="29"/>
        <v>46282</v>
      </c>
      <c r="AQ89">
        <f t="shared" si="30"/>
        <v>38</v>
      </c>
      <c r="AR89" s="18">
        <f>('Raw Data - Production'!D121/100)/60</f>
        <v>0</v>
      </c>
      <c r="AS89" s="18">
        <f>('Raw Data - Production'!E121/100)/60</f>
        <v>0</v>
      </c>
      <c r="AT89" s="18">
        <f>('Raw Data - Production'!G121/50)/60</f>
        <v>0</v>
      </c>
      <c r="AU89" s="18">
        <f>('Raw Data - Production'!H121/50)/60</f>
        <v>0</v>
      </c>
      <c r="AV89" s="18">
        <f>('Raw Data - Production'!I121/50)/60</f>
        <v>0</v>
      </c>
      <c r="AW89" s="18"/>
      <c r="AX89" s="18"/>
      <c r="AY89" s="18"/>
      <c r="AZ89" s="18"/>
    </row>
    <row r="90" spans="1:52" x14ac:dyDescent="0.35">
      <c r="A90" s="2">
        <f t="shared" si="18"/>
        <v>46283</v>
      </c>
      <c r="B90">
        <f t="shared" si="19"/>
        <v>38</v>
      </c>
      <c r="C90" s="13" t="str">
        <f t="shared" si="20"/>
        <v/>
      </c>
      <c r="D90" s="13" t="str">
        <f t="shared" si="21"/>
        <v/>
      </c>
      <c r="E90" s="13" t="str">
        <f t="shared" si="22"/>
        <v/>
      </c>
      <c r="F90" s="13" t="str">
        <f t="shared" si="23"/>
        <v/>
      </c>
      <c r="G90" s="13" t="str">
        <f t="shared" si="24"/>
        <v/>
      </c>
      <c r="H90" s="13" t="str">
        <f t="shared" si="25"/>
        <v/>
      </c>
      <c r="I90" s="13"/>
      <c r="J90" s="13"/>
      <c r="K90" s="13"/>
      <c r="L90" s="13"/>
      <c r="N90" s="2">
        <f>+'Daily Summary Old'!A117</f>
        <v>46283</v>
      </c>
      <c r="O90">
        <f t="shared" si="26"/>
        <v>38</v>
      </c>
      <c r="P90" s="13" t="str">
        <f>+IFERROR('Raw Data - Production'!K122/('Raw Data - Production'!D122*Weights!$B$2),"")</f>
        <v/>
      </c>
      <c r="Q90" s="13" t="str">
        <f>+IFERROR('Raw Data - Production'!L122/('Raw Data - Production'!E122*Weights!$B$2),"")</f>
        <v/>
      </c>
      <c r="R90" s="13" t="str">
        <f>+IFERROR('Raw Data - Production'!M122/('Raw Data - Production'!F122*Weights!$B$2),"")</f>
        <v/>
      </c>
      <c r="S90" s="13" t="str">
        <f>+IFERROR('Raw Data - Production'!N122/('Raw Data - Production'!G122*Weights!$B$2),"")</f>
        <v/>
      </c>
      <c r="T90" s="13" t="str">
        <f>+IFERROR('Raw Data - Production'!O122/('Raw Data - Production'!H122*Weights!$B$2),"")</f>
        <v/>
      </c>
      <c r="U90" s="13" t="str">
        <f>+IFERROR('Raw Data - Production'!P122/('Raw Data - Production'!I122*Weights!$B$2),"")</f>
        <v/>
      </c>
      <c r="V90" s="13"/>
      <c r="W90" s="13"/>
      <c r="X90" s="13"/>
      <c r="Y90" s="13"/>
      <c r="AA90" s="2">
        <f t="shared" si="27"/>
        <v>46283</v>
      </c>
      <c r="AD90">
        <f t="shared" si="28"/>
        <v>38</v>
      </c>
      <c r="AE90" s="13">
        <f t="shared" si="16"/>
        <v>0</v>
      </c>
      <c r="AF90" s="13">
        <f t="shared" si="16"/>
        <v>0</v>
      </c>
      <c r="AG90" s="13">
        <f t="shared" si="16"/>
        <v>0</v>
      </c>
      <c r="AH90" s="13">
        <f t="shared" si="17"/>
        <v>0</v>
      </c>
      <c r="AI90" s="13">
        <f t="shared" si="17"/>
        <v>0</v>
      </c>
      <c r="AJ90" s="13">
        <f t="shared" si="17"/>
        <v>0</v>
      </c>
      <c r="AK90" s="13"/>
      <c r="AL90" s="13"/>
      <c r="AM90" s="13"/>
      <c r="AN90" s="13"/>
      <c r="AP90" s="2">
        <f t="shared" si="29"/>
        <v>46283</v>
      </c>
      <c r="AQ90">
        <f t="shared" si="30"/>
        <v>38</v>
      </c>
      <c r="AR90" s="18">
        <f>('Raw Data - Production'!D122/100)/60</f>
        <v>0</v>
      </c>
      <c r="AS90" s="18">
        <f>('Raw Data - Production'!E122/100)/60</f>
        <v>0</v>
      </c>
      <c r="AT90" s="18">
        <f>('Raw Data - Production'!G122/50)/60</f>
        <v>0</v>
      </c>
      <c r="AU90" s="18">
        <f>('Raw Data - Production'!H122/50)/60</f>
        <v>0</v>
      </c>
      <c r="AV90" s="18">
        <f>('Raw Data - Production'!I122/50)/60</f>
        <v>0</v>
      </c>
      <c r="AW90" s="18"/>
      <c r="AX90" s="18"/>
      <c r="AY90" s="18"/>
      <c r="AZ90" s="18"/>
    </row>
    <row r="91" spans="1:52" x14ac:dyDescent="0.35">
      <c r="A91" s="2">
        <f t="shared" si="18"/>
        <v>46286</v>
      </c>
      <c r="B91">
        <f t="shared" si="19"/>
        <v>39</v>
      </c>
      <c r="C91" s="13" t="str">
        <f t="shared" si="20"/>
        <v/>
      </c>
      <c r="D91" s="13" t="str">
        <f t="shared" si="21"/>
        <v/>
      </c>
      <c r="E91" s="13" t="str">
        <f t="shared" si="22"/>
        <v/>
      </c>
      <c r="F91" s="13" t="str">
        <f t="shared" si="23"/>
        <v/>
      </c>
      <c r="G91" s="13" t="str">
        <f t="shared" si="24"/>
        <v/>
      </c>
      <c r="H91" s="13" t="str">
        <f t="shared" si="25"/>
        <v/>
      </c>
      <c r="I91" s="13"/>
      <c r="J91" s="13"/>
      <c r="K91" s="13"/>
      <c r="L91" s="13"/>
      <c r="N91" s="2">
        <f>+'Daily Summary Old'!A118</f>
        <v>46286</v>
      </c>
      <c r="O91">
        <f t="shared" si="26"/>
        <v>39</v>
      </c>
      <c r="P91" s="13" t="str">
        <f>+IFERROR('Raw Data - Production'!K123/('Raw Data - Production'!D123*Weights!$B$2),"")</f>
        <v/>
      </c>
      <c r="Q91" s="13" t="str">
        <f>+IFERROR('Raw Data - Production'!L123/('Raw Data - Production'!E123*Weights!$B$2),"")</f>
        <v/>
      </c>
      <c r="R91" s="13" t="str">
        <f>+IFERROR('Raw Data - Production'!M123/('Raw Data - Production'!F123*Weights!$B$2),"")</f>
        <v/>
      </c>
      <c r="S91" s="13" t="str">
        <f>+IFERROR('Raw Data - Production'!N123/('Raw Data - Production'!G123*Weights!$B$2),"")</f>
        <v/>
      </c>
      <c r="T91" s="13" t="str">
        <f>+IFERROR('Raw Data - Production'!O123/('Raw Data - Production'!H123*Weights!$B$2),"")</f>
        <v/>
      </c>
      <c r="U91" s="13" t="str">
        <f>+IFERROR('Raw Data - Production'!P123/('Raw Data - Production'!I123*Weights!$B$2),"")</f>
        <v/>
      </c>
      <c r="V91" s="13"/>
      <c r="W91" s="13"/>
      <c r="X91" s="13"/>
      <c r="Y91" s="13"/>
      <c r="AA91" s="2">
        <f t="shared" si="27"/>
        <v>46286</v>
      </c>
      <c r="AD91">
        <f t="shared" si="28"/>
        <v>39</v>
      </c>
      <c r="AE91" s="13">
        <f t="shared" si="16"/>
        <v>0</v>
      </c>
      <c r="AF91" s="13">
        <f t="shared" si="16"/>
        <v>0</v>
      </c>
      <c r="AG91" s="13">
        <f t="shared" si="16"/>
        <v>0</v>
      </c>
      <c r="AH91" s="13">
        <f t="shared" si="17"/>
        <v>0</v>
      </c>
      <c r="AI91" s="13">
        <f t="shared" si="17"/>
        <v>0</v>
      </c>
      <c r="AJ91" s="13">
        <f t="shared" si="17"/>
        <v>0</v>
      </c>
      <c r="AK91" s="13"/>
      <c r="AL91" s="13"/>
      <c r="AM91" s="13"/>
      <c r="AN91" s="13"/>
      <c r="AP91" s="2">
        <f t="shared" si="29"/>
        <v>46286</v>
      </c>
      <c r="AQ91">
        <f t="shared" si="30"/>
        <v>39</v>
      </c>
      <c r="AR91" s="18">
        <f>('Raw Data - Production'!D123/100)/60</f>
        <v>0</v>
      </c>
      <c r="AS91" s="18">
        <f>('Raw Data - Production'!E123/100)/60</f>
        <v>0</v>
      </c>
      <c r="AT91" s="18">
        <f>('Raw Data - Production'!G123/50)/60</f>
        <v>0</v>
      </c>
      <c r="AU91" s="18">
        <f>('Raw Data - Production'!H123/50)/60</f>
        <v>0</v>
      </c>
      <c r="AV91" s="18">
        <f>('Raw Data - Production'!I123/50)/60</f>
        <v>0</v>
      </c>
      <c r="AW91" s="18"/>
      <c r="AX91" s="18"/>
      <c r="AY91" s="18"/>
      <c r="AZ91" s="18"/>
    </row>
    <row r="92" spans="1:52" x14ac:dyDescent="0.35">
      <c r="A92" s="2">
        <f t="shared" si="18"/>
        <v>46287</v>
      </c>
      <c r="B92">
        <f t="shared" si="19"/>
        <v>39</v>
      </c>
      <c r="C92" s="13" t="str">
        <f t="shared" si="20"/>
        <v/>
      </c>
      <c r="D92" s="13" t="str">
        <f t="shared" si="21"/>
        <v/>
      </c>
      <c r="E92" s="13" t="str">
        <f t="shared" si="22"/>
        <v/>
      </c>
      <c r="F92" s="13" t="str">
        <f t="shared" si="23"/>
        <v/>
      </c>
      <c r="G92" s="13" t="str">
        <f t="shared" si="24"/>
        <v/>
      </c>
      <c r="H92" s="13" t="str">
        <f t="shared" si="25"/>
        <v/>
      </c>
      <c r="I92" s="13"/>
      <c r="J92" s="13"/>
      <c r="K92" s="13"/>
      <c r="L92" s="13"/>
      <c r="N92" s="2">
        <f>+'Daily Summary Old'!A119</f>
        <v>46287</v>
      </c>
      <c r="O92">
        <f t="shared" si="26"/>
        <v>39</v>
      </c>
      <c r="P92" s="13" t="str">
        <f>+IFERROR('Raw Data - Production'!K124/('Raw Data - Production'!D124*Weights!$B$2),"")</f>
        <v/>
      </c>
      <c r="Q92" s="13" t="str">
        <f>+IFERROR('Raw Data - Production'!L124/('Raw Data - Production'!E124*Weights!$B$2),"")</f>
        <v/>
      </c>
      <c r="R92" s="13" t="str">
        <f>+IFERROR('Raw Data - Production'!M124/('Raw Data - Production'!F124*Weights!$B$2),"")</f>
        <v/>
      </c>
      <c r="S92" s="13" t="str">
        <f>+IFERROR('Raw Data - Production'!N124/('Raw Data - Production'!G124*Weights!$B$2),"")</f>
        <v/>
      </c>
      <c r="T92" s="13" t="str">
        <f>+IFERROR('Raw Data - Production'!O124/('Raw Data - Production'!H124*Weights!$B$2),"")</f>
        <v/>
      </c>
      <c r="U92" s="13" t="str">
        <f>+IFERROR('Raw Data - Production'!P124/('Raw Data - Production'!I124*Weights!$B$2),"")</f>
        <v/>
      </c>
      <c r="V92" s="13"/>
      <c r="W92" s="13"/>
      <c r="X92" s="13"/>
      <c r="Y92" s="13"/>
      <c r="AA92" s="2">
        <f t="shared" si="27"/>
        <v>46287</v>
      </c>
      <c r="AD92">
        <f t="shared" si="28"/>
        <v>39</v>
      </c>
      <c r="AE92" s="13">
        <f t="shared" si="16"/>
        <v>0</v>
      </c>
      <c r="AF92" s="13">
        <f t="shared" si="16"/>
        <v>0</v>
      </c>
      <c r="AG92" s="13">
        <f t="shared" si="16"/>
        <v>0</v>
      </c>
      <c r="AH92" s="13">
        <f t="shared" si="17"/>
        <v>0</v>
      </c>
      <c r="AI92" s="13">
        <f t="shared" si="17"/>
        <v>0</v>
      </c>
      <c r="AJ92" s="13">
        <f t="shared" si="17"/>
        <v>0</v>
      </c>
      <c r="AK92" s="13"/>
      <c r="AL92" s="13"/>
      <c r="AM92" s="13"/>
      <c r="AN92" s="13"/>
      <c r="AP92" s="2">
        <f t="shared" si="29"/>
        <v>46287</v>
      </c>
      <c r="AQ92">
        <f t="shared" si="30"/>
        <v>39</v>
      </c>
      <c r="AR92" s="18">
        <f>('Raw Data - Production'!D124/100)/60</f>
        <v>0</v>
      </c>
      <c r="AS92" s="18">
        <f>('Raw Data - Production'!E124/100)/60</f>
        <v>0</v>
      </c>
      <c r="AT92" s="18">
        <f>('Raw Data - Production'!G124/50)/60</f>
        <v>0</v>
      </c>
      <c r="AU92" s="18">
        <f>('Raw Data - Production'!H124/50)/60</f>
        <v>0</v>
      </c>
      <c r="AV92" s="18">
        <f>('Raw Data - Production'!I124/50)/60</f>
        <v>0</v>
      </c>
      <c r="AW92" s="18"/>
      <c r="AX92" s="18"/>
      <c r="AY92" s="18"/>
      <c r="AZ92" s="18"/>
    </row>
    <row r="93" spans="1:52" x14ac:dyDescent="0.35">
      <c r="A93" s="2">
        <f t="shared" si="18"/>
        <v>46288</v>
      </c>
      <c r="B93">
        <f t="shared" si="19"/>
        <v>39</v>
      </c>
      <c r="C93" s="13" t="str">
        <f t="shared" si="20"/>
        <v/>
      </c>
      <c r="D93" s="13" t="str">
        <f t="shared" si="21"/>
        <v/>
      </c>
      <c r="E93" s="13" t="str">
        <f t="shared" si="22"/>
        <v/>
      </c>
      <c r="F93" s="13" t="str">
        <f t="shared" si="23"/>
        <v/>
      </c>
      <c r="G93" s="13" t="str">
        <f t="shared" si="24"/>
        <v/>
      </c>
      <c r="H93" s="13" t="str">
        <f t="shared" si="25"/>
        <v/>
      </c>
      <c r="I93" s="13"/>
      <c r="J93" s="13"/>
      <c r="K93" s="13"/>
      <c r="L93" s="13"/>
      <c r="N93" s="2">
        <f>+'Daily Summary Old'!A120</f>
        <v>46288</v>
      </c>
      <c r="O93">
        <f t="shared" si="26"/>
        <v>39</v>
      </c>
      <c r="P93" s="13" t="str">
        <f>+IFERROR('Raw Data - Production'!K125/('Raw Data - Production'!D125*Weights!$B$2),"")</f>
        <v/>
      </c>
      <c r="Q93" s="13" t="str">
        <f>+IFERROR('Raw Data - Production'!L125/('Raw Data - Production'!E125*Weights!$B$2),"")</f>
        <v/>
      </c>
      <c r="R93" s="13" t="str">
        <f>+IFERROR('Raw Data - Production'!M125/('Raw Data - Production'!F125*Weights!$B$2),"")</f>
        <v/>
      </c>
      <c r="S93" s="13" t="str">
        <f>+IFERROR('Raw Data - Production'!N125/('Raw Data - Production'!G125*Weights!$B$2),"")</f>
        <v/>
      </c>
      <c r="T93" s="13" t="str">
        <f>+IFERROR('Raw Data - Production'!O125/('Raw Data - Production'!H125*Weights!$B$2),"")</f>
        <v/>
      </c>
      <c r="U93" s="13" t="str">
        <f>+IFERROR('Raw Data - Production'!P125/('Raw Data - Production'!I125*Weights!$B$2),"")</f>
        <v/>
      </c>
      <c r="V93" s="13"/>
      <c r="W93" s="13"/>
      <c r="X93" s="13"/>
      <c r="Y93" s="13"/>
      <c r="AA93" s="2">
        <f t="shared" si="27"/>
        <v>46288</v>
      </c>
      <c r="AD93">
        <f t="shared" si="28"/>
        <v>39</v>
      </c>
      <c r="AE93" s="13">
        <f t="shared" si="16"/>
        <v>0</v>
      </c>
      <c r="AF93" s="13">
        <f t="shared" si="16"/>
        <v>0</v>
      </c>
      <c r="AG93" s="13">
        <f t="shared" si="16"/>
        <v>0</v>
      </c>
      <c r="AH93" s="13">
        <f t="shared" si="17"/>
        <v>0</v>
      </c>
      <c r="AI93" s="13">
        <f t="shared" si="17"/>
        <v>0</v>
      </c>
      <c r="AJ93" s="13">
        <f t="shared" si="17"/>
        <v>0</v>
      </c>
      <c r="AK93" s="13"/>
      <c r="AL93" s="13"/>
      <c r="AM93" s="13"/>
      <c r="AN93" s="13"/>
      <c r="AP93" s="2">
        <f t="shared" si="29"/>
        <v>46288</v>
      </c>
      <c r="AQ93">
        <f t="shared" si="30"/>
        <v>39</v>
      </c>
      <c r="AR93" s="18">
        <f>('Raw Data - Production'!D125/100)/60</f>
        <v>0</v>
      </c>
      <c r="AS93" s="18">
        <f>('Raw Data - Production'!E125/100)/60</f>
        <v>0</v>
      </c>
      <c r="AT93" s="18">
        <f>('Raw Data - Production'!G125/50)/60</f>
        <v>0</v>
      </c>
      <c r="AU93" s="18">
        <f>('Raw Data - Production'!H125/50)/60</f>
        <v>0</v>
      </c>
      <c r="AV93" s="18">
        <f>('Raw Data - Production'!I125/50)/60</f>
        <v>0</v>
      </c>
      <c r="AW93" s="18"/>
      <c r="AX93" s="18"/>
      <c r="AY93" s="18"/>
      <c r="AZ93" s="18"/>
    </row>
    <row r="94" spans="1:52" x14ac:dyDescent="0.35">
      <c r="A94" s="2">
        <f t="shared" si="18"/>
        <v>46289</v>
      </c>
      <c r="B94">
        <f t="shared" si="19"/>
        <v>39</v>
      </c>
      <c r="C94" s="13" t="str">
        <f t="shared" si="20"/>
        <v/>
      </c>
      <c r="D94" s="13" t="str">
        <f t="shared" si="21"/>
        <v/>
      </c>
      <c r="E94" s="13" t="str">
        <f t="shared" si="22"/>
        <v/>
      </c>
      <c r="F94" s="13" t="str">
        <f t="shared" si="23"/>
        <v/>
      </c>
      <c r="G94" s="13" t="str">
        <f t="shared" si="24"/>
        <v/>
      </c>
      <c r="H94" s="13" t="str">
        <f t="shared" si="25"/>
        <v/>
      </c>
      <c r="I94" s="13"/>
      <c r="J94" s="13"/>
      <c r="K94" s="13"/>
      <c r="L94" s="13"/>
      <c r="N94" s="2">
        <f>+'Daily Summary Old'!A121</f>
        <v>46289</v>
      </c>
      <c r="O94">
        <f t="shared" si="26"/>
        <v>39</v>
      </c>
      <c r="P94" s="13" t="str">
        <f>+IFERROR('Raw Data - Production'!K126/('Raw Data - Production'!D126*Weights!$B$2),"")</f>
        <v/>
      </c>
      <c r="Q94" s="13" t="str">
        <f>+IFERROR('Raw Data - Production'!L126/('Raw Data - Production'!E126*Weights!$B$2),"")</f>
        <v/>
      </c>
      <c r="R94" s="13" t="str">
        <f>+IFERROR('Raw Data - Production'!M126/('Raw Data - Production'!F126*Weights!$B$2),"")</f>
        <v/>
      </c>
      <c r="S94" s="13" t="str">
        <f>+IFERROR('Raw Data - Production'!N126/('Raw Data - Production'!G126*Weights!$B$2),"")</f>
        <v/>
      </c>
      <c r="T94" s="13" t="str">
        <f>+IFERROR('Raw Data - Production'!O126/('Raw Data - Production'!H126*Weights!$B$2),"")</f>
        <v/>
      </c>
      <c r="U94" s="13" t="str">
        <f>+IFERROR('Raw Data - Production'!P126/('Raw Data - Production'!I126*Weights!$B$2),"")</f>
        <v/>
      </c>
      <c r="V94" s="13"/>
      <c r="W94" s="13"/>
      <c r="X94" s="13"/>
      <c r="Y94" s="13"/>
      <c r="AA94" s="2">
        <f t="shared" si="27"/>
        <v>46289</v>
      </c>
      <c r="AD94">
        <f t="shared" si="28"/>
        <v>39</v>
      </c>
      <c r="AE94" s="13">
        <f t="shared" si="16"/>
        <v>0</v>
      </c>
      <c r="AF94" s="13">
        <f t="shared" si="16"/>
        <v>0</v>
      </c>
      <c r="AG94" s="13">
        <f t="shared" si="16"/>
        <v>0</v>
      </c>
      <c r="AH94" s="13">
        <f t="shared" si="17"/>
        <v>0</v>
      </c>
      <c r="AI94" s="13">
        <f t="shared" si="17"/>
        <v>0</v>
      </c>
      <c r="AJ94" s="13">
        <f t="shared" si="17"/>
        <v>0</v>
      </c>
      <c r="AK94" s="13"/>
      <c r="AL94" s="13"/>
      <c r="AM94" s="13"/>
      <c r="AN94" s="13"/>
      <c r="AP94" s="2">
        <f t="shared" si="29"/>
        <v>46289</v>
      </c>
      <c r="AQ94">
        <f t="shared" si="30"/>
        <v>39</v>
      </c>
      <c r="AR94" s="18">
        <f>('Raw Data - Production'!D126/100)/60</f>
        <v>0</v>
      </c>
      <c r="AS94" s="18">
        <f>('Raw Data - Production'!E126/100)/60</f>
        <v>0</v>
      </c>
      <c r="AT94" s="18">
        <f>('Raw Data - Production'!G126/50)/60</f>
        <v>0</v>
      </c>
      <c r="AU94" s="18">
        <f>('Raw Data - Production'!H126/50)/60</f>
        <v>0</v>
      </c>
      <c r="AV94" s="18">
        <f>('Raw Data - Production'!I126/50)/60</f>
        <v>0</v>
      </c>
      <c r="AW94" s="18"/>
      <c r="AX94" s="18"/>
      <c r="AY94" s="18"/>
      <c r="AZ94" s="18"/>
    </row>
    <row r="95" spans="1:52" x14ac:dyDescent="0.35">
      <c r="A95" s="2">
        <f t="shared" si="18"/>
        <v>46290</v>
      </c>
      <c r="B95">
        <f t="shared" si="19"/>
        <v>39</v>
      </c>
      <c r="C95" s="13" t="str">
        <f t="shared" si="20"/>
        <v/>
      </c>
      <c r="D95" s="13" t="str">
        <f t="shared" si="21"/>
        <v/>
      </c>
      <c r="E95" s="13" t="str">
        <f t="shared" si="22"/>
        <v/>
      </c>
      <c r="F95" s="13" t="str">
        <f t="shared" si="23"/>
        <v/>
      </c>
      <c r="G95" s="13" t="str">
        <f t="shared" si="24"/>
        <v/>
      </c>
      <c r="H95" s="13" t="str">
        <f t="shared" si="25"/>
        <v/>
      </c>
      <c r="I95" s="13"/>
      <c r="J95" s="13"/>
      <c r="K95" s="13"/>
      <c r="L95" s="13"/>
      <c r="N95" s="2">
        <f>+'Daily Summary Old'!A122</f>
        <v>46290</v>
      </c>
      <c r="O95">
        <f t="shared" si="26"/>
        <v>39</v>
      </c>
      <c r="P95" s="13" t="str">
        <f>+IFERROR('Raw Data - Production'!K127/('Raw Data - Production'!D127*Weights!$B$2),"")</f>
        <v/>
      </c>
      <c r="Q95" s="13" t="str">
        <f>+IFERROR('Raw Data - Production'!L127/('Raw Data - Production'!E127*Weights!$B$2),"")</f>
        <v/>
      </c>
      <c r="R95" s="13" t="str">
        <f>+IFERROR('Raw Data - Production'!M127/('Raw Data - Production'!F127*Weights!$B$2),"")</f>
        <v/>
      </c>
      <c r="S95" s="13" t="str">
        <f>+IFERROR('Raw Data - Production'!N127/('Raw Data - Production'!G127*Weights!$B$2),"")</f>
        <v/>
      </c>
      <c r="T95" s="13" t="str">
        <f>+IFERROR('Raw Data - Production'!O127/('Raw Data - Production'!H127*Weights!$B$2),"")</f>
        <v/>
      </c>
      <c r="U95" s="13" t="str">
        <f>+IFERROR('Raw Data - Production'!P127/('Raw Data - Production'!I127*Weights!$B$2),"")</f>
        <v/>
      </c>
      <c r="V95" s="13"/>
      <c r="W95" s="13"/>
      <c r="X95" s="13"/>
      <c r="Y95" s="13"/>
      <c r="AA95" s="2">
        <f t="shared" si="27"/>
        <v>46290</v>
      </c>
      <c r="AD95">
        <f t="shared" si="28"/>
        <v>39</v>
      </c>
      <c r="AE95" s="13">
        <f t="shared" si="16"/>
        <v>0</v>
      </c>
      <c r="AF95" s="13">
        <f t="shared" si="16"/>
        <v>0</v>
      </c>
      <c r="AG95" s="13">
        <f t="shared" si="16"/>
        <v>0</v>
      </c>
      <c r="AH95" s="13">
        <f t="shared" si="17"/>
        <v>0</v>
      </c>
      <c r="AI95" s="13">
        <f t="shared" si="17"/>
        <v>0</v>
      </c>
      <c r="AJ95" s="13">
        <f t="shared" si="17"/>
        <v>0</v>
      </c>
      <c r="AK95" s="13"/>
      <c r="AL95" s="13"/>
      <c r="AM95" s="13"/>
      <c r="AN95" s="13"/>
      <c r="AP95" s="2">
        <f t="shared" si="29"/>
        <v>46290</v>
      </c>
      <c r="AQ95">
        <f t="shared" si="30"/>
        <v>39</v>
      </c>
      <c r="AR95" s="18">
        <f>('Raw Data - Production'!D127/100)/60</f>
        <v>0</v>
      </c>
      <c r="AS95" s="18">
        <f>('Raw Data - Production'!E127/100)/60</f>
        <v>0</v>
      </c>
      <c r="AT95" s="18">
        <f>('Raw Data - Production'!G127/50)/60</f>
        <v>0</v>
      </c>
      <c r="AU95" s="18">
        <f>('Raw Data - Production'!H127/50)/60</f>
        <v>0</v>
      </c>
      <c r="AV95" s="18">
        <f>('Raw Data - Production'!I127/50)/60</f>
        <v>0</v>
      </c>
      <c r="AW95" s="18"/>
      <c r="AX95" s="18"/>
      <c r="AY95" s="18"/>
      <c r="AZ95" s="18"/>
    </row>
    <row r="96" spans="1:52" x14ac:dyDescent="0.35">
      <c r="A96" s="2">
        <f t="shared" si="18"/>
        <v>46293</v>
      </c>
      <c r="B96">
        <f t="shared" si="19"/>
        <v>40</v>
      </c>
      <c r="C96" s="13" t="str">
        <f t="shared" si="20"/>
        <v/>
      </c>
      <c r="D96" s="13" t="str">
        <f t="shared" si="21"/>
        <v/>
      </c>
      <c r="E96" s="13" t="str">
        <f t="shared" si="22"/>
        <v/>
      </c>
      <c r="F96" s="13" t="str">
        <f t="shared" si="23"/>
        <v/>
      </c>
      <c r="G96" s="13" t="str">
        <f t="shared" si="24"/>
        <v/>
      </c>
      <c r="H96" s="13" t="str">
        <f t="shared" si="25"/>
        <v/>
      </c>
      <c r="I96" s="13"/>
      <c r="J96" s="13"/>
      <c r="K96" s="13"/>
      <c r="L96" s="13"/>
      <c r="N96" s="2">
        <f>+'Daily Summary Old'!A123</f>
        <v>46293</v>
      </c>
      <c r="O96">
        <f t="shared" si="26"/>
        <v>40</v>
      </c>
      <c r="P96" s="13" t="str">
        <f>+IFERROR('Raw Data - Production'!K128/('Raw Data - Production'!D128*Weights!$B$2),"")</f>
        <v/>
      </c>
      <c r="Q96" s="13" t="str">
        <f>+IFERROR('Raw Data - Production'!L128/('Raw Data - Production'!E128*Weights!$B$2),"")</f>
        <v/>
      </c>
      <c r="R96" s="13" t="str">
        <f>+IFERROR('Raw Data - Production'!M128/('Raw Data - Production'!F128*Weights!$B$2),"")</f>
        <v/>
      </c>
      <c r="S96" s="13" t="str">
        <f>+IFERROR('Raw Data - Production'!N128/('Raw Data - Production'!G128*Weights!$B$2),"")</f>
        <v/>
      </c>
      <c r="T96" s="13" t="str">
        <f>+IFERROR('Raw Data - Production'!O128/('Raw Data - Production'!H128*Weights!$B$2),"")</f>
        <v/>
      </c>
      <c r="U96" s="13" t="str">
        <f>+IFERROR('Raw Data - Production'!P128/('Raw Data - Production'!I128*Weights!$B$2),"")</f>
        <v/>
      </c>
      <c r="V96" s="13"/>
      <c r="W96" s="13"/>
      <c r="X96" s="13"/>
      <c r="Y96" s="13"/>
      <c r="AA96" s="2">
        <f t="shared" si="27"/>
        <v>46293</v>
      </c>
      <c r="AD96">
        <f t="shared" si="28"/>
        <v>40</v>
      </c>
      <c r="AE96" s="13">
        <f t="shared" si="16"/>
        <v>0</v>
      </c>
      <c r="AF96" s="13">
        <f t="shared" si="16"/>
        <v>0</v>
      </c>
      <c r="AG96" s="13">
        <f t="shared" si="16"/>
        <v>0</v>
      </c>
      <c r="AH96" s="13">
        <f t="shared" si="17"/>
        <v>0</v>
      </c>
      <c r="AI96" s="13">
        <f t="shared" si="17"/>
        <v>0</v>
      </c>
      <c r="AJ96" s="13">
        <f t="shared" si="17"/>
        <v>0</v>
      </c>
      <c r="AK96" s="13"/>
      <c r="AL96" s="13"/>
      <c r="AM96" s="13"/>
      <c r="AN96" s="13"/>
      <c r="AP96" s="2">
        <f t="shared" si="29"/>
        <v>46293</v>
      </c>
      <c r="AQ96">
        <f t="shared" si="30"/>
        <v>40</v>
      </c>
      <c r="AR96" s="18">
        <f>('Raw Data - Production'!D128/100)/60</f>
        <v>0</v>
      </c>
      <c r="AS96" s="18">
        <f>('Raw Data - Production'!E128/100)/60</f>
        <v>0</v>
      </c>
      <c r="AT96" s="18">
        <f>('Raw Data - Production'!G128/50)/60</f>
        <v>0</v>
      </c>
      <c r="AU96" s="18">
        <f>('Raw Data - Production'!H128/50)/60</f>
        <v>0</v>
      </c>
      <c r="AV96" s="18">
        <f>('Raw Data - Production'!I128/50)/60</f>
        <v>0</v>
      </c>
      <c r="AW96" s="18"/>
      <c r="AX96" s="18"/>
      <c r="AY96" s="18"/>
      <c r="AZ96" s="18"/>
    </row>
    <row r="97" spans="1:52" x14ac:dyDescent="0.35">
      <c r="A97" s="2">
        <f t="shared" si="18"/>
        <v>46294</v>
      </c>
      <c r="B97">
        <f t="shared" si="19"/>
        <v>40</v>
      </c>
      <c r="C97" s="13" t="str">
        <f t="shared" si="20"/>
        <v/>
      </c>
      <c r="D97" s="13" t="str">
        <f t="shared" si="21"/>
        <v/>
      </c>
      <c r="E97" s="13" t="str">
        <f t="shared" si="22"/>
        <v/>
      </c>
      <c r="F97" s="13" t="str">
        <f t="shared" si="23"/>
        <v/>
      </c>
      <c r="G97" s="13" t="str">
        <f t="shared" si="24"/>
        <v/>
      </c>
      <c r="H97" s="13" t="str">
        <f t="shared" si="25"/>
        <v/>
      </c>
      <c r="I97" s="13"/>
      <c r="J97" s="13"/>
      <c r="K97" s="13"/>
      <c r="L97" s="13"/>
      <c r="N97" s="2">
        <f>+'Daily Summary Old'!A124</f>
        <v>46294</v>
      </c>
      <c r="O97">
        <f t="shared" si="26"/>
        <v>40</v>
      </c>
      <c r="P97" s="13" t="str">
        <f>+IFERROR('Raw Data - Production'!K129/('Raw Data - Production'!D129*Weights!$B$2),"")</f>
        <v/>
      </c>
      <c r="Q97" s="13" t="str">
        <f>+IFERROR('Raw Data - Production'!L129/('Raw Data - Production'!E129*Weights!$B$2),"")</f>
        <v/>
      </c>
      <c r="R97" s="13" t="str">
        <f>+IFERROR('Raw Data - Production'!M129/('Raw Data - Production'!F129*Weights!$B$2),"")</f>
        <v/>
      </c>
      <c r="S97" s="13" t="str">
        <f>+IFERROR('Raw Data - Production'!N129/('Raw Data - Production'!G129*Weights!$B$2),"")</f>
        <v/>
      </c>
      <c r="T97" s="13" t="str">
        <f>+IFERROR('Raw Data - Production'!O129/('Raw Data - Production'!H129*Weights!$B$2),"")</f>
        <v/>
      </c>
      <c r="U97" s="13" t="str">
        <f>+IFERROR('Raw Data - Production'!P129/('Raw Data - Production'!I129*Weights!$B$2),"")</f>
        <v/>
      </c>
      <c r="V97" s="13"/>
      <c r="W97" s="13"/>
      <c r="X97" s="13"/>
      <c r="Y97" s="13"/>
      <c r="AA97" s="2">
        <f t="shared" si="27"/>
        <v>46294</v>
      </c>
      <c r="AD97">
        <f t="shared" si="28"/>
        <v>40</v>
      </c>
      <c r="AE97" s="13">
        <f t="shared" si="16"/>
        <v>0</v>
      </c>
      <c r="AF97" s="13">
        <f t="shared" si="16"/>
        <v>0</v>
      </c>
      <c r="AG97" s="13">
        <f t="shared" si="16"/>
        <v>0</v>
      </c>
      <c r="AH97" s="13">
        <f t="shared" si="17"/>
        <v>0</v>
      </c>
      <c r="AI97" s="13">
        <f t="shared" si="17"/>
        <v>0</v>
      </c>
      <c r="AJ97" s="13">
        <f t="shared" si="17"/>
        <v>0</v>
      </c>
      <c r="AK97" s="13"/>
      <c r="AL97" s="13"/>
      <c r="AM97" s="13"/>
      <c r="AN97" s="13"/>
      <c r="AP97" s="2">
        <f t="shared" si="29"/>
        <v>46294</v>
      </c>
      <c r="AQ97">
        <f t="shared" si="30"/>
        <v>40</v>
      </c>
      <c r="AR97" s="18">
        <f>('Raw Data - Production'!D129/100)/60</f>
        <v>0</v>
      </c>
      <c r="AS97" s="18">
        <f>('Raw Data - Production'!E129/100)/60</f>
        <v>0</v>
      </c>
      <c r="AT97" s="18">
        <f>('Raw Data - Production'!G129/50)/60</f>
        <v>0</v>
      </c>
      <c r="AU97" s="18">
        <f>('Raw Data - Production'!H129/50)/60</f>
        <v>0</v>
      </c>
      <c r="AV97" s="18">
        <f>('Raw Data - Production'!I129/50)/60</f>
        <v>0</v>
      </c>
      <c r="AW97" s="18"/>
      <c r="AX97" s="18"/>
      <c r="AY97" s="18"/>
      <c r="AZ97" s="18"/>
    </row>
    <row r="98" spans="1:52" x14ac:dyDescent="0.35">
      <c r="A98" s="2">
        <f t="shared" si="18"/>
        <v>46295</v>
      </c>
      <c r="B98">
        <f t="shared" si="19"/>
        <v>40</v>
      </c>
      <c r="C98" s="13" t="str">
        <f t="shared" si="20"/>
        <v/>
      </c>
      <c r="D98" s="13" t="str">
        <f t="shared" si="21"/>
        <v/>
      </c>
      <c r="E98" s="13" t="str">
        <f t="shared" si="22"/>
        <v/>
      </c>
      <c r="F98" s="13" t="str">
        <f t="shared" si="23"/>
        <v/>
      </c>
      <c r="G98" s="13" t="str">
        <f t="shared" si="24"/>
        <v/>
      </c>
      <c r="H98" s="13" t="str">
        <f t="shared" si="25"/>
        <v/>
      </c>
      <c r="I98" s="13"/>
      <c r="J98" s="13"/>
      <c r="K98" s="13"/>
      <c r="L98" s="13"/>
      <c r="N98" s="2">
        <f>+'Daily Summary Old'!A125</f>
        <v>46295</v>
      </c>
      <c r="O98">
        <f t="shared" si="26"/>
        <v>40</v>
      </c>
      <c r="P98" s="13" t="str">
        <f>+IFERROR('Raw Data - Production'!K130/('Raw Data - Production'!D130*Weights!$B$2),"")</f>
        <v/>
      </c>
      <c r="Q98" s="13" t="str">
        <f>+IFERROR('Raw Data - Production'!L130/('Raw Data - Production'!E130*Weights!$B$2),"")</f>
        <v/>
      </c>
      <c r="R98" s="13" t="str">
        <f>+IFERROR('Raw Data - Production'!M130/('Raw Data - Production'!F130*Weights!$B$2),"")</f>
        <v/>
      </c>
      <c r="S98" s="13" t="str">
        <f>+IFERROR('Raw Data - Production'!N130/('Raw Data - Production'!G130*Weights!$B$2),"")</f>
        <v/>
      </c>
      <c r="T98" s="13" t="str">
        <f>+IFERROR('Raw Data - Production'!O130/('Raw Data - Production'!H130*Weights!$B$2),"")</f>
        <v/>
      </c>
      <c r="U98" s="13" t="str">
        <f>+IFERROR('Raw Data - Production'!P130/('Raw Data - Production'!I130*Weights!$B$2),"")</f>
        <v/>
      </c>
      <c r="V98" s="13"/>
      <c r="W98" s="13"/>
      <c r="X98" s="13"/>
      <c r="Y98" s="13"/>
      <c r="AA98" s="2">
        <f t="shared" si="27"/>
        <v>46295</v>
      </c>
      <c r="AD98">
        <f t="shared" si="28"/>
        <v>40</v>
      </c>
      <c r="AE98" s="13">
        <f t="shared" si="16"/>
        <v>0</v>
      </c>
      <c r="AF98" s="13">
        <f t="shared" si="16"/>
        <v>0</v>
      </c>
      <c r="AG98" s="13">
        <f t="shared" si="16"/>
        <v>0</v>
      </c>
      <c r="AH98" s="13">
        <f t="shared" si="17"/>
        <v>0</v>
      </c>
      <c r="AI98" s="13">
        <f t="shared" si="17"/>
        <v>0</v>
      </c>
      <c r="AJ98" s="13">
        <f t="shared" si="17"/>
        <v>0</v>
      </c>
      <c r="AK98" s="13"/>
      <c r="AL98" s="13"/>
      <c r="AM98" s="13"/>
      <c r="AN98" s="13"/>
      <c r="AP98" s="2">
        <f t="shared" si="29"/>
        <v>46295</v>
      </c>
      <c r="AQ98">
        <f t="shared" si="30"/>
        <v>40</v>
      </c>
      <c r="AR98" s="18">
        <f>('Raw Data - Production'!D130/100)/60</f>
        <v>0</v>
      </c>
      <c r="AS98" s="18">
        <f>('Raw Data - Production'!E130/100)/60</f>
        <v>0</v>
      </c>
      <c r="AT98" s="18">
        <f>('Raw Data - Production'!G130/50)/60</f>
        <v>0</v>
      </c>
      <c r="AU98" s="18">
        <f>('Raw Data - Production'!H130/50)/60</f>
        <v>0</v>
      </c>
      <c r="AV98" s="18">
        <f>('Raw Data - Production'!I130/50)/60</f>
        <v>0</v>
      </c>
      <c r="AW98" s="18"/>
      <c r="AX98" s="18"/>
      <c r="AY98" s="18"/>
      <c r="AZ98" s="18"/>
    </row>
    <row r="99" spans="1:52" x14ac:dyDescent="0.35">
      <c r="A99" s="2">
        <f t="shared" si="18"/>
        <v>46296</v>
      </c>
      <c r="B99">
        <f t="shared" si="19"/>
        <v>40</v>
      </c>
      <c r="C99" s="13" t="str">
        <f t="shared" si="20"/>
        <v/>
      </c>
      <c r="D99" s="13" t="str">
        <f t="shared" si="21"/>
        <v/>
      </c>
      <c r="E99" s="13" t="str">
        <f t="shared" si="22"/>
        <v/>
      </c>
      <c r="F99" s="13" t="str">
        <f t="shared" si="23"/>
        <v/>
      </c>
      <c r="G99" s="13" t="str">
        <f t="shared" si="24"/>
        <v/>
      </c>
      <c r="H99" s="13" t="str">
        <f t="shared" si="25"/>
        <v/>
      </c>
      <c r="I99" s="13"/>
      <c r="J99" s="13"/>
      <c r="K99" s="13"/>
      <c r="L99" s="13"/>
      <c r="N99" s="2">
        <f>+'Daily Summary Old'!A126</f>
        <v>46296</v>
      </c>
      <c r="O99">
        <f t="shared" si="26"/>
        <v>40</v>
      </c>
      <c r="P99" s="13" t="str">
        <f>+IFERROR('Raw Data - Production'!K131/('Raw Data - Production'!D131*Weights!$B$2),"")</f>
        <v/>
      </c>
      <c r="Q99" s="13" t="str">
        <f>+IFERROR('Raw Data - Production'!L131/('Raw Data - Production'!E131*Weights!$B$2),"")</f>
        <v/>
      </c>
      <c r="R99" s="13" t="str">
        <f>+IFERROR('Raw Data - Production'!M131/('Raw Data - Production'!F131*Weights!$B$2),"")</f>
        <v/>
      </c>
      <c r="S99" s="13" t="str">
        <f>+IFERROR('Raw Data - Production'!N131/('Raw Data - Production'!G131*Weights!$B$2),"")</f>
        <v/>
      </c>
      <c r="T99" s="13" t="str">
        <f>+IFERROR('Raw Data - Production'!O131/('Raw Data - Production'!H131*Weights!$B$2),"")</f>
        <v/>
      </c>
      <c r="U99" s="13" t="str">
        <f>+IFERROR('Raw Data - Production'!P131/('Raw Data - Production'!I131*Weights!$B$2),"")</f>
        <v/>
      </c>
      <c r="V99" s="13"/>
      <c r="W99" s="13"/>
      <c r="X99" s="13"/>
      <c r="Y99" s="13"/>
      <c r="AA99" s="2">
        <f t="shared" si="27"/>
        <v>46296</v>
      </c>
      <c r="AD99">
        <f t="shared" si="28"/>
        <v>40</v>
      </c>
      <c r="AE99" s="13">
        <f t="shared" si="16"/>
        <v>0</v>
      </c>
      <c r="AF99" s="13">
        <f t="shared" si="16"/>
        <v>0</v>
      </c>
      <c r="AG99" s="13">
        <f t="shared" si="16"/>
        <v>0</v>
      </c>
      <c r="AH99" s="13">
        <f t="shared" si="17"/>
        <v>0</v>
      </c>
      <c r="AI99" s="13">
        <f t="shared" si="17"/>
        <v>0</v>
      </c>
      <c r="AJ99" s="13">
        <f t="shared" si="17"/>
        <v>0</v>
      </c>
      <c r="AK99" s="13"/>
      <c r="AL99" s="13"/>
      <c r="AM99" s="13"/>
      <c r="AN99" s="13"/>
      <c r="AP99" s="2">
        <f t="shared" si="29"/>
        <v>46296</v>
      </c>
      <c r="AQ99">
        <f t="shared" si="30"/>
        <v>40</v>
      </c>
      <c r="AR99" s="18">
        <f>('Raw Data - Production'!D131/100)/60</f>
        <v>0</v>
      </c>
      <c r="AS99" s="18">
        <f>('Raw Data - Production'!E131/100)/60</f>
        <v>0</v>
      </c>
      <c r="AT99" s="18">
        <f>('Raw Data - Production'!G131/50)/60</f>
        <v>0</v>
      </c>
      <c r="AU99" s="18">
        <f>('Raw Data - Production'!H131/50)/60</f>
        <v>0</v>
      </c>
      <c r="AV99" s="18">
        <f>('Raw Data - Production'!I131/50)/60</f>
        <v>0</v>
      </c>
      <c r="AW99" s="18"/>
      <c r="AX99" s="18"/>
      <c r="AY99" s="18"/>
      <c r="AZ99" s="18"/>
    </row>
    <row r="100" spans="1:52" x14ac:dyDescent="0.35">
      <c r="A100" s="2">
        <f t="shared" si="18"/>
        <v>46297</v>
      </c>
      <c r="B100">
        <f t="shared" si="19"/>
        <v>40</v>
      </c>
      <c r="C100" s="13" t="str">
        <f t="shared" si="20"/>
        <v/>
      </c>
      <c r="D100" s="13" t="str">
        <f t="shared" si="21"/>
        <v/>
      </c>
      <c r="E100" s="13" t="str">
        <f t="shared" si="22"/>
        <v/>
      </c>
      <c r="F100" s="13" t="str">
        <f t="shared" si="23"/>
        <v/>
      </c>
      <c r="G100" s="13" t="str">
        <f t="shared" si="24"/>
        <v/>
      </c>
      <c r="H100" s="13" t="str">
        <f t="shared" si="25"/>
        <v/>
      </c>
      <c r="I100" s="13"/>
      <c r="J100" s="13"/>
      <c r="K100" s="13"/>
      <c r="L100" s="13"/>
      <c r="N100" s="2">
        <f>+'Daily Summary Old'!A127</f>
        <v>46297</v>
      </c>
      <c r="O100">
        <f t="shared" si="26"/>
        <v>40</v>
      </c>
      <c r="P100" s="13" t="str">
        <f>+IFERROR('Raw Data - Production'!K132/('Raw Data - Production'!D132*Weights!$B$2),"")</f>
        <v/>
      </c>
      <c r="Q100" s="13" t="str">
        <f>+IFERROR('Raw Data - Production'!L132/('Raw Data - Production'!E132*Weights!$B$2),"")</f>
        <v/>
      </c>
      <c r="R100" s="13" t="str">
        <f>+IFERROR('Raw Data - Production'!M132/('Raw Data - Production'!F132*Weights!$B$2),"")</f>
        <v/>
      </c>
      <c r="S100" s="13" t="str">
        <f>+IFERROR('Raw Data - Production'!N132/('Raw Data - Production'!G132*Weights!$B$2),"")</f>
        <v/>
      </c>
      <c r="T100" s="13" t="str">
        <f>+IFERROR('Raw Data - Production'!O132/('Raw Data - Production'!H132*Weights!$B$2),"")</f>
        <v/>
      </c>
      <c r="U100" s="13" t="str">
        <f>+IFERROR('Raw Data - Production'!P132/('Raw Data - Production'!I132*Weights!$B$2),"")</f>
        <v/>
      </c>
      <c r="V100" s="13"/>
      <c r="W100" s="13"/>
      <c r="X100" s="13"/>
      <c r="Y100" s="13"/>
      <c r="AA100" s="2">
        <f t="shared" si="27"/>
        <v>46297</v>
      </c>
      <c r="AD100">
        <f t="shared" si="28"/>
        <v>40</v>
      </c>
      <c r="AE100" s="13">
        <f t="shared" si="16"/>
        <v>0</v>
      </c>
      <c r="AF100" s="13">
        <f t="shared" si="16"/>
        <v>0</v>
      </c>
      <c r="AG100" s="13">
        <f t="shared" si="16"/>
        <v>0</v>
      </c>
      <c r="AH100" s="13">
        <f t="shared" si="17"/>
        <v>0</v>
      </c>
      <c r="AI100" s="13">
        <f t="shared" si="17"/>
        <v>0</v>
      </c>
      <c r="AJ100" s="13">
        <f t="shared" si="17"/>
        <v>0</v>
      </c>
      <c r="AK100" s="13"/>
      <c r="AL100" s="13"/>
      <c r="AM100" s="13"/>
      <c r="AN100" s="13"/>
      <c r="AP100" s="2">
        <f t="shared" si="29"/>
        <v>46297</v>
      </c>
      <c r="AQ100">
        <f t="shared" si="30"/>
        <v>40</v>
      </c>
      <c r="AR100" s="18">
        <f>('Raw Data - Production'!D132/100)/60</f>
        <v>0</v>
      </c>
      <c r="AS100" s="18">
        <f>('Raw Data - Production'!E132/100)/60</f>
        <v>0</v>
      </c>
      <c r="AT100" s="18">
        <f>('Raw Data - Production'!G132/50)/60</f>
        <v>0</v>
      </c>
      <c r="AU100" s="18">
        <f>('Raw Data - Production'!H132/50)/60</f>
        <v>0</v>
      </c>
      <c r="AV100" s="18">
        <f>('Raw Data - Production'!I132/50)/60</f>
        <v>0</v>
      </c>
      <c r="AW100" s="18"/>
      <c r="AX100" s="18"/>
      <c r="AY100" s="18"/>
      <c r="AZ100" s="18"/>
    </row>
    <row r="101" spans="1:52" x14ac:dyDescent="0.35">
      <c r="A101" s="2">
        <f t="shared" si="18"/>
        <v>46300</v>
      </c>
      <c r="B101">
        <f t="shared" si="19"/>
        <v>41</v>
      </c>
      <c r="C101" s="13" t="str">
        <f t="shared" si="20"/>
        <v/>
      </c>
      <c r="D101" s="13" t="str">
        <f t="shared" si="21"/>
        <v/>
      </c>
      <c r="E101" s="13" t="str">
        <f t="shared" si="22"/>
        <v/>
      </c>
      <c r="F101" s="13" t="str">
        <f t="shared" si="23"/>
        <v/>
      </c>
      <c r="G101" s="13" t="str">
        <f t="shared" si="24"/>
        <v/>
      </c>
      <c r="H101" s="13" t="str">
        <f t="shared" si="25"/>
        <v/>
      </c>
      <c r="I101" s="13"/>
      <c r="J101" s="13"/>
      <c r="K101" s="13"/>
      <c r="L101" s="13"/>
      <c r="N101" s="2">
        <f>+'Daily Summary Old'!A128</f>
        <v>46300</v>
      </c>
      <c r="O101">
        <f t="shared" si="26"/>
        <v>41</v>
      </c>
      <c r="P101" s="13" t="str">
        <f>+IFERROR('Raw Data - Production'!K133/('Raw Data - Production'!D133*Weights!$B$2),"")</f>
        <v/>
      </c>
      <c r="Q101" s="13" t="str">
        <f>+IFERROR('Raw Data - Production'!L133/('Raw Data - Production'!E133*Weights!$B$2),"")</f>
        <v/>
      </c>
      <c r="R101" s="13" t="str">
        <f>+IFERROR('Raw Data - Production'!M133/('Raw Data - Production'!F133*Weights!$B$2),"")</f>
        <v/>
      </c>
      <c r="S101" s="13" t="str">
        <f>+IFERROR('Raw Data - Production'!N133/('Raw Data - Production'!G133*Weights!$B$2),"")</f>
        <v/>
      </c>
      <c r="T101" s="13" t="str">
        <f>+IFERROR('Raw Data - Production'!O133/('Raw Data - Production'!H133*Weights!$B$2),"")</f>
        <v/>
      </c>
      <c r="U101" s="13" t="str">
        <f>+IFERROR('Raw Data - Production'!P133/('Raw Data - Production'!I133*Weights!$B$2),"")</f>
        <v/>
      </c>
      <c r="V101" s="13"/>
      <c r="W101" s="13"/>
      <c r="X101" s="13"/>
      <c r="Y101" s="13"/>
      <c r="AA101" s="2">
        <f t="shared" si="27"/>
        <v>46300</v>
      </c>
      <c r="AD101">
        <f t="shared" si="28"/>
        <v>41</v>
      </c>
      <c r="AE101" s="13">
        <f t="shared" si="16"/>
        <v>0</v>
      </c>
      <c r="AF101" s="13">
        <f t="shared" si="16"/>
        <v>0</v>
      </c>
      <c r="AG101" s="13">
        <f t="shared" si="16"/>
        <v>0</v>
      </c>
      <c r="AH101" s="13">
        <f t="shared" si="17"/>
        <v>0</v>
      </c>
      <c r="AI101" s="13">
        <f t="shared" si="17"/>
        <v>0</v>
      </c>
      <c r="AJ101" s="13">
        <f t="shared" si="17"/>
        <v>0</v>
      </c>
      <c r="AK101" s="13"/>
      <c r="AL101" s="13"/>
      <c r="AM101" s="13"/>
      <c r="AN101" s="13"/>
      <c r="AP101" s="2">
        <f t="shared" si="29"/>
        <v>46300</v>
      </c>
      <c r="AQ101">
        <f t="shared" si="30"/>
        <v>41</v>
      </c>
      <c r="AR101" s="18">
        <f>('Raw Data - Production'!D133/100)/60</f>
        <v>0</v>
      </c>
      <c r="AS101" s="18">
        <f>('Raw Data - Production'!E133/100)/60</f>
        <v>0</v>
      </c>
      <c r="AT101" s="18">
        <f>('Raw Data - Production'!G133/50)/60</f>
        <v>0</v>
      </c>
      <c r="AU101" s="18">
        <f>('Raw Data - Production'!H133/50)/60</f>
        <v>0</v>
      </c>
      <c r="AV101" s="18">
        <f>('Raw Data - Production'!I133/50)/60</f>
        <v>0</v>
      </c>
      <c r="AW101" s="18"/>
      <c r="AX101" s="18"/>
      <c r="AY101" s="18"/>
      <c r="AZ101" s="18"/>
    </row>
    <row r="102" spans="1:52" x14ac:dyDescent="0.35">
      <c r="A102" s="2">
        <f t="shared" si="18"/>
        <v>46301</v>
      </c>
      <c r="B102">
        <f t="shared" si="19"/>
        <v>41</v>
      </c>
      <c r="C102" s="13" t="str">
        <f t="shared" si="20"/>
        <v/>
      </c>
      <c r="D102" s="13" t="str">
        <f t="shared" si="21"/>
        <v/>
      </c>
      <c r="E102" s="13" t="str">
        <f t="shared" si="22"/>
        <v/>
      </c>
      <c r="F102" s="13" t="str">
        <f t="shared" si="23"/>
        <v/>
      </c>
      <c r="G102" s="13" t="str">
        <f t="shared" si="24"/>
        <v/>
      </c>
      <c r="H102" s="13" t="str">
        <f t="shared" si="25"/>
        <v/>
      </c>
      <c r="I102" s="13"/>
      <c r="J102" s="13"/>
      <c r="K102" s="13"/>
      <c r="L102" s="13"/>
      <c r="N102" s="2">
        <f>+'Daily Summary Old'!A129</f>
        <v>46301</v>
      </c>
      <c r="O102">
        <f t="shared" si="26"/>
        <v>41</v>
      </c>
      <c r="P102" s="13" t="str">
        <f>+IFERROR('Raw Data - Production'!K134/('Raw Data - Production'!D134*Weights!$B$2),"")</f>
        <v/>
      </c>
      <c r="Q102" s="13" t="str">
        <f>+IFERROR('Raw Data - Production'!L134/('Raw Data - Production'!E134*Weights!$B$2),"")</f>
        <v/>
      </c>
      <c r="R102" s="13" t="str">
        <f>+IFERROR('Raw Data - Production'!M134/('Raw Data - Production'!F134*Weights!$B$2),"")</f>
        <v/>
      </c>
      <c r="S102" s="13" t="str">
        <f>+IFERROR('Raw Data - Production'!N134/('Raw Data - Production'!G134*Weights!$B$2),"")</f>
        <v/>
      </c>
      <c r="T102" s="13" t="str">
        <f>+IFERROR('Raw Data - Production'!O134/('Raw Data - Production'!H134*Weights!$B$2),"")</f>
        <v/>
      </c>
      <c r="U102" s="13" t="str">
        <f>+IFERROR('Raw Data - Production'!P134/('Raw Data - Production'!I134*Weights!$B$2),"")</f>
        <v/>
      </c>
      <c r="V102" s="13"/>
      <c r="W102" s="13"/>
      <c r="X102" s="13"/>
      <c r="Y102" s="13"/>
      <c r="AA102" s="2">
        <f t="shared" si="27"/>
        <v>46301</v>
      </c>
      <c r="AD102">
        <f t="shared" si="28"/>
        <v>41</v>
      </c>
      <c r="AE102" s="13">
        <f t="shared" si="16"/>
        <v>0</v>
      </c>
      <c r="AF102" s="13">
        <f t="shared" si="16"/>
        <v>0</v>
      </c>
      <c r="AG102" s="13">
        <f t="shared" si="16"/>
        <v>0</v>
      </c>
      <c r="AH102" s="13">
        <f t="shared" si="17"/>
        <v>0</v>
      </c>
      <c r="AI102" s="13">
        <f t="shared" si="17"/>
        <v>0</v>
      </c>
      <c r="AJ102" s="13">
        <f t="shared" si="17"/>
        <v>0</v>
      </c>
      <c r="AK102" s="13"/>
      <c r="AL102" s="13"/>
      <c r="AM102" s="13"/>
      <c r="AN102" s="13"/>
      <c r="AP102" s="2">
        <f t="shared" si="29"/>
        <v>46301</v>
      </c>
      <c r="AQ102">
        <f t="shared" si="30"/>
        <v>41</v>
      </c>
      <c r="AR102" s="18">
        <f>('Raw Data - Production'!D134/100)/60</f>
        <v>0</v>
      </c>
      <c r="AS102" s="18">
        <f>('Raw Data - Production'!E134/100)/60</f>
        <v>0</v>
      </c>
      <c r="AT102" s="18">
        <f>('Raw Data - Production'!G134/50)/60</f>
        <v>0</v>
      </c>
      <c r="AU102" s="18">
        <f>('Raw Data - Production'!H134/50)/60</f>
        <v>0</v>
      </c>
      <c r="AV102" s="18">
        <f>('Raw Data - Production'!I134/50)/60</f>
        <v>0</v>
      </c>
      <c r="AW102" s="18"/>
      <c r="AX102" s="18"/>
      <c r="AY102" s="18"/>
      <c r="AZ102" s="18"/>
    </row>
    <row r="103" spans="1:52" x14ac:dyDescent="0.35">
      <c r="A103" s="2">
        <f t="shared" si="18"/>
        <v>46302</v>
      </c>
      <c r="B103">
        <f t="shared" si="19"/>
        <v>41</v>
      </c>
      <c r="C103" s="13" t="str">
        <f t="shared" si="20"/>
        <v/>
      </c>
      <c r="D103" s="13" t="str">
        <f t="shared" si="21"/>
        <v/>
      </c>
      <c r="E103" s="13" t="str">
        <f t="shared" si="22"/>
        <v/>
      </c>
      <c r="F103" s="13" t="str">
        <f t="shared" si="23"/>
        <v/>
      </c>
      <c r="G103" s="13" t="str">
        <f t="shared" si="24"/>
        <v/>
      </c>
      <c r="H103" s="13" t="str">
        <f t="shared" si="25"/>
        <v/>
      </c>
      <c r="I103" s="13"/>
      <c r="J103" s="13"/>
      <c r="K103" s="13"/>
      <c r="L103" s="13"/>
      <c r="N103" s="2">
        <f>+'Daily Summary Old'!A130</f>
        <v>46302</v>
      </c>
      <c r="O103">
        <f t="shared" si="26"/>
        <v>41</v>
      </c>
      <c r="P103" s="13" t="str">
        <f>+IFERROR('Raw Data - Production'!K135/('Raw Data - Production'!D135*Weights!$B$2),"")</f>
        <v/>
      </c>
      <c r="Q103" s="13" t="str">
        <f>+IFERROR('Raw Data - Production'!L135/('Raw Data - Production'!E135*Weights!$B$2),"")</f>
        <v/>
      </c>
      <c r="R103" s="13" t="str">
        <f>+IFERROR('Raw Data - Production'!M135/('Raw Data - Production'!F135*Weights!$B$2),"")</f>
        <v/>
      </c>
      <c r="S103" s="13" t="str">
        <f>+IFERROR('Raw Data - Production'!N135/('Raw Data - Production'!G135*Weights!$B$2),"")</f>
        <v/>
      </c>
      <c r="T103" s="13" t="str">
        <f>+IFERROR('Raw Data - Production'!O135/('Raw Data - Production'!H135*Weights!$B$2),"")</f>
        <v/>
      </c>
      <c r="U103" s="13" t="str">
        <f>+IFERROR('Raw Data - Production'!P135/('Raw Data - Production'!I135*Weights!$B$2),"")</f>
        <v/>
      </c>
      <c r="V103" s="13"/>
      <c r="W103" s="13"/>
      <c r="X103" s="13"/>
      <c r="Y103" s="13"/>
      <c r="AA103" s="2">
        <f t="shared" si="27"/>
        <v>46302</v>
      </c>
      <c r="AD103">
        <f t="shared" si="28"/>
        <v>41</v>
      </c>
      <c r="AE103" s="13">
        <f t="shared" si="16"/>
        <v>0</v>
      </c>
      <c r="AF103" s="13">
        <f t="shared" si="16"/>
        <v>0</v>
      </c>
      <c r="AG103" s="13">
        <f t="shared" si="16"/>
        <v>0</v>
      </c>
      <c r="AH103" s="13">
        <f t="shared" si="17"/>
        <v>0</v>
      </c>
      <c r="AI103" s="13">
        <f t="shared" si="17"/>
        <v>0</v>
      </c>
      <c r="AJ103" s="13">
        <f t="shared" si="17"/>
        <v>0</v>
      </c>
      <c r="AK103" s="13"/>
      <c r="AL103" s="13"/>
      <c r="AM103" s="13"/>
      <c r="AN103" s="13"/>
      <c r="AP103" s="2">
        <f t="shared" si="29"/>
        <v>46302</v>
      </c>
      <c r="AQ103">
        <f t="shared" si="30"/>
        <v>41</v>
      </c>
      <c r="AR103" s="18">
        <f>('Raw Data - Production'!D135/100)/60</f>
        <v>0</v>
      </c>
      <c r="AS103" s="18">
        <f>('Raw Data - Production'!E135/100)/60</f>
        <v>0</v>
      </c>
      <c r="AT103" s="18">
        <f>('Raw Data - Production'!G135/50)/60</f>
        <v>0</v>
      </c>
      <c r="AU103" s="18">
        <f>('Raw Data - Production'!H135/50)/60</f>
        <v>0</v>
      </c>
      <c r="AV103" s="18">
        <f>('Raw Data - Production'!I135/50)/60</f>
        <v>0</v>
      </c>
      <c r="AW103" s="18"/>
      <c r="AX103" s="18"/>
      <c r="AY103" s="18"/>
      <c r="AZ103" s="18"/>
    </row>
    <row r="104" spans="1:52" x14ac:dyDescent="0.35">
      <c r="A104" s="2">
        <f t="shared" si="18"/>
        <v>46303</v>
      </c>
      <c r="B104">
        <f t="shared" si="19"/>
        <v>41</v>
      </c>
      <c r="C104" s="13" t="str">
        <f t="shared" si="20"/>
        <v/>
      </c>
      <c r="D104" s="13" t="str">
        <f t="shared" si="21"/>
        <v/>
      </c>
      <c r="E104" s="13" t="str">
        <f t="shared" si="22"/>
        <v/>
      </c>
      <c r="F104" s="13" t="str">
        <f t="shared" si="23"/>
        <v/>
      </c>
      <c r="G104" s="13" t="str">
        <f t="shared" si="24"/>
        <v/>
      </c>
      <c r="H104" s="13" t="str">
        <f t="shared" si="25"/>
        <v/>
      </c>
      <c r="I104" s="13"/>
      <c r="J104" s="13"/>
      <c r="K104" s="13"/>
      <c r="L104" s="13"/>
      <c r="N104" s="2">
        <f>+'Daily Summary Old'!A131</f>
        <v>46303</v>
      </c>
      <c r="O104">
        <f t="shared" si="26"/>
        <v>41</v>
      </c>
      <c r="P104" s="13" t="str">
        <f>+IFERROR('Raw Data - Production'!K136/('Raw Data - Production'!D136*Weights!$B$2),"")</f>
        <v/>
      </c>
      <c r="Q104" s="13" t="str">
        <f>+IFERROR('Raw Data - Production'!L136/('Raw Data - Production'!E136*Weights!$B$2),"")</f>
        <v/>
      </c>
      <c r="R104" s="13" t="str">
        <f>+IFERROR('Raw Data - Production'!M136/('Raw Data - Production'!F136*Weights!$B$2),"")</f>
        <v/>
      </c>
      <c r="S104" s="13" t="str">
        <f>+IFERROR('Raw Data - Production'!N136/('Raw Data - Production'!G136*Weights!$B$2),"")</f>
        <v/>
      </c>
      <c r="T104" s="13" t="str">
        <f>+IFERROR('Raw Data - Production'!O136/('Raw Data - Production'!H136*Weights!$B$2),"")</f>
        <v/>
      </c>
      <c r="U104" s="13" t="str">
        <f>+IFERROR('Raw Data - Production'!P136/('Raw Data - Production'!I136*Weights!$B$2),"")</f>
        <v/>
      </c>
      <c r="V104" s="13"/>
      <c r="W104" s="13"/>
      <c r="X104" s="13"/>
      <c r="Y104" s="13"/>
      <c r="AA104" s="2">
        <f t="shared" si="27"/>
        <v>46303</v>
      </c>
      <c r="AD104">
        <f t="shared" si="28"/>
        <v>41</v>
      </c>
      <c r="AE104" s="13">
        <f t="shared" si="16"/>
        <v>0</v>
      </c>
      <c r="AF104" s="13">
        <f t="shared" si="16"/>
        <v>0</v>
      </c>
      <c r="AG104" s="13">
        <f t="shared" si="16"/>
        <v>0</v>
      </c>
      <c r="AH104" s="13">
        <f t="shared" si="17"/>
        <v>0</v>
      </c>
      <c r="AI104" s="13">
        <f t="shared" si="17"/>
        <v>0</v>
      </c>
      <c r="AJ104" s="13">
        <f t="shared" si="17"/>
        <v>0</v>
      </c>
      <c r="AK104" s="13"/>
      <c r="AL104" s="13"/>
      <c r="AM104" s="13"/>
      <c r="AN104" s="13"/>
      <c r="AP104" s="2">
        <f t="shared" si="29"/>
        <v>46303</v>
      </c>
      <c r="AQ104">
        <f t="shared" si="30"/>
        <v>41</v>
      </c>
      <c r="AR104" s="18">
        <f>('Raw Data - Production'!D136/100)/60</f>
        <v>0</v>
      </c>
      <c r="AS104" s="18">
        <f>('Raw Data - Production'!E136/100)/60</f>
        <v>0</v>
      </c>
      <c r="AT104" s="18">
        <f>('Raw Data - Production'!G136/50)/60</f>
        <v>0</v>
      </c>
      <c r="AU104" s="18">
        <f>('Raw Data - Production'!H136/50)/60</f>
        <v>0</v>
      </c>
      <c r="AV104" s="18">
        <f>('Raw Data - Production'!I136/50)/60</f>
        <v>0</v>
      </c>
      <c r="AW104" s="18"/>
      <c r="AX104" s="18"/>
      <c r="AY104" s="18"/>
      <c r="AZ104" s="18"/>
    </row>
    <row r="105" spans="1:52" x14ac:dyDescent="0.35">
      <c r="A105" s="2">
        <f t="shared" si="18"/>
        <v>46304</v>
      </c>
      <c r="B105">
        <f t="shared" si="19"/>
        <v>41</v>
      </c>
      <c r="C105" s="13" t="str">
        <f t="shared" si="20"/>
        <v/>
      </c>
      <c r="D105" s="13" t="str">
        <f t="shared" si="21"/>
        <v/>
      </c>
      <c r="E105" s="13" t="str">
        <f t="shared" si="22"/>
        <v/>
      </c>
      <c r="F105" s="13" t="str">
        <f t="shared" si="23"/>
        <v/>
      </c>
      <c r="G105" s="13" t="str">
        <f t="shared" si="24"/>
        <v/>
      </c>
      <c r="H105" s="13" t="str">
        <f t="shared" si="25"/>
        <v/>
      </c>
      <c r="I105" s="13"/>
      <c r="J105" s="13"/>
      <c r="K105" s="13"/>
      <c r="L105" s="13"/>
      <c r="N105" s="2">
        <f>+'Daily Summary Old'!A132</f>
        <v>46304</v>
      </c>
      <c r="O105">
        <f t="shared" si="26"/>
        <v>41</v>
      </c>
      <c r="P105" s="13" t="str">
        <f>+IFERROR('Raw Data - Production'!K137/('Raw Data - Production'!D137*Weights!$B$2),"")</f>
        <v/>
      </c>
      <c r="Q105" s="13" t="str">
        <f>+IFERROR('Raw Data - Production'!L137/('Raw Data - Production'!E137*Weights!$B$2),"")</f>
        <v/>
      </c>
      <c r="R105" s="13" t="str">
        <f>+IFERROR('Raw Data - Production'!M137/('Raw Data - Production'!F137*Weights!$B$2),"")</f>
        <v/>
      </c>
      <c r="S105" s="13" t="str">
        <f>+IFERROR('Raw Data - Production'!N137/('Raw Data - Production'!G137*Weights!$B$2),"")</f>
        <v/>
      </c>
      <c r="T105" s="13" t="str">
        <f>+IFERROR('Raw Data - Production'!O137/('Raw Data - Production'!H137*Weights!$B$2),"")</f>
        <v/>
      </c>
      <c r="U105" s="13" t="str">
        <f>+IFERROR('Raw Data - Production'!P137/('Raw Data - Production'!I137*Weights!$B$2),"")</f>
        <v/>
      </c>
      <c r="V105" s="13"/>
      <c r="W105" s="13"/>
      <c r="X105" s="13"/>
      <c r="Y105" s="13"/>
      <c r="AA105" s="2">
        <f t="shared" si="27"/>
        <v>46304</v>
      </c>
      <c r="AD105">
        <f t="shared" si="28"/>
        <v>41</v>
      </c>
      <c r="AE105" s="13">
        <f t="shared" ref="AE105:AG161" si="31">$AB105/$AB$1</f>
        <v>0</v>
      </c>
      <c r="AF105" s="13">
        <f t="shared" si="31"/>
        <v>0</v>
      </c>
      <c r="AG105" s="13">
        <f t="shared" si="31"/>
        <v>0</v>
      </c>
      <c r="AH105" s="13">
        <f t="shared" ref="AH105:AJ161" si="32">+$AC105/$AC$1</f>
        <v>0</v>
      </c>
      <c r="AI105" s="13">
        <f t="shared" si="32"/>
        <v>0</v>
      </c>
      <c r="AJ105" s="13">
        <f t="shared" si="32"/>
        <v>0</v>
      </c>
      <c r="AK105" s="13"/>
      <c r="AL105" s="13"/>
      <c r="AM105" s="13"/>
      <c r="AN105" s="13"/>
      <c r="AP105" s="2">
        <f t="shared" si="29"/>
        <v>46304</v>
      </c>
      <c r="AQ105">
        <f t="shared" si="30"/>
        <v>41</v>
      </c>
      <c r="AR105" s="18">
        <f>('Raw Data - Production'!D137/100)/60</f>
        <v>0</v>
      </c>
      <c r="AS105" s="18">
        <f>('Raw Data - Production'!E137/100)/60</f>
        <v>0</v>
      </c>
      <c r="AT105" s="18">
        <f>('Raw Data - Production'!G137/50)/60</f>
        <v>0</v>
      </c>
      <c r="AU105" s="18">
        <f>('Raw Data - Production'!H137/50)/60</f>
        <v>0</v>
      </c>
      <c r="AV105" s="18">
        <f>('Raw Data - Production'!I137/50)/60</f>
        <v>0</v>
      </c>
      <c r="AW105" s="18"/>
      <c r="AX105" s="18"/>
      <c r="AY105" s="18"/>
      <c r="AZ105" s="18"/>
    </row>
    <row r="106" spans="1:52" x14ac:dyDescent="0.35">
      <c r="A106" s="2">
        <f t="shared" si="18"/>
        <v>46307</v>
      </c>
      <c r="B106">
        <f t="shared" si="19"/>
        <v>42</v>
      </c>
      <c r="C106" s="13" t="str">
        <f t="shared" si="20"/>
        <v/>
      </c>
      <c r="D106" s="13" t="str">
        <f t="shared" si="21"/>
        <v/>
      </c>
      <c r="E106" s="13" t="str">
        <f t="shared" si="22"/>
        <v/>
      </c>
      <c r="F106" s="13" t="str">
        <f t="shared" si="23"/>
        <v/>
      </c>
      <c r="G106" s="13" t="str">
        <f t="shared" si="24"/>
        <v/>
      </c>
      <c r="H106" s="13" t="str">
        <f t="shared" si="25"/>
        <v/>
      </c>
      <c r="I106" s="13"/>
      <c r="J106" s="13"/>
      <c r="K106" s="13"/>
      <c r="L106" s="13"/>
      <c r="N106" s="2">
        <f>+'Daily Summary Old'!A133</f>
        <v>46307</v>
      </c>
      <c r="O106">
        <f t="shared" si="26"/>
        <v>42</v>
      </c>
      <c r="P106" s="13" t="str">
        <f>+IFERROR('Raw Data - Production'!K138/('Raw Data - Production'!D138*Weights!$B$2),"")</f>
        <v/>
      </c>
      <c r="Q106" s="13" t="str">
        <f>+IFERROR('Raw Data - Production'!L138/('Raw Data - Production'!E138*Weights!$B$2),"")</f>
        <v/>
      </c>
      <c r="R106" s="13" t="str">
        <f>+IFERROR('Raw Data - Production'!M138/('Raw Data - Production'!F138*Weights!$B$2),"")</f>
        <v/>
      </c>
      <c r="S106" s="13" t="str">
        <f>+IFERROR('Raw Data - Production'!N138/('Raw Data - Production'!G138*Weights!$B$2),"")</f>
        <v/>
      </c>
      <c r="T106" s="13" t="str">
        <f>+IFERROR('Raw Data - Production'!O138/('Raw Data - Production'!H138*Weights!$B$2),"")</f>
        <v/>
      </c>
      <c r="U106" s="13" t="str">
        <f>+IFERROR('Raw Data - Production'!P138/('Raw Data - Production'!I138*Weights!$B$2),"")</f>
        <v/>
      </c>
      <c r="V106" s="13"/>
      <c r="W106" s="13"/>
      <c r="X106" s="13"/>
      <c r="Y106" s="13"/>
      <c r="AA106" s="2">
        <f t="shared" si="27"/>
        <v>46307</v>
      </c>
      <c r="AD106">
        <f t="shared" si="28"/>
        <v>42</v>
      </c>
      <c r="AE106" s="13">
        <f t="shared" si="31"/>
        <v>0</v>
      </c>
      <c r="AF106" s="13">
        <f t="shared" si="31"/>
        <v>0</v>
      </c>
      <c r="AG106" s="13">
        <f t="shared" si="31"/>
        <v>0</v>
      </c>
      <c r="AH106" s="13">
        <f t="shared" si="32"/>
        <v>0</v>
      </c>
      <c r="AI106" s="13">
        <f t="shared" si="32"/>
        <v>0</v>
      </c>
      <c r="AJ106" s="13">
        <f t="shared" si="32"/>
        <v>0</v>
      </c>
      <c r="AK106" s="13"/>
      <c r="AL106" s="13"/>
      <c r="AM106" s="13"/>
      <c r="AN106" s="13"/>
      <c r="AP106" s="2">
        <f t="shared" si="29"/>
        <v>46307</v>
      </c>
      <c r="AQ106">
        <f t="shared" si="30"/>
        <v>42</v>
      </c>
      <c r="AR106" s="18">
        <f>('Raw Data - Production'!D138/100)/60</f>
        <v>0</v>
      </c>
      <c r="AS106" s="18">
        <f>('Raw Data - Production'!E138/100)/60</f>
        <v>0</v>
      </c>
      <c r="AT106" s="18">
        <f>('Raw Data - Production'!G138/50)/60</f>
        <v>0</v>
      </c>
      <c r="AU106" s="18">
        <f>('Raw Data - Production'!H138/50)/60</f>
        <v>0</v>
      </c>
      <c r="AV106" s="18">
        <f>('Raw Data - Production'!I138/50)/60</f>
        <v>0</v>
      </c>
      <c r="AW106" s="18"/>
      <c r="AX106" s="18"/>
      <c r="AY106" s="18"/>
      <c r="AZ106" s="18"/>
    </row>
    <row r="107" spans="1:52" x14ac:dyDescent="0.35">
      <c r="A107" s="2">
        <f t="shared" si="18"/>
        <v>46308</v>
      </c>
      <c r="B107">
        <f t="shared" si="19"/>
        <v>42</v>
      </c>
      <c r="C107" s="13" t="str">
        <f t="shared" si="20"/>
        <v/>
      </c>
      <c r="D107" s="13" t="str">
        <f t="shared" si="21"/>
        <v/>
      </c>
      <c r="E107" s="13" t="str">
        <f t="shared" si="22"/>
        <v/>
      </c>
      <c r="F107" s="13" t="str">
        <f t="shared" si="23"/>
        <v/>
      </c>
      <c r="G107" s="13" t="str">
        <f t="shared" si="24"/>
        <v/>
      </c>
      <c r="H107" s="13" t="str">
        <f t="shared" si="25"/>
        <v/>
      </c>
      <c r="I107" s="13"/>
      <c r="J107" s="13"/>
      <c r="K107" s="13"/>
      <c r="L107" s="13"/>
      <c r="N107" s="2">
        <f>+'Daily Summary Old'!A134</f>
        <v>46308</v>
      </c>
      <c r="O107">
        <f t="shared" si="26"/>
        <v>42</v>
      </c>
      <c r="P107" s="13" t="str">
        <f>+IFERROR('Raw Data - Production'!K139/('Raw Data - Production'!D139*Weights!$B$2),"")</f>
        <v/>
      </c>
      <c r="Q107" s="13" t="str">
        <f>+IFERROR('Raw Data - Production'!L139/('Raw Data - Production'!E139*Weights!$B$2),"")</f>
        <v/>
      </c>
      <c r="R107" s="13" t="str">
        <f>+IFERROR('Raw Data - Production'!M139/('Raw Data - Production'!F139*Weights!$B$2),"")</f>
        <v/>
      </c>
      <c r="S107" s="13" t="str">
        <f>+IFERROR('Raw Data - Production'!N139/('Raw Data - Production'!G139*Weights!$B$2),"")</f>
        <v/>
      </c>
      <c r="T107" s="13" t="str">
        <f>+IFERROR('Raw Data - Production'!O139/('Raw Data - Production'!H139*Weights!$B$2),"")</f>
        <v/>
      </c>
      <c r="U107" s="13" t="str">
        <f>+IFERROR('Raw Data - Production'!P139/('Raw Data - Production'!I139*Weights!$B$2),"")</f>
        <v/>
      </c>
      <c r="V107" s="13"/>
      <c r="W107" s="13"/>
      <c r="X107" s="13"/>
      <c r="Y107" s="13"/>
      <c r="AA107" s="2">
        <f t="shared" si="27"/>
        <v>46308</v>
      </c>
      <c r="AD107">
        <f t="shared" si="28"/>
        <v>42</v>
      </c>
      <c r="AE107" s="13">
        <f t="shared" si="31"/>
        <v>0</v>
      </c>
      <c r="AF107" s="13">
        <f t="shared" si="31"/>
        <v>0</v>
      </c>
      <c r="AG107" s="13">
        <f t="shared" si="31"/>
        <v>0</v>
      </c>
      <c r="AH107" s="13">
        <f t="shared" si="32"/>
        <v>0</v>
      </c>
      <c r="AI107" s="13">
        <f t="shared" si="32"/>
        <v>0</v>
      </c>
      <c r="AJ107" s="13">
        <f t="shared" si="32"/>
        <v>0</v>
      </c>
      <c r="AK107" s="13"/>
      <c r="AL107" s="13"/>
      <c r="AM107" s="13"/>
      <c r="AN107" s="13"/>
      <c r="AP107" s="2">
        <f t="shared" si="29"/>
        <v>46308</v>
      </c>
      <c r="AQ107">
        <f t="shared" si="30"/>
        <v>42</v>
      </c>
      <c r="AR107" s="18">
        <f>('Raw Data - Production'!D139/100)/60</f>
        <v>0</v>
      </c>
      <c r="AS107" s="18">
        <f>('Raw Data - Production'!E139/100)/60</f>
        <v>0</v>
      </c>
      <c r="AT107" s="18">
        <f>('Raw Data - Production'!G139/50)/60</f>
        <v>0</v>
      </c>
      <c r="AU107" s="18">
        <f>('Raw Data - Production'!H139/50)/60</f>
        <v>0</v>
      </c>
      <c r="AV107" s="18">
        <f>('Raw Data - Production'!I139/50)/60</f>
        <v>0</v>
      </c>
      <c r="AW107" s="18"/>
      <c r="AX107" s="18"/>
      <c r="AY107" s="18"/>
      <c r="AZ107" s="18"/>
    </row>
    <row r="108" spans="1:52" x14ac:dyDescent="0.35">
      <c r="A108" s="2">
        <f t="shared" si="18"/>
        <v>46309</v>
      </c>
      <c r="B108">
        <f t="shared" si="19"/>
        <v>42</v>
      </c>
      <c r="C108" s="13" t="str">
        <f t="shared" si="20"/>
        <v/>
      </c>
      <c r="D108" s="13" t="str">
        <f t="shared" si="21"/>
        <v/>
      </c>
      <c r="E108" s="13" t="str">
        <f t="shared" si="22"/>
        <v/>
      </c>
      <c r="F108" s="13" t="str">
        <f t="shared" si="23"/>
        <v/>
      </c>
      <c r="G108" s="13" t="str">
        <f t="shared" si="24"/>
        <v/>
      </c>
      <c r="H108" s="13" t="str">
        <f t="shared" si="25"/>
        <v/>
      </c>
      <c r="I108" s="13"/>
      <c r="J108" s="13"/>
      <c r="K108" s="13"/>
      <c r="L108" s="13"/>
      <c r="N108" s="2">
        <f>+'Daily Summary Old'!A135</f>
        <v>46309</v>
      </c>
      <c r="O108">
        <f t="shared" si="26"/>
        <v>42</v>
      </c>
      <c r="P108" s="13" t="str">
        <f>+IFERROR('Raw Data - Production'!K140/('Raw Data - Production'!D140*Weights!$B$2),"")</f>
        <v/>
      </c>
      <c r="Q108" s="13" t="str">
        <f>+IFERROR('Raw Data - Production'!L140/('Raw Data - Production'!E140*Weights!$B$2),"")</f>
        <v/>
      </c>
      <c r="R108" s="13" t="str">
        <f>+IFERROR('Raw Data - Production'!M140/('Raw Data - Production'!F140*Weights!$B$2),"")</f>
        <v/>
      </c>
      <c r="S108" s="13" t="str">
        <f>+IFERROR('Raw Data - Production'!N140/('Raw Data - Production'!G140*Weights!$B$2),"")</f>
        <v/>
      </c>
      <c r="T108" s="13" t="str">
        <f>+IFERROR('Raw Data - Production'!O140/('Raw Data - Production'!H140*Weights!$B$2),"")</f>
        <v/>
      </c>
      <c r="U108" s="13" t="str">
        <f>+IFERROR('Raw Data - Production'!P140/('Raw Data - Production'!I140*Weights!$B$2),"")</f>
        <v/>
      </c>
      <c r="V108" s="13"/>
      <c r="W108" s="13"/>
      <c r="X108" s="13"/>
      <c r="Y108" s="13"/>
      <c r="AA108" s="2">
        <f t="shared" si="27"/>
        <v>46309</v>
      </c>
      <c r="AD108">
        <f t="shared" si="28"/>
        <v>42</v>
      </c>
      <c r="AE108" s="13">
        <f t="shared" si="31"/>
        <v>0</v>
      </c>
      <c r="AF108" s="13">
        <f t="shared" si="31"/>
        <v>0</v>
      </c>
      <c r="AG108" s="13">
        <f t="shared" si="31"/>
        <v>0</v>
      </c>
      <c r="AH108" s="13">
        <f t="shared" si="32"/>
        <v>0</v>
      </c>
      <c r="AI108" s="13">
        <f t="shared" si="32"/>
        <v>0</v>
      </c>
      <c r="AJ108" s="13">
        <f t="shared" si="32"/>
        <v>0</v>
      </c>
      <c r="AK108" s="13"/>
      <c r="AL108" s="13"/>
      <c r="AM108" s="13"/>
      <c r="AN108" s="13"/>
      <c r="AP108" s="2">
        <f t="shared" si="29"/>
        <v>46309</v>
      </c>
      <c r="AQ108">
        <f t="shared" si="30"/>
        <v>42</v>
      </c>
      <c r="AR108" s="18">
        <f>('Raw Data - Production'!D140/100)/60</f>
        <v>0</v>
      </c>
      <c r="AS108" s="18">
        <f>('Raw Data - Production'!E140/100)/60</f>
        <v>0</v>
      </c>
      <c r="AT108" s="18">
        <f>('Raw Data - Production'!G140/50)/60</f>
        <v>0</v>
      </c>
      <c r="AU108" s="18">
        <f>('Raw Data - Production'!H140/50)/60</f>
        <v>0</v>
      </c>
      <c r="AV108" s="18">
        <f>('Raw Data - Production'!I140/50)/60</f>
        <v>0</v>
      </c>
      <c r="AW108" s="18"/>
      <c r="AX108" s="18"/>
      <c r="AY108" s="18"/>
      <c r="AZ108" s="18"/>
    </row>
    <row r="109" spans="1:52" x14ac:dyDescent="0.35">
      <c r="A109" s="2">
        <f t="shared" si="18"/>
        <v>46310</v>
      </c>
      <c r="B109">
        <f t="shared" si="19"/>
        <v>42</v>
      </c>
      <c r="C109" s="13" t="str">
        <f t="shared" si="20"/>
        <v/>
      </c>
      <c r="D109" s="13" t="str">
        <f t="shared" si="21"/>
        <v/>
      </c>
      <c r="E109" s="13" t="str">
        <f t="shared" si="22"/>
        <v/>
      </c>
      <c r="F109" s="13" t="str">
        <f t="shared" si="23"/>
        <v/>
      </c>
      <c r="G109" s="13" t="str">
        <f t="shared" si="24"/>
        <v/>
      </c>
      <c r="H109" s="13" t="str">
        <f t="shared" si="25"/>
        <v/>
      </c>
      <c r="I109" s="13"/>
      <c r="J109" s="13"/>
      <c r="K109" s="13"/>
      <c r="L109" s="13"/>
      <c r="N109" s="2">
        <f>+'Daily Summary Old'!A136</f>
        <v>46310</v>
      </c>
      <c r="O109">
        <f t="shared" si="26"/>
        <v>42</v>
      </c>
      <c r="P109" s="13" t="str">
        <f>+IFERROR('Raw Data - Production'!K141/('Raw Data - Production'!D141*Weights!$B$2),"")</f>
        <v/>
      </c>
      <c r="Q109" s="13" t="str">
        <f>+IFERROR('Raw Data - Production'!L141/('Raw Data - Production'!E141*Weights!$B$2),"")</f>
        <v/>
      </c>
      <c r="R109" s="13" t="str">
        <f>+IFERROR('Raw Data - Production'!M141/('Raw Data - Production'!F141*Weights!$B$2),"")</f>
        <v/>
      </c>
      <c r="S109" s="13" t="str">
        <f>+IFERROR('Raw Data - Production'!N141/('Raw Data - Production'!G141*Weights!$B$2),"")</f>
        <v/>
      </c>
      <c r="T109" s="13" t="str">
        <f>+IFERROR('Raw Data - Production'!O141/('Raw Data - Production'!H141*Weights!$B$2),"")</f>
        <v/>
      </c>
      <c r="U109" s="13" t="str">
        <f>+IFERROR('Raw Data - Production'!P141/('Raw Data - Production'!I141*Weights!$B$2),"")</f>
        <v/>
      </c>
      <c r="V109" s="13"/>
      <c r="W109" s="13"/>
      <c r="X109" s="13"/>
      <c r="Y109" s="13"/>
      <c r="AA109" s="2">
        <f t="shared" si="27"/>
        <v>46310</v>
      </c>
      <c r="AD109">
        <f t="shared" si="28"/>
        <v>42</v>
      </c>
      <c r="AE109" s="13">
        <f t="shared" si="31"/>
        <v>0</v>
      </c>
      <c r="AF109" s="13">
        <f t="shared" si="31"/>
        <v>0</v>
      </c>
      <c r="AG109" s="13">
        <f t="shared" si="31"/>
        <v>0</v>
      </c>
      <c r="AH109" s="13">
        <f t="shared" si="32"/>
        <v>0</v>
      </c>
      <c r="AI109" s="13">
        <f t="shared" si="32"/>
        <v>0</v>
      </c>
      <c r="AJ109" s="13">
        <f t="shared" si="32"/>
        <v>0</v>
      </c>
      <c r="AK109" s="13"/>
      <c r="AL109" s="13"/>
      <c r="AM109" s="13"/>
      <c r="AN109" s="13"/>
      <c r="AP109" s="2">
        <f t="shared" si="29"/>
        <v>46310</v>
      </c>
      <c r="AQ109">
        <f t="shared" si="30"/>
        <v>42</v>
      </c>
      <c r="AR109" s="18">
        <f>('Raw Data - Production'!D141/100)/60</f>
        <v>0</v>
      </c>
      <c r="AS109" s="18">
        <f>('Raw Data - Production'!E141/100)/60</f>
        <v>0</v>
      </c>
      <c r="AT109" s="18">
        <f>('Raw Data - Production'!G141/50)/60</f>
        <v>0</v>
      </c>
      <c r="AU109" s="18">
        <f>('Raw Data - Production'!H141/50)/60</f>
        <v>0</v>
      </c>
      <c r="AV109" s="18">
        <f>('Raw Data - Production'!I141/50)/60</f>
        <v>0</v>
      </c>
      <c r="AW109" s="18"/>
      <c r="AX109" s="18"/>
      <c r="AY109" s="18"/>
      <c r="AZ109" s="18"/>
    </row>
    <row r="110" spans="1:52" x14ac:dyDescent="0.35">
      <c r="A110" s="2">
        <f t="shared" si="18"/>
        <v>46311</v>
      </c>
      <c r="B110">
        <f t="shared" si="19"/>
        <v>42</v>
      </c>
      <c r="C110" s="13" t="str">
        <f t="shared" si="20"/>
        <v/>
      </c>
      <c r="D110" s="13" t="str">
        <f t="shared" si="21"/>
        <v/>
      </c>
      <c r="E110" s="13" t="str">
        <f t="shared" si="22"/>
        <v/>
      </c>
      <c r="F110" s="13" t="str">
        <f t="shared" si="23"/>
        <v/>
      </c>
      <c r="G110" s="13" t="str">
        <f t="shared" si="24"/>
        <v/>
      </c>
      <c r="H110" s="13" t="str">
        <f t="shared" si="25"/>
        <v/>
      </c>
      <c r="I110" s="13"/>
      <c r="J110" s="13"/>
      <c r="K110" s="13"/>
      <c r="L110" s="13"/>
      <c r="N110" s="2">
        <f>+'Daily Summary Old'!A137</f>
        <v>46311</v>
      </c>
      <c r="O110">
        <f t="shared" si="26"/>
        <v>42</v>
      </c>
      <c r="P110" s="13" t="str">
        <f>+IFERROR('Raw Data - Production'!K142/('Raw Data - Production'!D142*Weights!$B$2),"")</f>
        <v/>
      </c>
      <c r="Q110" s="13" t="str">
        <f>+IFERROR('Raw Data - Production'!L142/('Raw Data - Production'!E142*Weights!$B$2),"")</f>
        <v/>
      </c>
      <c r="R110" s="13" t="str">
        <f>+IFERROR('Raw Data - Production'!M142/('Raw Data - Production'!F142*Weights!$B$2),"")</f>
        <v/>
      </c>
      <c r="S110" s="13" t="str">
        <f>+IFERROR('Raw Data - Production'!N142/('Raw Data - Production'!G142*Weights!$B$2),"")</f>
        <v/>
      </c>
      <c r="T110" s="13" t="str">
        <f>+IFERROR('Raw Data - Production'!O142/('Raw Data - Production'!H142*Weights!$B$2),"")</f>
        <v/>
      </c>
      <c r="U110" s="13" t="str">
        <f>+IFERROR('Raw Data - Production'!P142/('Raw Data - Production'!I142*Weights!$B$2),"")</f>
        <v/>
      </c>
      <c r="V110" s="13"/>
      <c r="W110" s="13"/>
      <c r="X110" s="13"/>
      <c r="Y110" s="13"/>
      <c r="AA110" s="2">
        <f t="shared" si="27"/>
        <v>46311</v>
      </c>
      <c r="AD110">
        <f t="shared" si="28"/>
        <v>42</v>
      </c>
      <c r="AE110" s="13">
        <f t="shared" si="31"/>
        <v>0</v>
      </c>
      <c r="AF110" s="13">
        <f t="shared" si="31"/>
        <v>0</v>
      </c>
      <c r="AG110" s="13">
        <f t="shared" si="31"/>
        <v>0</v>
      </c>
      <c r="AH110" s="13">
        <f t="shared" si="32"/>
        <v>0</v>
      </c>
      <c r="AI110" s="13">
        <f t="shared" si="32"/>
        <v>0</v>
      </c>
      <c r="AJ110" s="13">
        <f t="shared" si="32"/>
        <v>0</v>
      </c>
      <c r="AK110" s="13"/>
      <c r="AL110" s="13"/>
      <c r="AM110" s="13"/>
      <c r="AN110" s="13"/>
      <c r="AP110" s="2">
        <f t="shared" si="29"/>
        <v>46311</v>
      </c>
      <c r="AQ110">
        <f t="shared" si="30"/>
        <v>42</v>
      </c>
      <c r="AR110" s="18">
        <f>('Raw Data - Production'!D142/100)/60</f>
        <v>0</v>
      </c>
      <c r="AS110" s="18">
        <f>('Raw Data - Production'!E142/100)/60</f>
        <v>0</v>
      </c>
      <c r="AT110" s="18">
        <f>('Raw Data - Production'!G142/50)/60</f>
        <v>0</v>
      </c>
      <c r="AU110" s="18">
        <f>('Raw Data - Production'!H142/50)/60</f>
        <v>0</v>
      </c>
      <c r="AV110" s="18">
        <f>('Raw Data - Production'!I142/50)/60</f>
        <v>0</v>
      </c>
      <c r="AW110" s="18"/>
      <c r="AX110" s="18"/>
      <c r="AY110" s="18"/>
      <c r="AZ110" s="18"/>
    </row>
    <row r="111" spans="1:52" x14ac:dyDescent="0.35">
      <c r="A111" s="2">
        <f t="shared" si="18"/>
        <v>46314</v>
      </c>
      <c r="B111">
        <f t="shared" si="19"/>
        <v>43</v>
      </c>
      <c r="C111" s="13" t="str">
        <f t="shared" si="20"/>
        <v/>
      </c>
      <c r="D111" s="13" t="str">
        <f t="shared" si="21"/>
        <v/>
      </c>
      <c r="E111" s="13" t="str">
        <f t="shared" si="22"/>
        <v/>
      </c>
      <c r="F111" s="13" t="str">
        <f t="shared" si="23"/>
        <v/>
      </c>
      <c r="G111" s="13" t="str">
        <f t="shared" si="24"/>
        <v/>
      </c>
      <c r="H111" s="13" t="str">
        <f t="shared" si="25"/>
        <v/>
      </c>
      <c r="I111" s="13"/>
      <c r="J111" s="13"/>
      <c r="K111" s="13"/>
      <c r="L111" s="13"/>
      <c r="N111" s="2">
        <f>+'Daily Summary Old'!A138</f>
        <v>46314</v>
      </c>
      <c r="O111">
        <f t="shared" si="26"/>
        <v>43</v>
      </c>
      <c r="P111" s="13" t="str">
        <f>+IFERROR('Raw Data - Production'!K143/('Raw Data - Production'!D143*Weights!$B$2),"")</f>
        <v/>
      </c>
      <c r="Q111" s="13" t="str">
        <f>+IFERROR('Raw Data - Production'!L143/('Raw Data - Production'!E143*Weights!$B$2),"")</f>
        <v/>
      </c>
      <c r="R111" s="13" t="str">
        <f>+IFERROR('Raw Data - Production'!M143/('Raw Data - Production'!F143*Weights!$B$2),"")</f>
        <v/>
      </c>
      <c r="S111" s="13" t="str">
        <f>+IFERROR('Raw Data - Production'!N143/('Raw Data - Production'!G143*Weights!$B$2),"")</f>
        <v/>
      </c>
      <c r="T111" s="13" t="str">
        <f>+IFERROR('Raw Data - Production'!O143/('Raw Data - Production'!H143*Weights!$B$2),"")</f>
        <v/>
      </c>
      <c r="U111" s="13" t="str">
        <f>+IFERROR('Raw Data - Production'!P143/('Raw Data - Production'!I143*Weights!$B$2),"")</f>
        <v/>
      </c>
      <c r="V111" s="13"/>
      <c r="W111" s="13"/>
      <c r="X111" s="13"/>
      <c r="Y111" s="13"/>
      <c r="AA111" s="2">
        <f t="shared" si="27"/>
        <v>46314</v>
      </c>
      <c r="AD111">
        <f t="shared" si="28"/>
        <v>43</v>
      </c>
      <c r="AE111" s="13">
        <f t="shared" si="31"/>
        <v>0</v>
      </c>
      <c r="AF111" s="13">
        <f t="shared" si="31"/>
        <v>0</v>
      </c>
      <c r="AG111" s="13">
        <f t="shared" si="31"/>
        <v>0</v>
      </c>
      <c r="AH111" s="13">
        <f t="shared" si="32"/>
        <v>0</v>
      </c>
      <c r="AI111" s="13">
        <f t="shared" si="32"/>
        <v>0</v>
      </c>
      <c r="AJ111" s="13">
        <f t="shared" si="32"/>
        <v>0</v>
      </c>
      <c r="AK111" s="13"/>
      <c r="AL111" s="13"/>
      <c r="AM111" s="13"/>
      <c r="AN111" s="13"/>
      <c r="AP111" s="2">
        <f t="shared" si="29"/>
        <v>46314</v>
      </c>
      <c r="AQ111">
        <f t="shared" si="30"/>
        <v>43</v>
      </c>
      <c r="AR111" s="18">
        <f>('Raw Data - Production'!D143/100)/60</f>
        <v>0</v>
      </c>
      <c r="AS111" s="18">
        <f>('Raw Data - Production'!E143/100)/60</f>
        <v>0</v>
      </c>
      <c r="AT111" s="18">
        <f>('Raw Data - Production'!G143/50)/60</f>
        <v>0</v>
      </c>
      <c r="AU111" s="18">
        <f>('Raw Data - Production'!H143/50)/60</f>
        <v>0</v>
      </c>
      <c r="AV111" s="18">
        <f>('Raw Data - Production'!I143/50)/60</f>
        <v>0</v>
      </c>
      <c r="AW111" s="18"/>
      <c r="AX111" s="18"/>
      <c r="AY111" s="18"/>
      <c r="AZ111" s="18"/>
    </row>
    <row r="112" spans="1:52" x14ac:dyDescent="0.35">
      <c r="A112" s="2">
        <f t="shared" si="18"/>
        <v>46315</v>
      </c>
      <c r="B112">
        <f t="shared" si="19"/>
        <v>43</v>
      </c>
      <c r="C112" s="13" t="str">
        <f t="shared" si="20"/>
        <v/>
      </c>
      <c r="D112" s="13" t="str">
        <f t="shared" si="21"/>
        <v/>
      </c>
      <c r="E112" s="13" t="str">
        <f t="shared" si="22"/>
        <v/>
      </c>
      <c r="F112" s="13" t="str">
        <f t="shared" si="23"/>
        <v/>
      </c>
      <c r="G112" s="13" t="str">
        <f t="shared" si="24"/>
        <v/>
      </c>
      <c r="H112" s="13" t="str">
        <f t="shared" si="25"/>
        <v/>
      </c>
      <c r="I112" s="13"/>
      <c r="J112" s="13"/>
      <c r="K112" s="13"/>
      <c r="L112" s="13"/>
      <c r="N112" s="2">
        <f>+'Daily Summary Old'!A139</f>
        <v>46315</v>
      </c>
      <c r="O112">
        <f t="shared" si="26"/>
        <v>43</v>
      </c>
      <c r="P112" s="13" t="str">
        <f>+IFERROR('Raw Data - Production'!K144/('Raw Data - Production'!D144*Weights!$B$2),"")</f>
        <v/>
      </c>
      <c r="Q112" s="13" t="str">
        <f>+IFERROR('Raw Data - Production'!L144/('Raw Data - Production'!E144*Weights!$B$2),"")</f>
        <v/>
      </c>
      <c r="R112" s="13" t="str">
        <f>+IFERROR('Raw Data - Production'!M144/('Raw Data - Production'!F144*Weights!$B$2),"")</f>
        <v/>
      </c>
      <c r="S112" s="13" t="str">
        <f>+IFERROR('Raw Data - Production'!N144/('Raw Data - Production'!G144*Weights!$B$2),"")</f>
        <v/>
      </c>
      <c r="T112" s="13" t="str">
        <f>+IFERROR('Raw Data - Production'!O144/('Raw Data - Production'!H144*Weights!$B$2),"")</f>
        <v/>
      </c>
      <c r="U112" s="13" t="str">
        <f>+IFERROR('Raw Data - Production'!P144/('Raw Data - Production'!I144*Weights!$B$2),"")</f>
        <v/>
      </c>
      <c r="V112" s="13"/>
      <c r="W112" s="13"/>
      <c r="X112" s="13"/>
      <c r="Y112" s="13"/>
      <c r="AA112" s="2">
        <f t="shared" si="27"/>
        <v>46315</v>
      </c>
      <c r="AD112">
        <f t="shared" si="28"/>
        <v>43</v>
      </c>
      <c r="AE112" s="13">
        <f t="shared" si="31"/>
        <v>0</v>
      </c>
      <c r="AF112" s="13">
        <f t="shared" si="31"/>
        <v>0</v>
      </c>
      <c r="AG112" s="13">
        <f t="shared" si="31"/>
        <v>0</v>
      </c>
      <c r="AH112" s="13">
        <f t="shared" si="32"/>
        <v>0</v>
      </c>
      <c r="AI112" s="13">
        <f t="shared" si="32"/>
        <v>0</v>
      </c>
      <c r="AJ112" s="13">
        <f t="shared" si="32"/>
        <v>0</v>
      </c>
      <c r="AK112" s="13"/>
      <c r="AL112" s="13"/>
      <c r="AM112" s="13"/>
      <c r="AN112" s="13"/>
      <c r="AP112" s="2">
        <f t="shared" si="29"/>
        <v>46315</v>
      </c>
      <c r="AQ112">
        <f t="shared" si="30"/>
        <v>43</v>
      </c>
      <c r="AR112" s="18">
        <f>('Raw Data - Production'!D144/100)/60</f>
        <v>0</v>
      </c>
      <c r="AS112" s="18">
        <f>('Raw Data - Production'!E144/100)/60</f>
        <v>0</v>
      </c>
      <c r="AT112" s="18">
        <f>('Raw Data - Production'!G144/50)/60</f>
        <v>0</v>
      </c>
      <c r="AU112" s="18">
        <f>('Raw Data - Production'!H144/50)/60</f>
        <v>0</v>
      </c>
      <c r="AV112" s="18">
        <f>('Raw Data - Production'!I144/50)/60</f>
        <v>0</v>
      </c>
      <c r="AW112" s="18"/>
      <c r="AX112" s="18"/>
      <c r="AY112" s="18"/>
      <c r="AZ112" s="18"/>
    </row>
    <row r="113" spans="1:52" x14ac:dyDescent="0.35">
      <c r="A113" s="2">
        <f t="shared" si="18"/>
        <v>46316</v>
      </c>
      <c r="B113">
        <f t="shared" si="19"/>
        <v>43</v>
      </c>
      <c r="C113" s="13" t="str">
        <f t="shared" si="20"/>
        <v/>
      </c>
      <c r="D113" s="13" t="str">
        <f t="shared" si="21"/>
        <v/>
      </c>
      <c r="E113" s="13" t="str">
        <f t="shared" si="22"/>
        <v/>
      </c>
      <c r="F113" s="13" t="str">
        <f t="shared" si="23"/>
        <v/>
      </c>
      <c r="G113" s="13" t="str">
        <f t="shared" si="24"/>
        <v/>
      </c>
      <c r="H113" s="13" t="str">
        <f t="shared" si="25"/>
        <v/>
      </c>
      <c r="I113" s="13"/>
      <c r="J113" s="13"/>
      <c r="K113" s="13"/>
      <c r="L113" s="13"/>
      <c r="N113" s="2">
        <f>+'Daily Summary Old'!A140</f>
        <v>46316</v>
      </c>
      <c r="O113">
        <f t="shared" si="26"/>
        <v>43</v>
      </c>
      <c r="P113" s="13" t="str">
        <f>+IFERROR('Raw Data - Production'!K145/('Raw Data - Production'!D145*Weights!$B$2),"")</f>
        <v/>
      </c>
      <c r="Q113" s="13" t="str">
        <f>+IFERROR('Raw Data - Production'!L145/('Raw Data - Production'!E145*Weights!$B$2),"")</f>
        <v/>
      </c>
      <c r="R113" s="13" t="str">
        <f>+IFERROR('Raw Data - Production'!M145/('Raw Data - Production'!F145*Weights!$B$2),"")</f>
        <v/>
      </c>
      <c r="S113" s="13" t="str">
        <f>+IFERROR('Raw Data - Production'!N145/('Raw Data - Production'!G145*Weights!$B$2),"")</f>
        <v/>
      </c>
      <c r="T113" s="13" t="str">
        <f>+IFERROR('Raw Data - Production'!O145/('Raw Data - Production'!H145*Weights!$B$2),"")</f>
        <v/>
      </c>
      <c r="U113" s="13" t="str">
        <f>+IFERROR('Raw Data - Production'!P145/('Raw Data - Production'!I145*Weights!$B$2),"")</f>
        <v/>
      </c>
      <c r="V113" s="13"/>
      <c r="W113" s="13"/>
      <c r="X113" s="13"/>
      <c r="Y113" s="13"/>
      <c r="AA113" s="2">
        <f t="shared" si="27"/>
        <v>46316</v>
      </c>
      <c r="AD113">
        <f t="shared" si="28"/>
        <v>43</v>
      </c>
      <c r="AE113" s="13">
        <f t="shared" si="31"/>
        <v>0</v>
      </c>
      <c r="AF113" s="13">
        <f t="shared" si="31"/>
        <v>0</v>
      </c>
      <c r="AG113" s="13">
        <f t="shared" si="31"/>
        <v>0</v>
      </c>
      <c r="AH113" s="13">
        <f t="shared" si="32"/>
        <v>0</v>
      </c>
      <c r="AI113" s="13">
        <f t="shared" si="32"/>
        <v>0</v>
      </c>
      <c r="AJ113" s="13">
        <f t="shared" si="32"/>
        <v>0</v>
      </c>
      <c r="AK113" s="13"/>
      <c r="AL113" s="13"/>
      <c r="AM113" s="13"/>
      <c r="AN113" s="13"/>
      <c r="AP113" s="2">
        <f t="shared" si="29"/>
        <v>46316</v>
      </c>
      <c r="AQ113">
        <f t="shared" si="30"/>
        <v>43</v>
      </c>
      <c r="AR113" s="18">
        <f>('Raw Data - Production'!D145/100)/60</f>
        <v>0</v>
      </c>
      <c r="AS113" s="18">
        <f>('Raw Data - Production'!E145/100)/60</f>
        <v>0</v>
      </c>
      <c r="AT113" s="18">
        <f>('Raw Data - Production'!G145/50)/60</f>
        <v>0</v>
      </c>
      <c r="AU113" s="18">
        <f>('Raw Data - Production'!H145/50)/60</f>
        <v>0</v>
      </c>
      <c r="AV113" s="18">
        <f>('Raw Data - Production'!I145/50)/60</f>
        <v>0</v>
      </c>
      <c r="AW113" s="18"/>
      <c r="AX113" s="18"/>
      <c r="AY113" s="18"/>
      <c r="AZ113" s="18"/>
    </row>
    <row r="114" spans="1:52" x14ac:dyDescent="0.35">
      <c r="A114" s="2">
        <f t="shared" si="18"/>
        <v>46317</v>
      </c>
      <c r="B114">
        <f t="shared" si="19"/>
        <v>43</v>
      </c>
      <c r="C114" s="13" t="str">
        <f t="shared" si="20"/>
        <v/>
      </c>
      <c r="D114" s="13" t="str">
        <f t="shared" si="21"/>
        <v/>
      </c>
      <c r="E114" s="13" t="str">
        <f t="shared" si="22"/>
        <v/>
      </c>
      <c r="F114" s="13" t="str">
        <f t="shared" si="23"/>
        <v/>
      </c>
      <c r="G114" s="13" t="str">
        <f t="shared" si="24"/>
        <v/>
      </c>
      <c r="H114" s="13" t="str">
        <f t="shared" si="25"/>
        <v/>
      </c>
      <c r="I114" s="13"/>
      <c r="J114" s="13"/>
      <c r="K114" s="13"/>
      <c r="L114" s="13"/>
      <c r="N114" s="2">
        <f>+'Daily Summary Old'!A141</f>
        <v>46317</v>
      </c>
      <c r="O114">
        <f t="shared" si="26"/>
        <v>43</v>
      </c>
      <c r="P114" s="13" t="str">
        <f>+IFERROR('Raw Data - Production'!K146/('Raw Data - Production'!D146*Weights!$B$2),"")</f>
        <v/>
      </c>
      <c r="Q114" s="13" t="str">
        <f>+IFERROR('Raw Data - Production'!L146/('Raw Data - Production'!E146*Weights!$B$2),"")</f>
        <v/>
      </c>
      <c r="R114" s="13" t="str">
        <f>+IFERROR('Raw Data - Production'!M146/('Raw Data - Production'!F146*Weights!$B$2),"")</f>
        <v/>
      </c>
      <c r="S114" s="13" t="str">
        <f>+IFERROR('Raw Data - Production'!N146/('Raw Data - Production'!G146*Weights!$B$2),"")</f>
        <v/>
      </c>
      <c r="T114" s="13" t="str">
        <f>+IFERROR('Raw Data - Production'!O146/('Raw Data - Production'!H146*Weights!$B$2),"")</f>
        <v/>
      </c>
      <c r="U114" s="13" t="str">
        <f>+IFERROR('Raw Data - Production'!P146/('Raw Data - Production'!I146*Weights!$B$2),"")</f>
        <v/>
      </c>
      <c r="V114" s="13"/>
      <c r="W114" s="13"/>
      <c r="X114" s="13"/>
      <c r="Y114" s="13"/>
      <c r="AA114" s="2">
        <f t="shared" si="27"/>
        <v>46317</v>
      </c>
      <c r="AD114">
        <f t="shared" si="28"/>
        <v>43</v>
      </c>
      <c r="AE114" s="13">
        <f t="shared" si="31"/>
        <v>0</v>
      </c>
      <c r="AF114" s="13">
        <f t="shared" si="31"/>
        <v>0</v>
      </c>
      <c r="AG114" s="13">
        <f t="shared" si="31"/>
        <v>0</v>
      </c>
      <c r="AH114" s="13">
        <f t="shared" si="32"/>
        <v>0</v>
      </c>
      <c r="AI114" s="13">
        <f t="shared" si="32"/>
        <v>0</v>
      </c>
      <c r="AJ114" s="13">
        <f t="shared" si="32"/>
        <v>0</v>
      </c>
      <c r="AK114" s="13"/>
      <c r="AL114" s="13"/>
      <c r="AM114" s="13"/>
      <c r="AN114" s="13"/>
      <c r="AP114" s="2">
        <f t="shared" si="29"/>
        <v>46317</v>
      </c>
      <c r="AQ114">
        <f t="shared" si="30"/>
        <v>43</v>
      </c>
      <c r="AR114" s="18">
        <f>('Raw Data - Production'!D146/100)/60</f>
        <v>0</v>
      </c>
      <c r="AS114" s="18">
        <f>('Raw Data - Production'!E146/100)/60</f>
        <v>0</v>
      </c>
      <c r="AT114" s="18">
        <f>('Raw Data - Production'!G146/50)/60</f>
        <v>0</v>
      </c>
      <c r="AU114" s="18">
        <f>('Raw Data - Production'!H146/50)/60</f>
        <v>0</v>
      </c>
      <c r="AV114" s="18">
        <f>('Raw Data - Production'!I146/50)/60</f>
        <v>0</v>
      </c>
      <c r="AW114" s="18"/>
      <c r="AX114" s="18"/>
      <c r="AY114" s="18"/>
      <c r="AZ114" s="18"/>
    </row>
    <row r="115" spans="1:52" x14ac:dyDescent="0.35">
      <c r="A115" s="2">
        <f t="shared" si="18"/>
        <v>46318</v>
      </c>
      <c r="B115">
        <f t="shared" si="19"/>
        <v>43</v>
      </c>
      <c r="C115" s="13" t="str">
        <f t="shared" si="20"/>
        <v/>
      </c>
      <c r="D115" s="13" t="str">
        <f t="shared" si="21"/>
        <v/>
      </c>
      <c r="E115" s="13" t="str">
        <f t="shared" si="22"/>
        <v/>
      </c>
      <c r="F115" s="13" t="str">
        <f t="shared" si="23"/>
        <v/>
      </c>
      <c r="G115" s="13" t="str">
        <f t="shared" si="24"/>
        <v/>
      </c>
      <c r="H115" s="13" t="str">
        <f t="shared" si="25"/>
        <v/>
      </c>
      <c r="I115" s="13"/>
      <c r="J115" s="13"/>
      <c r="K115" s="13"/>
      <c r="L115" s="13"/>
      <c r="N115" s="2">
        <f>+'Daily Summary Old'!A142</f>
        <v>46318</v>
      </c>
      <c r="O115">
        <f t="shared" si="26"/>
        <v>43</v>
      </c>
      <c r="P115" s="13" t="str">
        <f>+IFERROR('Raw Data - Production'!K147/('Raw Data - Production'!D147*Weights!$B$2),"")</f>
        <v/>
      </c>
      <c r="Q115" s="13" t="str">
        <f>+IFERROR('Raw Data - Production'!L147/('Raw Data - Production'!E147*Weights!$B$2),"")</f>
        <v/>
      </c>
      <c r="R115" s="13" t="str">
        <f>+IFERROR('Raw Data - Production'!M147/('Raw Data - Production'!F147*Weights!$B$2),"")</f>
        <v/>
      </c>
      <c r="S115" s="13" t="str">
        <f>+IFERROR('Raw Data - Production'!N147/('Raw Data - Production'!G147*Weights!$B$2),"")</f>
        <v/>
      </c>
      <c r="T115" s="13" t="str">
        <f>+IFERROR('Raw Data - Production'!O147/('Raw Data - Production'!H147*Weights!$B$2),"")</f>
        <v/>
      </c>
      <c r="U115" s="13" t="str">
        <f>+IFERROR('Raw Data - Production'!P147/('Raw Data - Production'!I147*Weights!$B$2),"")</f>
        <v/>
      </c>
      <c r="V115" s="13"/>
      <c r="W115" s="13"/>
      <c r="X115" s="13"/>
      <c r="Y115" s="13"/>
      <c r="AA115" s="2">
        <f t="shared" si="27"/>
        <v>46318</v>
      </c>
      <c r="AD115">
        <f t="shared" si="28"/>
        <v>43</v>
      </c>
      <c r="AE115" s="13">
        <f t="shared" si="31"/>
        <v>0</v>
      </c>
      <c r="AF115" s="13">
        <f t="shared" si="31"/>
        <v>0</v>
      </c>
      <c r="AG115" s="13">
        <f t="shared" si="31"/>
        <v>0</v>
      </c>
      <c r="AH115" s="13">
        <f t="shared" si="32"/>
        <v>0</v>
      </c>
      <c r="AI115" s="13">
        <f t="shared" si="32"/>
        <v>0</v>
      </c>
      <c r="AJ115" s="13">
        <f t="shared" si="32"/>
        <v>0</v>
      </c>
      <c r="AK115" s="13"/>
      <c r="AL115" s="13"/>
      <c r="AM115" s="13"/>
      <c r="AN115" s="13"/>
      <c r="AP115" s="2">
        <f t="shared" si="29"/>
        <v>46318</v>
      </c>
      <c r="AQ115">
        <f t="shared" si="30"/>
        <v>43</v>
      </c>
      <c r="AR115" s="18">
        <f>('Raw Data - Production'!D147/100)/60</f>
        <v>0</v>
      </c>
      <c r="AS115" s="18">
        <f>('Raw Data - Production'!E147/100)/60</f>
        <v>0</v>
      </c>
      <c r="AT115" s="18">
        <f>('Raw Data - Production'!G147/50)/60</f>
        <v>0</v>
      </c>
      <c r="AU115" s="18">
        <f>('Raw Data - Production'!H147/50)/60</f>
        <v>0</v>
      </c>
      <c r="AV115" s="18">
        <f>('Raw Data - Production'!I147/50)/60</f>
        <v>0</v>
      </c>
      <c r="AW115" s="18"/>
      <c r="AX115" s="18"/>
      <c r="AY115" s="18"/>
      <c r="AZ115" s="18"/>
    </row>
    <row r="116" spans="1:52" x14ac:dyDescent="0.35">
      <c r="A116" s="2">
        <f t="shared" si="18"/>
        <v>46321</v>
      </c>
      <c r="B116">
        <f t="shared" si="19"/>
        <v>44</v>
      </c>
      <c r="C116" s="13" t="str">
        <f t="shared" si="20"/>
        <v/>
      </c>
      <c r="D116" s="13" t="str">
        <f t="shared" si="21"/>
        <v/>
      </c>
      <c r="E116" s="13" t="str">
        <f t="shared" si="22"/>
        <v/>
      </c>
      <c r="F116" s="13" t="str">
        <f t="shared" si="23"/>
        <v/>
      </c>
      <c r="G116" s="13" t="str">
        <f t="shared" si="24"/>
        <v/>
      </c>
      <c r="H116" s="13" t="str">
        <f t="shared" si="25"/>
        <v/>
      </c>
      <c r="I116" s="13"/>
      <c r="J116" s="13"/>
      <c r="K116" s="13"/>
      <c r="L116" s="13"/>
      <c r="N116" s="2">
        <f>+'Daily Summary Old'!A143</f>
        <v>46321</v>
      </c>
      <c r="O116">
        <f t="shared" si="26"/>
        <v>44</v>
      </c>
      <c r="P116" s="13" t="str">
        <f>+IFERROR('Raw Data - Production'!K148/('Raw Data - Production'!D148*Weights!$B$2),"")</f>
        <v/>
      </c>
      <c r="Q116" s="13" t="str">
        <f>+IFERROR('Raw Data - Production'!L148/('Raw Data - Production'!E148*Weights!$B$2),"")</f>
        <v/>
      </c>
      <c r="R116" s="13" t="str">
        <f>+IFERROR('Raw Data - Production'!M148/('Raw Data - Production'!F148*Weights!$B$2),"")</f>
        <v/>
      </c>
      <c r="S116" s="13" t="str">
        <f>+IFERROR('Raw Data - Production'!N148/('Raw Data - Production'!G148*Weights!$B$2),"")</f>
        <v/>
      </c>
      <c r="T116" s="13" t="str">
        <f>+IFERROR('Raw Data - Production'!O148/('Raw Data - Production'!H148*Weights!$B$2),"")</f>
        <v/>
      </c>
      <c r="U116" s="13" t="str">
        <f>+IFERROR('Raw Data - Production'!P148/('Raw Data - Production'!I148*Weights!$B$2),"")</f>
        <v/>
      </c>
      <c r="V116" s="13"/>
      <c r="W116" s="13"/>
      <c r="X116" s="13"/>
      <c r="Y116" s="13"/>
      <c r="AA116" s="2">
        <f t="shared" si="27"/>
        <v>46321</v>
      </c>
      <c r="AD116">
        <f t="shared" si="28"/>
        <v>44</v>
      </c>
      <c r="AE116" s="13">
        <f t="shared" si="31"/>
        <v>0</v>
      </c>
      <c r="AF116" s="13">
        <f t="shared" si="31"/>
        <v>0</v>
      </c>
      <c r="AG116" s="13">
        <f t="shared" si="31"/>
        <v>0</v>
      </c>
      <c r="AH116" s="13">
        <f t="shared" si="32"/>
        <v>0</v>
      </c>
      <c r="AI116" s="13">
        <f t="shared" si="32"/>
        <v>0</v>
      </c>
      <c r="AJ116" s="13">
        <f t="shared" si="32"/>
        <v>0</v>
      </c>
      <c r="AK116" s="13"/>
      <c r="AL116" s="13"/>
      <c r="AM116" s="13"/>
      <c r="AN116" s="13"/>
      <c r="AP116" s="2">
        <f t="shared" si="29"/>
        <v>46321</v>
      </c>
      <c r="AQ116">
        <f t="shared" si="30"/>
        <v>44</v>
      </c>
      <c r="AR116" s="18">
        <f>('Raw Data - Production'!D148/100)/60</f>
        <v>0</v>
      </c>
      <c r="AS116" s="18">
        <f>('Raw Data - Production'!E148/100)/60</f>
        <v>0</v>
      </c>
      <c r="AT116" s="18">
        <f>('Raw Data - Production'!G148/50)/60</f>
        <v>0</v>
      </c>
      <c r="AU116" s="18">
        <f>('Raw Data - Production'!H148/50)/60</f>
        <v>0</v>
      </c>
      <c r="AV116" s="18">
        <f>('Raw Data - Production'!I148/50)/60</f>
        <v>0</v>
      </c>
      <c r="AW116" s="18"/>
      <c r="AX116" s="18"/>
      <c r="AY116" s="18"/>
      <c r="AZ116" s="18"/>
    </row>
    <row r="117" spans="1:52" x14ac:dyDescent="0.35">
      <c r="A117" s="2">
        <f t="shared" si="18"/>
        <v>46322</v>
      </c>
      <c r="B117">
        <f t="shared" si="19"/>
        <v>44</v>
      </c>
      <c r="C117" s="13" t="str">
        <f t="shared" si="20"/>
        <v/>
      </c>
      <c r="D117" s="13" t="str">
        <f t="shared" si="21"/>
        <v/>
      </c>
      <c r="E117" s="13" t="str">
        <f t="shared" si="22"/>
        <v/>
      </c>
      <c r="F117" s="13" t="str">
        <f t="shared" si="23"/>
        <v/>
      </c>
      <c r="G117" s="13" t="str">
        <f t="shared" si="24"/>
        <v/>
      </c>
      <c r="H117" s="13" t="str">
        <f t="shared" si="25"/>
        <v/>
      </c>
      <c r="I117" s="13"/>
      <c r="J117" s="13"/>
      <c r="K117" s="13"/>
      <c r="L117" s="13"/>
      <c r="N117" s="2">
        <f>+'Daily Summary Old'!A144</f>
        <v>46322</v>
      </c>
      <c r="O117">
        <f t="shared" si="26"/>
        <v>44</v>
      </c>
      <c r="P117" s="13" t="str">
        <f>+IFERROR('Raw Data - Production'!K149/('Raw Data - Production'!D149*Weights!$B$2),"")</f>
        <v/>
      </c>
      <c r="Q117" s="13" t="str">
        <f>+IFERROR('Raw Data - Production'!L149/('Raw Data - Production'!E149*Weights!$B$2),"")</f>
        <v/>
      </c>
      <c r="R117" s="13" t="str">
        <f>+IFERROR('Raw Data - Production'!M149/('Raw Data - Production'!F149*Weights!$B$2),"")</f>
        <v/>
      </c>
      <c r="S117" s="13" t="str">
        <f>+IFERROR('Raw Data - Production'!N149/('Raw Data - Production'!G149*Weights!$B$2),"")</f>
        <v/>
      </c>
      <c r="T117" s="13" t="str">
        <f>+IFERROR('Raw Data - Production'!O149/('Raw Data - Production'!H149*Weights!$B$2),"")</f>
        <v/>
      </c>
      <c r="U117" s="13" t="str">
        <f>+IFERROR('Raw Data - Production'!P149/('Raw Data - Production'!I149*Weights!$B$2),"")</f>
        <v/>
      </c>
      <c r="V117" s="13"/>
      <c r="W117" s="13"/>
      <c r="X117" s="13"/>
      <c r="Y117" s="13"/>
      <c r="AA117" s="2">
        <f t="shared" si="27"/>
        <v>46322</v>
      </c>
      <c r="AD117">
        <f t="shared" si="28"/>
        <v>44</v>
      </c>
      <c r="AE117" s="13">
        <f t="shared" si="31"/>
        <v>0</v>
      </c>
      <c r="AF117" s="13">
        <f t="shared" si="31"/>
        <v>0</v>
      </c>
      <c r="AG117" s="13">
        <f t="shared" si="31"/>
        <v>0</v>
      </c>
      <c r="AH117" s="13">
        <f t="shared" si="32"/>
        <v>0</v>
      </c>
      <c r="AI117" s="13">
        <f t="shared" si="32"/>
        <v>0</v>
      </c>
      <c r="AJ117" s="13">
        <f t="shared" si="32"/>
        <v>0</v>
      </c>
      <c r="AK117" s="13"/>
      <c r="AL117" s="13"/>
      <c r="AM117" s="13"/>
      <c r="AN117" s="13"/>
      <c r="AP117" s="2">
        <f t="shared" si="29"/>
        <v>46322</v>
      </c>
      <c r="AQ117">
        <f t="shared" si="30"/>
        <v>44</v>
      </c>
      <c r="AR117" s="18">
        <f>('Raw Data - Production'!D149/100)/60</f>
        <v>0</v>
      </c>
      <c r="AS117" s="18">
        <f>('Raw Data - Production'!E149/100)/60</f>
        <v>0</v>
      </c>
      <c r="AT117" s="18">
        <f>('Raw Data - Production'!G149/50)/60</f>
        <v>0</v>
      </c>
      <c r="AU117" s="18">
        <f>('Raw Data - Production'!H149/50)/60</f>
        <v>0</v>
      </c>
      <c r="AV117" s="18">
        <f>('Raw Data - Production'!I149/50)/60</f>
        <v>0</v>
      </c>
      <c r="AW117" s="18"/>
      <c r="AX117" s="18"/>
      <c r="AY117" s="18"/>
      <c r="AZ117" s="18"/>
    </row>
    <row r="118" spans="1:52" x14ac:dyDescent="0.35">
      <c r="A118" s="2">
        <f t="shared" si="18"/>
        <v>46323</v>
      </c>
      <c r="B118">
        <f t="shared" si="19"/>
        <v>44</v>
      </c>
      <c r="C118" s="13" t="str">
        <f t="shared" si="20"/>
        <v/>
      </c>
      <c r="D118" s="13" t="str">
        <f t="shared" si="21"/>
        <v/>
      </c>
      <c r="E118" s="13" t="str">
        <f t="shared" si="22"/>
        <v/>
      </c>
      <c r="F118" s="13" t="str">
        <f t="shared" si="23"/>
        <v/>
      </c>
      <c r="G118" s="13" t="str">
        <f t="shared" si="24"/>
        <v/>
      </c>
      <c r="H118" s="13" t="str">
        <f t="shared" si="25"/>
        <v/>
      </c>
      <c r="I118" s="13"/>
      <c r="J118" s="13"/>
      <c r="K118" s="13"/>
      <c r="L118" s="13"/>
      <c r="N118" s="2">
        <f>+'Daily Summary Old'!A145</f>
        <v>46323</v>
      </c>
      <c r="O118">
        <f t="shared" si="26"/>
        <v>44</v>
      </c>
      <c r="P118" s="13" t="str">
        <f>+IFERROR('Raw Data - Production'!K150/('Raw Data - Production'!D150*Weights!$B$2),"")</f>
        <v/>
      </c>
      <c r="Q118" s="13" t="str">
        <f>+IFERROR('Raw Data - Production'!L150/('Raw Data - Production'!E150*Weights!$B$2),"")</f>
        <v/>
      </c>
      <c r="R118" s="13" t="str">
        <f>+IFERROR('Raw Data - Production'!M150/('Raw Data - Production'!F150*Weights!$B$2),"")</f>
        <v/>
      </c>
      <c r="S118" s="13" t="str">
        <f>+IFERROR('Raw Data - Production'!N150/('Raw Data - Production'!G150*Weights!$B$2),"")</f>
        <v/>
      </c>
      <c r="T118" s="13" t="str">
        <f>+IFERROR('Raw Data - Production'!O150/('Raw Data - Production'!H150*Weights!$B$2),"")</f>
        <v/>
      </c>
      <c r="U118" s="13" t="str">
        <f>+IFERROR('Raw Data - Production'!P150/('Raw Data - Production'!I150*Weights!$B$2),"")</f>
        <v/>
      </c>
      <c r="V118" s="13"/>
      <c r="W118" s="13"/>
      <c r="X118" s="13"/>
      <c r="Y118" s="13"/>
      <c r="AA118" s="2">
        <f t="shared" si="27"/>
        <v>46323</v>
      </c>
      <c r="AD118">
        <f t="shared" si="28"/>
        <v>44</v>
      </c>
      <c r="AE118" s="13">
        <f t="shared" si="31"/>
        <v>0</v>
      </c>
      <c r="AF118" s="13">
        <f t="shared" si="31"/>
        <v>0</v>
      </c>
      <c r="AG118" s="13">
        <f t="shared" si="31"/>
        <v>0</v>
      </c>
      <c r="AH118" s="13">
        <f t="shared" si="32"/>
        <v>0</v>
      </c>
      <c r="AI118" s="13">
        <f t="shared" si="32"/>
        <v>0</v>
      </c>
      <c r="AJ118" s="13">
        <f t="shared" si="32"/>
        <v>0</v>
      </c>
      <c r="AK118" s="13"/>
      <c r="AL118" s="13"/>
      <c r="AM118" s="13"/>
      <c r="AN118" s="13"/>
      <c r="AP118" s="2">
        <f t="shared" si="29"/>
        <v>46323</v>
      </c>
      <c r="AQ118">
        <f t="shared" si="30"/>
        <v>44</v>
      </c>
      <c r="AR118" s="18">
        <f>('Raw Data - Production'!D150/100)/60</f>
        <v>0</v>
      </c>
      <c r="AS118" s="18">
        <f>('Raw Data - Production'!E150/100)/60</f>
        <v>0</v>
      </c>
      <c r="AT118" s="18">
        <f>('Raw Data - Production'!G150/50)/60</f>
        <v>0</v>
      </c>
      <c r="AU118" s="18">
        <f>('Raw Data - Production'!H150/50)/60</f>
        <v>0</v>
      </c>
      <c r="AV118" s="18">
        <f>('Raw Data - Production'!I150/50)/60</f>
        <v>0</v>
      </c>
      <c r="AW118" s="18"/>
      <c r="AX118" s="18"/>
      <c r="AY118" s="18"/>
      <c r="AZ118" s="18"/>
    </row>
    <row r="119" spans="1:52" x14ac:dyDescent="0.35">
      <c r="A119" s="2">
        <f t="shared" si="18"/>
        <v>46324</v>
      </c>
      <c r="B119">
        <f t="shared" si="19"/>
        <v>44</v>
      </c>
      <c r="C119" s="13" t="str">
        <f t="shared" si="20"/>
        <v/>
      </c>
      <c r="D119" s="13" t="str">
        <f t="shared" si="21"/>
        <v/>
      </c>
      <c r="E119" s="13" t="str">
        <f t="shared" si="22"/>
        <v/>
      </c>
      <c r="F119" s="13" t="str">
        <f t="shared" si="23"/>
        <v/>
      </c>
      <c r="G119" s="13" t="str">
        <f t="shared" si="24"/>
        <v/>
      </c>
      <c r="H119" s="13" t="str">
        <f t="shared" si="25"/>
        <v/>
      </c>
      <c r="I119" s="13"/>
      <c r="J119" s="13"/>
      <c r="K119" s="13"/>
      <c r="L119" s="13"/>
      <c r="N119" s="2">
        <f>+'Daily Summary Old'!A146</f>
        <v>46324</v>
      </c>
      <c r="O119">
        <f t="shared" si="26"/>
        <v>44</v>
      </c>
      <c r="P119" s="13" t="str">
        <f>+IFERROR('Raw Data - Production'!K151/('Raw Data - Production'!D151*Weights!$B$2),"")</f>
        <v/>
      </c>
      <c r="Q119" s="13" t="str">
        <f>+IFERROR('Raw Data - Production'!L151/('Raw Data - Production'!E151*Weights!$B$2),"")</f>
        <v/>
      </c>
      <c r="R119" s="13" t="str">
        <f>+IFERROR('Raw Data - Production'!M151/('Raw Data - Production'!F151*Weights!$B$2),"")</f>
        <v/>
      </c>
      <c r="S119" s="13" t="str">
        <f>+IFERROR('Raw Data - Production'!N151/('Raw Data - Production'!G151*Weights!$B$2),"")</f>
        <v/>
      </c>
      <c r="T119" s="13" t="str">
        <f>+IFERROR('Raw Data - Production'!O151/('Raw Data - Production'!H151*Weights!$B$2),"")</f>
        <v/>
      </c>
      <c r="U119" s="13" t="str">
        <f>+IFERROR('Raw Data - Production'!P151/('Raw Data - Production'!I151*Weights!$B$2),"")</f>
        <v/>
      </c>
      <c r="V119" s="13"/>
      <c r="W119" s="13"/>
      <c r="X119" s="13"/>
      <c r="Y119" s="13"/>
      <c r="AA119" s="2">
        <f t="shared" si="27"/>
        <v>46324</v>
      </c>
      <c r="AD119">
        <f t="shared" si="28"/>
        <v>44</v>
      </c>
      <c r="AE119" s="13">
        <f t="shared" si="31"/>
        <v>0</v>
      </c>
      <c r="AF119" s="13">
        <f t="shared" si="31"/>
        <v>0</v>
      </c>
      <c r="AG119" s="13">
        <f t="shared" si="31"/>
        <v>0</v>
      </c>
      <c r="AH119" s="13">
        <f t="shared" si="32"/>
        <v>0</v>
      </c>
      <c r="AI119" s="13">
        <f t="shared" si="32"/>
        <v>0</v>
      </c>
      <c r="AJ119" s="13">
        <f t="shared" si="32"/>
        <v>0</v>
      </c>
      <c r="AK119" s="13"/>
      <c r="AL119" s="13"/>
      <c r="AM119" s="13"/>
      <c r="AN119" s="13"/>
      <c r="AP119" s="2">
        <f t="shared" si="29"/>
        <v>46324</v>
      </c>
      <c r="AQ119">
        <f t="shared" si="30"/>
        <v>44</v>
      </c>
      <c r="AR119" s="18">
        <f>('Raw Data - Production'!D151/100)/60</f>
        <v>0</v>
      </c>
      <c r="AS119" s="18">
        <f>('Raw Data - Production'!E151/100)/60</f>
        <v>0</v>
      </c>
      <c r="AT119" s="18">
        <f>('Raw Data - Production'!G151/50)/60</f>
        <v>0</v>
      </c>
      <c r="AU119" s="18">
        <f>('Raw Data - Production'!H151/50)/60</f>
        <v>0</v>
      </c>
      <c r="AV119" s="18">
        <f>('Raw Data - Production'!I151/50)/60</f>
        <v>0</v>
      </c>
      <c r="AW119" s="18"/>
      <c r="AX119" s="18"/>
      <c r="AY119" s="18"/>
      <c r="AZ119" s="18"/>
    </row>
    <row r="120" spans="1:52" x14ac:dyDescent="0.35">
      <c r="A120" s="2">
        <f t="shared" si="18"/>
        <v>46325</v>
      </c>
      <c r="B120">
        <f t="shared" si="19"/>
        <v>44</v>
      </c>
      <c r="C120" s="13" t="str">
        <f t="shared" si="20"/>
        <v/>
      </c>
      <c r="D120" s="13" t="str">
        <f t="shared" si="21"/>
        <v/>
      </c>
      <c r="E120" s="13" t="str">
        <f t="shared" si="22"/>
        <v/>
      </c>
      <c r="F120" s="13" t="str">
        <f t="shared" si="23"/>
        <v/>
      </c>
      <c r="G120" s="13" t="str">
        <f t="shared" si="24"/>
        <v/>
      </c>
      <c r="H120" s="13" t="str">
        <f t="shared" si="25"/>
        <v/>
      </c>
      <c r="I120" s="13"/>
      <c r="J120" s="13"/>
      <c r="K120" s="13"/>
      <c r="L120" s="13"/>
      <c r="N120" s="2">
        <f>+'Daily Summary Old'!A147</f>
        <v>46325</v>
      </c>
      <c r="O120">
        <f t="shared" si="26"/>
        <v>44</v>
      </c>
      <c r="P120" s="13" t="str">
        <f>+IFERROR('Raw Data - Production'!K152/('Raw Data - Production'!D152*Weights!$B$2),"")</f>
        <v/>
      </c>
      <c r="Q120" s="13" t="str">
        <f>+IFERROR('Raw Data - Production'!L152/('Raw Data - Production'!E152*Weights!$B$2),"")</f>
        <v/>
      </c>
      <c r="R120" s="13" t="str">
        <f>+IFERROR('Raw Data - Production'!M152/('Raw Data - Production'!F152*Weights!$B$2),"")</f>
        <v/>
      </c>
      <c r="S120" s="13" t="str">
        <f>+IFERROR('Raw Data - Production'!N152/('Raw Data - Production'!G152*Weights!$B$2),"")</f>
        <v/>
      </c>
      <c r="T120" s="13" t="str">
        <f>+IFERROR('Raw Data - Production'!O152/('Raw Data - Production'!H152*Weights!$B$2),"")</f>
        <v/>
      </c>
      <c r="U120" s="13" t="str">
        <f>+IFERROR('Raw Data - Production'!P152/('Raw Data - Production'!I152*Weights!$B$2),"")</f>
        <v/>
      </c>
      <c r="V120" s="13"/>
      <c r="W120" s="13"/>
      <c r="X120" s="13"/>
      <c r="Y120" s="13"/>
      <c r="AA120" s="2">
        <f t="shared" si="27"/>
        <v>46325</v>
      </c>
      <c r="AD120">
        <f t="shared" si="28"/>
        <v>44</v>
      </c>
      <c r="AE120" s="13">
        <f t="shared" si="31"/>
        <v>0</v>
      </c>
      <c r="AF120" s="13">
        <f t="shared" si="31"/>
        <v>0</v>
      </c>
      <c r="AG120" s="13">
        <f t="shared" si="31"/>
        <v>0</v>
      </c>
      <c r="AH120" s="13">
        <f t="shared" si="32"/>
        <v>0</v>
      </c>
      <c r="AI120" s="13">
        <f t="shared" si="32"/>
        <v>0</v>
      </c>
      <c r="AJ120" s="13">
        <f t="shared" si="32"/>
        <v>0</v>
      </c>
      <c r="AK120" s="13"/>
      <c r="AL120" s="13"/>
      <c r="AM120" s="13"/>
      <c r="AN120" s="13"/>
      <c r="AP120" s="2">
        <f t="shared" si="29"/>
        <v>46325</v>
      </c>
      <c r="AQ120">
        <f t="shared" si="30"/>
        <v>44</v>
      </c>
      <c r="AR120" s="18">
        <f>('Raw Data - Production'!D152/100)/60</f>
        <v>0</v>
      </c>
      <c r="AS120" s="18">
        <f>('Raw Data - Production'!E152/100)/60</f>
        <v>0</v>
      </c>
      <c r="AT120" s="18">
        <f>('Raw Data - Production'!G152/50)/60</f>
        <v>0</v>
      </c>
      <c r="AU120" s="18">
        <f>('Raw Data - Production'!H152/50)/60</f>
        <v>0</v>
      </c>
      <c r="AV120" s="18">
        <f>('Raw Data - Production'!I152/50)/60</f>
        <v>0</v>
      </c>
      <c r="AW120" s="18"/>
      <c r="AX120" s="18"/>
      <c r="AY120" s="18"/>
      <c r="AZ120" s="18"/>
    </row>
    <row r="121" spans="1:52" x14ac:dyDescent="0.35">
      <c r="A121" s="2">
        <f t="shared" si="18"/>
        <v>46328</v>
      </c>
      <c r="B121">
        <f t="shared" si="19"/>
        <v>45</v>
      </c>
      <c r="C121" s="13" t="str">
        <f t="shared" si="20"/>
        <v/>
      </c>
      <c r="D121" s="13" t="str">
        <f t="shared" si="21"/>
        <v/>
      </c>
      <c r="E121" s="13" t="str">
        <f t="shared" si="22"/>
        <v/>
      </c>
      <c r="F121" s="13" t="str">
        <f t="shared" si="23"/>
        <v/>
      </c>
      <c r="G121" s="13" t="str">
        <f t="shared" si="24"/>
        <v/>
      </c>
      <c r="H121" s="13" t="str">
        <f t="shared" si="25"/>
        <v/>
      </c>
      <c r="I121" s="13"/>
      <c r="J121" s="13"/>
      <c r="K121" s="13"/>
      <c r="L121" s="13"/>
      <c r="N121" s="2">
        <f>+'Daily Summary Old'!A148</f>
        <v>46328</v>
      </c>
      <c r="O121">
        <f t="shared" si="26"/>
        <v>45</v>
      </c>
      <c r="P121" s="13" t="str">
        <f>+IFERROR('Raw Data - Production'!K153/('Raw Data - Production'!D153*Weights!$B$2),"")</f>
        <v/>
      </c>
      <c r="Q121" s="13" t="str">
        <f>+IFERROR('Raw Data - Production'!L153/('Raw Data - Production'!E153*Weights!$B$2),"")</f>
        <v/>
      </c>
      <c r="R121" s="13" t="str">
        <f>+IFERROR('Raw Data - Production'!M153/('Raw Data - Production'!F153*Weights!$B$2),"")</f>
        <v/>
      </c>
      <c r="S121" s="13" t="str">
        <f>+IFERROR('Raw Data - Production'!N153/('Raw Data - Production'!G153*Weights!$B$2),"")</f>
        <v/>
      </c>
      <c r="T121" s="13" t="str">
        <f>+IFERROR('Raw Data - Production'!O153/('Raw Data - Production'!H153*Weights!$B$2),"")</f>
        <v/>
      </c>
      <c r="U121" s="13" t="str">
        <f>+IFERROR('Raw Data - Production'!P153/('Raw Data - Production'!I153*Weights!$B$2),"")</f>
        <v/>
      </c>
      <c r="V121" s="13"/>
      <c r="W121" s="13"/>
      <c r="X121" s="13"/>
      <c r="Y121" s="13"/>
      <c r="AA121" s="2">
        <f t="shared" si="27"/>
        <v>46328</v>
      </c>
      <c r="AD121">
        <f t="shared" si="28"/>
        <v>45</v>
      </c>
      <c r="AE121" s="13">
        <f t="shared" si="31"/>
        <v>0</v>
      </c>
      <c r="AF121" s="13">
        <f t="shared" si="31"/>
        <v>0</v>
      </c>
      <c r="AG121" s="13">
        <f t="shared" si="31"/>
        <v>0</v>
      </c>
      <c r="AH121" s="13">
        <f t="shared" si="32"/>
        <v>0</v>
      </c>
      <c r="AI121" s="13">
        <f t="shared" si="32"/>
        <v>0</v>
      </c>
      <c r="AJ121" s="13">
        <f t="shared" si="32"/>
        <v>0</v>
      </c>
      <c r="AK121" s="13"/>
      <c r="AL121" s="13"/>
      <c r="AM121" s="13"/>
      <c r="AN121" s="13"/>
      <c r="AP121" s="2">
        <f t="shared" si="29"/>
        <v>46328</v>
      </c>
      <c r="AQ121">
        <f t="shared" si="30"/>
        <v>45</v>
      </c>
      <c r="AR121" s="18">
        <f>('Raw Data - Production'!D153/100)/60</f>
        <v>0</v>
      </c>
      <c r="AS121" s="18">
        <f>('Raw Data - Production'!E153/100)/60</f>
        <v>0</v>
      </c>
      <c r="AT121" s="18">
        <f>('Raw Data - Production'!G153/50)/60</f>
        <v>0</v>
      </c>
      <c r="AU121" s="18">
        <f>('Raw Data - Production'!H153/50)/60</f>
        <v>0</v>
      </c>
      <c r="AV121" s="18">
        <f>('Raw Data - Production'!I153/50)/60</f>
        <v>0</v>
      </c>
      <c r="AW121" s="18"/>
      <c r="AX121" s="18"/>
      <c r="AY121" s="18"/>
      <c r="AZ121" s="18"/>
    </row>
    <row r="122" spans="1:52" x14ac:dyDescent="0.35">
      <c r="A122" s="2">
        <f t="shared" si="18"/>
        <v>46329</v>
      </c>
      <c r="B122">
        <f t="shared" si="19"/>
        <v>45</v>
      </c>
      <c r="C122" s="13" t="str">
        <f t="shared" si="20"/>
        <v/>
      </c>
      <c r="D122" s="13" t="str">
        <f t="shared" si="21"/>
        <v/>
      </c>
      <c r="E122" s="13" t="str">
        <f t="shared" si="22"/>
        <v/>
      </c>
      <c r="F122" s="13" t="str">
        <f t="shared" si="23"/>
        <v/>
      </c>
      <c r="G122" s="13" t="str">
        <f t="shared" si="24"/>
        <v/>
      </c>
      <c r="H122" s="13" t="str">
        <f t="shared" si="25"/>
        <v/>
      </c>
      <c r="I122" s="13"/>
      <c r="J122" s="13"/>
      <c r="K122" s="13"/>
      <c r="L122" s="13"/>
      <c r="N122" s="2">
        <f>+'Daily Summary Old'!A149</f>
        <v>46329</v>
      </c>
      <c r="O122">
        <f t="shared" si="26"/>
        <v>45</v>
      </c>
      <c r="P122" s="13" t="str">
        <f>+IFERROR('Raw Data - Production'!K154/('Raw Data - Production'!D154*Weights!$B$2),"")</f>
        <v/>
      </c>
      <c r="Q122" s="13" t="str">
        <f>+IFERROR('Raw Data - Production'!L154/('Raw Data - Production'!E154*Weights!$B$2),"")</f>
        <v/>
      </c>
      <c r="R122" s="13" t="str">
        <f>+IFERROR('Raw Data - Production'!M154/('Raw Data - Production'!F154*Weights!$B$2),"")</f>
        <v/>
      </c>
      <c r="S122" s="13" t="str">
        <f>+IFERROR('Raw Data - Production'!N154/('Raw Data - Production'!G154*Weights!$B$2),"")</f>
        <v/>
      </c>
      <c r="T122" s="13" t="str">
        <f>+IFERROR('Raw Data - Production'!O154/('Raw Data - Production'!H154*Weights!$B$2),"")</f>
        <v/>
      </c>
      <c r="U122" s="13" t="str">
        <f>+IFERROR('Raw Data - Production'!P154/('Raw Data - Production'!I154*Weights!$B$2),"")</f>
        <v/>
      </c>
      <c r="V122" s="13"/>
      <c r="W122" s="13"/>
      <c r="X122" s="13"/>
      <c r="Y122" s="13"/>
      <c r="AA122" s="2">
        <f t="shared" si="27"/>
        <v>46329</v>
      </c>
      <c r="AD122">
        <f t="shared" si="28"/>
        <v>45</v>
      </c>
      <c r="AE122" s="13">
        <f t="shared" si="31"/>
        <v>0</v>
      </c>
      <c r="AF122" s="13">
        <f t="shared" si="31"/>
        <v>0</v>
      </c>
      <c r="AG122" s="13">
        <f t="shared" si="31"/>
        <v>0</v>
      </c>
      <c r="AH122" s="13">
        <f t="shared" si="32"/>
        <v>0</v>
      </c>
      <c r="AI122" s="13">
        <f t="shared" si="32"/>
        <v>0</v>
      </c>
      <c r="AJ122" s="13">
        <f t="shared" si="32"/>
        <v>0</v>
      </c>
      <c r="AK122" s="13"/>
      <c r="AL122" s="13"/>
      <c r="AM122" s="13"/>
      <c r="AN122" s="13"/>
      <c r="AP122" s="2">
        <f t="shared" si="29"/>
        <v>46329</v>
      </c>
      <c r="AQ122">
        <f t="shared" si="30"/>
        <v>45</v>
      </c>
      <c r="AR122" s="18">
        <f>('Raw Data - Production'!D154/100)/60</f>
        <v>0</v>
      </c>
      <c r="AS122" s="18">
        <f>('Raw Data - Production'!E154/100)/60</f>
        <v>0</v>
      </c>
      <c r="AT122" s="18">
        <f>('Raw Data - Production'!G154/50)/60</f>
        <v>0</v>
      </c>
      <c r="AU122" s="18">
        <f>('Raw Data - Production'!H154/50)/60</f>
        <v>0</v>
      </c>
      <c r="AV122" s="18">
        <f>('Raw Data - Production'!I154/50)/60</f>
        <v>0</v>
      </c>
      <c r="AW122" s="18"/>
      <c r="AX122" s="18"/>
      <c r="AY122" s="18"/>
      <c r="AZ122" s="18"/>
    </row>
    <row r="123" spans="1:52" x14ac:dyDescent="0.35">
      <c r="A123" s="2">
        <f t="shared" si="18"/>
        <v>46330</v>
      </c>
      <c r="B123">
        <f t="shared" si="19"/>
        <v>45</v>
      </c>
      <c r="C123" s="13" t="str">
        <f t="shared" si="20"/>
        <v/>
      </c>
      <c r="D123" s="13" t="str">
        <f t="shared" si="21"/>
        <v/>
      </c>
      <c r="E123" s="13" t="str">
        <f t="shared" si="22"/>
        <v/>
      </c>
      <c r="F123" s="13" t="str">
        <f t="shared" si="23"/>
        <v/>
      </c>
      <c r="G123" s="13" t="str">
        <f t="shared" si="24"/>
        <v/>
      </c>
      <c r="H123" s="13" t="str">
        <f t="shared" si="25"/>
        <v/>
      </c>
      <c r="I123" s="13"/>
      <c r="J123" s="13"/>
      <c r="K123" s="13"/>
      <c r="L123" s="13"/>
      <c r="N123" s="2">
        <f>+'Daily Summary Old'!A150</f>
        <v>46330</v>
      </c>
      <c r="O123">
        <f t="shared" si="26"/>
        <v>45</v>
      </c>
      <c r="P123" s="13" t="str">
        <f>+IFERROR('Raw Data - Production'!K155/('Raw Data - Production'!D155*Weights!$B$2),"")</f>
        <v/>
      </c>
      <c r="Q123" s="13" t="str">
        <f>+IFERROR('Raw Data - Production'!L155/('Raw Data - Production'!E155*Weights!$B$2),"")</f>
        <v/>
      </c>
      <c r="R123" s="13" t="str">
        <f>+IFERROR('Raw Data - Production'!M155/('Raw Data - Production'!F155*Weights!$B$2),"")</f>
        <v/>
      </c>
      <c r="S123" s="13" t="str">
        <f>+IFERROR('Raw Data - Production'!N155/('Raw Data - Production'!G155*Weights!$B$2),"")</f>
        <v/>
      </c>
      <c r="T123" s="13" t="str">
        <f>+IFERROR('Raw Data - Production'!O155/('Raw Data - Production'!H155*Weights!$B$2),"")</f>
        <v/>
      </c>
      <c r="U123" s="13" t="str">
        <f>+IFERROR('Raw Data - Production'!P155/('Raw Data - Production'!I155*Weights!$B$2),"")</f>
        <v/>
      </c>
      <c r="V123" s="13"/>
      <c r="W123" s="13"/>
      <c r="X123" s="13"/>
      <c r="Y123" s="13"/>
      <c r="AA123" s="2">
        <f t="shared" si="27"/>
        <v>46330</v>
      </c>
      <c r="AD123">
        <f t="shared" si="28"/>
        <v>45</v>
      </c>
      <c r="AE123" s="13">
        <f t="shared" si="31"/>
        <v>0</v>
      </c>
      <c r="AF123" s="13">
        <f t="shared" si="31"/>
        <v>0</v>
      </c>
      <c r="AG123" s="13">
        <f t="shared" si="31"/>
        <v>0</v>
      </c>
      <c r="AH123" s="13">
        <f t="shared" si="32"/>
        <v>0</v>
      </c>
      <c r="AI123" s="13">
        <f t="shared" si="32"/>
        <v>0</v>
      </c>
      <c r="AJ123" s="13">
        <f t="shared" si="32"/>
        <v>0</v>
      </c>
      <c r="AK123" s="13"/>
      <c r="AL123" s="13"/>
      <c r="AM123" s="13"/>
      <c r="AN123" s="13"/>
      <c r="AP123" s="2">
        <f t="shared" si="29"/>
        <v>46330</v>
      </c>
      <c r="AQ123">
        <f t="shared" si="30"/>
        <v>45</v>
      </c>
      <c r="AR123" s="18">
        <f>('Raw Data - Production'!D155/100)/60</f>
        <v>0</v>
      </c>
      <c r="AS123" s="18">
        <f>('Raw Data - Production'!E155/100)/60</f>
        <v>0</v>
      </c>
      <c r="AT123" s="18">
        <f>('Raw Data - Production'!G155/50)/60</f>
        <v>0</v>
      </c>
      <c r="AU123" s="18">
        <f>('Raw Data - Production'!H155/50)/60</f>
        <v>0</v>
      </c>
      <c r="AV123" s="18">
        <f>('Raw Data - Production'!I155/50)/60</f>
        <v>0</v>
      </c>
      <c r="AW123" s="18"/>
      <c r="AX123" s="18"/>
      <c r="AY123" s="18"/>
      <c r="AZ123" s="18"/>
    </row>
    <row r="124" spans="1:52" x14ac:dyDescent="0.35">
      <c r="A124" s="2">
        <f t="shared" si="18"/>
        <v>46331</v>
      </c>
      <c r="B124">
        <f t="shared" si="19"/>
        <v>45</v>
      </c>
      <c r="C124" s="13" t="str">
        <f t="shared" si="20"/>
        <v/>
      </c>
      <c r="D124" s="13" t="str">
        <f t="shared" si="21"/>
        <v/>
      </c>
      <c r="E124" s="13" t="str">
        <f t="shared" si="22"/>
        <v/>
      </c>
      <c r="F124" s="13" t="str">
        <f t="shared" si="23"/>
        <v/>
      </c>
      <c r="G124" s="13" t="str">
        <f t="shared" si="24"/>
        <v/>
      </c>
      <c r="H124" s="13" t="str">
        <f t="shared" si="25"/>
        <v/>
      </c>
      <c r="I124" s="13"/>
      <c r="J124" s="13"/>
      <c r="K124" s="13"/>
      <c r="L124" s="13"/>
      <c r="N124" s="2">
        <f>+'Daily Summary Old'!A151</f>
        <v>46331</v>
      </c>
      <c r="O124">
        <f t="shared" si="26"/>
        <v>45</v>
      </c>
      <c r="P124" s="13" t="str">
        <f>+IFERROR('Raw Data - Production'!K156/('Raw Data - Production'!D156*Weights!$B$2),"")</f>
        <v/>
      </c>
      <c r="Q124" s="13" t="str">
        <f>+IFERROR('Raw Data - Production'!L156/('Raw Data - Production'!E156*Weights!$B$2),"")</f>
        <v/>
      </c>
      <c r="R124" s="13" t="str">
        <f>+IFERROR('Raw Data - Production'!M156/('Raw Data - Production'!F156*Weights!$B$2),"")</f>
        <v/>
      </c>
      <c r="S124" s="13" t="str">
        <f>+IFERROR('Raw Data - Production'!N156/('Raw Data - Production'!G156*Weights!$B$2),"")</f>
        <v/>
      </c>
      <c r="T124" s="13" t="str">
        <f>+IFERROR('Raw Data - Production'!O156/('Raw Data - Production'!H156*Weights!$B$2),"")</f>
        <v/>
      </c>
      <c r="U124" s="13" t="str">
        <f>+IFERROR('Raw Data - Production'!P156/('Raw Data - Production'!I156*Weights!$B$2),"")</f>
        <v/>
      </c>
      <c r="V124" s="13"/>
      <c r="W124" s="13"/>
      <c r="X124" s="13"/>
      <c r="Y124" s="13"/>
      <c r="AA124" s="2">
        <f t="shared" si="27"/>
        <v>46331</v>
      </c>
      <c r="AD124">
        <f t="shared" si="28"/>
        <v>45</v>
      </c>
      <c r="AE124" s="13">
        <f t="shared" si="31"/>
        <v>0</v>
      </c>
      <c r="AF124" s="13">
        <f t="shared" si="31"/>
        <v>0</v>
      </c>
      <c r="AG124" s="13">
        <f t="shared" si="31"/>
        <v>0</v>
      </c>
      <c r="AH124" s="13">
        <f t="shared" si="32"/>
        <v>0</v>
      </c>
      <c r="AI124" s="13">
        <f t="shared" si="32"/>
        <v>0</v>
      </c>
      <c r="AJ124" s="13">
        <f t="shared" si="32"/>
        <v>0</v>
      </c>
      <c r="AK124" s="13"/>
      <c r="AL124" s="13"/>
      <c r="AM124" s="13"/>
      <c r="AN124" s="13"/>
      <c r="AP124" s="2">
        <f t="shared" si="29"/>
        <v>46331</v>
      </c>
      <c r="AQ124">
        <f t="shared" si="30"/>
        <v>45</v>
      </c>
      <c r="AR124" s="18">
        <f>('Raw Data - Production'!D156/100)/60</f>
        <v>0</v>
      </c>
      <c r="AS124" s="18">
        <f>('Raw Data - Production'!E156/100)/60</f>
        <v>0</v>
      </c>
      <c r="AT124" s="18">
        <f>('Raw Data - Production'!G156/50)/60</f>
        <v>0</v>
      </c>
      <c r="AU124" s="18">
        <f>('Raw Data - Production'!H156/50)/60</f>
        <v>0</v>
      </c>
      <c r="AV124" s="18">
        <f>('Raw Data - Production'!I156/50)/60</f>
        <v>0</v>
      </c>
      <c r="AW124" s="18"/>
      <c r="AX124" s="18"/>
      <c r="AY124" s="18"/>
      <c r="AZ124" s="18"/>
    </row>
    <row r="125" spans="1:52" x14ac:dyDescent="0.35">
      <c r="A125" s="2">
        <f t="shared" si="18"/>
        <v>46332</v>
      </c>
      <c r="B125">
        <f t="shared" si="19"/>
        <v>45</v>
      </c>
      <c r="C125" s="13" t="str">
        <f t="shared" si="20"/>
        <v/>
      </c>
      <c r="D125" s="13" t="str">
        <f t="shared" si="21"/>
        <v/>
      </c>
      <c r="E125" s="13" t="str">
        <f t="shared" si="22"/>
        <v/>
      </c>
      <c r="F125" s="13" t="str">
        <f t="shared" si="23"/>
        <v/>
      </c>
      <c r="G125" s="13" t="str">
        <f t="shared" si="24"/>
        <v/>
      </c>
      <c r="H125" s="13" t="str">
        <f t="shared" si="25"/>
        <v/>
      </c>
      <c r="I125" s="13"/>
      <c r="J125" s="13"/>
      <c r="K125" s="13"/>
      <c r="L125" s="13"/>
      <c r="N125" s="2">
        <f>+'Daily Summary Old'!A152</f>
        <v>46332</v>
      </c>
      <c r="O125">
        <f t="shared" si="26"/>
        <v>45</v>
      </c>
      <c r="P125" s="13" t="str">
        <f>+IFERROR('Raw Data - Production'!K157/('Raw Data - Production'!D157*Weights!$B$2),"")</f>
        <v/>
      </c>
      <c r="Q125" s="13" t="str">
        <f>+IFERROR('Raw Data - Production'!L157/('Raw Data - Production'!E157*Weights!$B$2),"")</f>
        <v/>
      </c>
      <c r="R125" s="13" t="str">
        <f>+IFERROR('Raw Data - Production'!M157/('Raw Data - Production'!F157*Weights!$B$2),"")</f>
        <v/>
      </c>
      <c r="S125" s="13" t="str">
        <f>+IFERROR('Raw Data - Production'!N157/('Raw Data - Production'!G157*Weights!$B$2),"")</f>
        <v/>
      </c>
      <c r="T125" s="13" t="str">
        <f>+IFERROR('Raw Data - Production'!O157/('Raw Data - Production'!H157*Weights!$B$2),"")</f>
        <v/>
      </c>
      <c r="U125" s="13" t="str">
        <f>+IFERROR('Raw Data - Production'!P157/('Raw Data - Production'!I157*Weights!$B$2),"")</f>
        <v/>
      </c>
      <c r="V125" s="13"/>
      <c r="W125" s="13"/>
      <c r="X125" s="13"/>
      <c r="Y125" s="13"/>
      <c r="AA125" s="2">
        <f t="shared" si="27"/>
        <v>46332</v>
      </c>
      <c r="AD125">
        <f t="shared" si="28"/>
        <v>45</v>
      </c>
      <c r="AE125" s="13">
        <f t="shared" si="31"/>
        <v>0</v>
      </c>
      <c r="AF125" s="13">
        <f t="shared" si="31"/>
        <v>0</v>
      </c>
      <c r="AG125" s="13">
        <f t="shared" si="31"/>
        <v>0</v>
      </c>
      <c r="AH125" s="13">
        <f t="shared" si="32"/>
        <v>0</v>
      </c>
      <c r="AI125" s="13">
        <f t="shared" si="32"/>
        <v>0</v>
      </c>
      <c r="AJ125" s="13">
        <f t="shared" si="32"/>
        <v>0</v>
      </c>
      <c r="AK125" s="13"/>
      <c r="AL125" s="13"/>
      <c r="AM125" s="13"/>
      <c r="AN125" s="13"/>
      <c r="AP125" s="2">
        <f t="shared" si="29"/>
        <v>46332</v>
      </c>
      <c r="AQ125">
        <f t="shared" si="30"/>
        <v>45</v>
      </c>
      <c r="AR125" s="18">
        <f>('Raw Data - Production'!D157/100)/60</f>
        <v>0</v>
      </c>
      <c r="AS125" s="18">
        <f>('Raw Data - Production'!E157/100)/60</f>
        <v>0</v>
      </c>
      <c r="AT125" s="18">
        <f>('Raw Data - Production'!G157/50)/60</f>
        <v>0</v>
      </c>
      <c r="AU125" s="18">
        <f>('Raw Data - Production'!H157/50)/60</f>
        <v>0</v>
      </c>
      <c r="AV125" s="18">
        <f>('Raw Data - Production'!I157/50)/60</f>
        <v>0</v>
      </c>
      <c r="AW125" s="18"/>
      <c r="AX125" s="18"/>
      <c r="AY125" s="18"/>
      <c r="AZ125" s="18"/>
    </row>
    <row r="126" spans="1:52" x14ac:dyDescent="0.35">
      <c r="A126" s="2">
        <f t="shared" si="18"/>
        <v>46335</v>
      </c>
      <c r="B126">
        <f t="shared" si="19"/>
        <v>46</v>
      </c>
      <c r="C126" s="13" t="str">
        <f t="shared" si="20"/>
        <v/>
      </c>
      <c r="D126" s="13" t="str">
        <f t="shared" si="21"/>
        <v/>
      </c>
      <c r="E126" s="13" t="str">
        <f t="shared" si="22"/>
        <v/>
      </c>
      <c r="F126" s="13" t="str">
        <f t="shared" si="23"/>
        <v/>
      </c>
      <c r="G126" s="13" t="str">
        <f t="shared" si="24"/>
        <v/>
      </c>
      <c r="H126" s="13" t="str">
        <f t="shared" si="25"/>
        <v/>
      </c>
      <c r="I126" s="13"/>
      <c r="J126" s="13"/>
      <c r="K126" s="13"/>
      <c r="L126" s="13"/>
      <c r="N126" s="2">
        <f>+'Daily Summary Old'!A153</f>
        <v>46335</v>
      </c>
      <c r="O126">
        <f t="shared" si="26"/>
        <v>46</v>
      </c>
      <c r="P126" s="13" t="str">
        <f>+IFERROR('Raw Data - Production'!K158/('Raw Data - Production'!D158*Weights!$B$2),"")</f>
        <v/>
      </c>
      <c r="Q126" s="13" t="str">
        <f>+IFERROR('Raw Data - Production'!L158/('Raw Data - Production'!E158*Weights!$B$2),"")</f>
        <v/>
      </c>
      <c r="R126" s="13" t="str">
        <f>+IFERROR('Raw Data - Production'!M158/('Raw Data - Production'!F158*Weights!$B$2),"")</f>
        <v/>
      </c>
      <c r="S126" s="13" t="str">
        <f>+IFERROR('Raw Data - Production'!N158/('Raw Data - Production'!G158*Weights!$B$2),"")</f>
        <v/>
      </c>
      <c r="T126" s="13" t="str">
        <f>+IFERROR('Raw Data - Production'!O158/('Raw Data - Production'!H158*Weights!$B$2),"")</f>
        <v/>
      </c>
      <c r="U126" s="13" t="str">
        <f>+IFERROR('Raw Data - Production'!P158/('Raw Data - Production'!I158*Weights!$B$2),"")</f>
        <v/>
      </c>
      <c r="V126" s="13"/>
      <c r="W126" s="13"/>
      <c r="X126" s="13"/>
      <c r="Y126" s="13"/>
      <c r="AA126" s="2">
        <f t="shared" si="27"/>
        <v>46335</v>
      </c>
      <c r="AD126">
        <f t="shared" si="28"/>
        <v>46</v>
      </c>
      <c r="AE126" s="13">
        <f t="shared" si="31"/>
        <v>0</v>
      </c>
      <c r="AF126" s="13">
        <f t="shared" si="31"/>
        <v>0</v>
      </c>
      <c r="AG126" s="13">
        <f t="shared" si="31"/>
        <v>0</v>
      </c>
      <c r="AH126" s="13">
        <f t="shared" si="32"/>
        <v>0</v>
      </c>
      <c r="AI126" s="13">
        <f t="shared" si="32"/>
        <v>0</v>
      </c>
      <c r="AJ126" s="13">
        <f t="shared" si="32"/>
        <v>0</v>
      </c>
      <c r="AK126" s="13"/>
      <c r="AL126" s="13"/>
      <c r="AM126" s="13"/>
      <c r="AN126" s="13"/>
      <c r="AP126" s="2">
        <f t="shared" si="29"/>
        <v>46335</v>
      </c>
      <c r="AQ126">
        <f t="shared" si="30"/>
        <v>46</v>
      </c>
      <c r="AR126" s="18">
        <f>('Raw Data - Production'!D158/100)/60</f>
        <v>0</v>
      </c>
      <c r="AS126" s="18">
        <f>('Raw Data - Production'!E158/100)/60</f>
        <v>0</v>
      </c>
      <c r="AT126" s="18">
        <f>('Raw Data - Production'!G158/50)/60</f>
        <v>0</v>
      </c>
      <c r="AU126" s="18">
        <f>('Raw Data - Production'!H158/50)/60</f>
        <v>0</v>
      </c>
      <c r="AV126" s="18">
        <f>('Raw Data - Production'!I158/50)/60</f>
        <v>0</v>
      </c>
      <c r="AW126" s="18"/>
      <c r="AX126" s="18"/>
      <c r="AY126" s="18"/>
      <c r="AZ126" s="18"/>
    </row>
    <row r="127" spans="1:52" x14ac:dyDescent="0.35">
      <c r="A127" s="2">
        <f t="shared" si="18"/>
        <v>46336</v>
      </c>
      <c r="B127">
        <f t="shared" si="19"/>
        <v>46</v>
      </c>
      <c r="C127" s="13" t="str">
        <f t="shared" si="20"/>
        <v/>
      </c>
      <c r="D127" s="13" t="str">
        <f t="shared" si="21"/>
        <v/>
      </c>
      <c r="E127" s="13" t="str">
        <f t="shared" si="22"/>
        <v/>
      </c>
      <c r="F127" s="13" t="str">
        <f t="shared" si="23"/>
        <v/>
      </c>
      <c r="G127" s="13" t="str">
        <f t="shared" si="24"/>
        <v/>
      </c>
      <c r="H127" s="13" t="str">
        <f t="shared" si="25"/>
        <v/>
      </c>
      <c r="I127" s="13"/>
      <c r="J127" s="13"/>
      <c r="K127" s="13"/>
      <c r="L127" s="13"/>
      <c r="N127" s="2">
        <f>+'Daily Summary Old'!A154</f>
        <v>46336</v>
      </c>
      <c r="O127">
        <f t="shared" si="26"/>
        <v>46</v>
      </c>
      <c r="P127" s="13" t="str">
        <f>+IFERROR('Raw Data - Production'!K159/('Raw Data - Production'!D159*Weights!$B$2),"")</f>
        <v/>
      </c>
      <c r="Q127" s="13" t="str">
        <f>+IFERROR('Raw Data - Production'!L159/('Raw Data - Production'!E159*Weights!$B$2),"")</f>
        <v/>
      </c>
      <c r="R127" s="13" t="str">
        <f>+IFERROR('Raw Data - Production'!M159/('Raw Data - Production'!F159*Weights!$B$2),"")</f>
        <v/>
      </c>
      <c r="S127" s="13" t="str">
        <f>+IFERROR('Raw Data - Production'!N159/('Raw Data - Production'!G159*Weights!$B$2),"")</f>
        <v/>
      </c>
      <c r="T127" s="13" t="str">
        <f>+IFERROR('Raw Data - Production'!O159/('Raw Data - Production'!H159*Weights!$B$2),"")</f>
        <v/>
      </c>
      <c r="U127" s="13" t="str">
        <f>+IFERROR('Raw Data - Production'!P159/('Raw Data - Production'!I159*Weights!$B$2),"")</f>
        <v/>
      </c>
      <c r="V127" s="13"/>
      <c r="W127" s="13"/>
      <c r="X127" s="13"/>
      <c r="Y127" s="13"/>
      <c r="AA127" s="2">
        <f t="shared" si="27"/>
        <v>46336</v>
      </c>
      <c r="AD127">
        <f t="shared" si="28"/>
        <v>46</v>
      </c>
      <c r="AE127" s="13">
        <f t="shared" si="31"/>
        <v>0</v>
      </c>
      <c r="AF127" s="13">
        <f t="shared" si="31"/>
        <v>0</v>
      </c>
      <c r="AG127" s="13">
        <f t="shared" si="31"/>
        <v>0</v>
      </c>
      <c r="AH127" s="13">
        <f t="shared" si="32"/>
        <v>0</v>
      </c>
      <c r="AI127" s="13">
        <f t="shared" si="32"/>
        <v>0</v>
      </c>
      <c r="AJ127" s="13">
        <f t="shared" si="32"/>
        <v>0</v>
      </c>
      <c r="AK127" s="13"/>
      <c r="AL127" s="13"/>
      <c r="AM127" s="13"/>
      <c r="AN127" s="13"/>
      <c r="AP127" s="2">
        <f t="shared" si="29"/>
        <v>46336</v>
      </c>
      <c r="AQ127">
        <f t="shared" si="30"/>
        <v>46</v>
      </c>
      <c r="AR127" s="18">
        <f>('Raw Data - Production'!D159/100)/60</f>
        <v>0</v>
      </c>
      <c r="AS127" s="18">
        <f>('Raw Data - Production'!E159/100)/60</f>
        <v>0</v>
      </c>
      <c r="AT127" s="18">
        <f>('Raw Data - Production'!G159/50)/60</f>
        <v>0</v>
      </c>
      <c r="AU127" s="18">
        <f>('Raw Data - Production'!H159/50)/60</f>
        <v>0</v>
      </c>
      <c r="AV127" s="18">
        <f>('Raw Data - Production'!I159/50)/60</f>
        <v>0</v>
      </c>
      <c r="AW127" s="18"/>
      <c r="AX127" s="18"/>
      <c r="AY127" s="18"/>
      <c r="AZ127" s="18"/>
    </row>
    <row r="128" spans="1:52" x14ac:dyDescent="0.35">
      <c r="A128" s="2">
        <f t="shared" si="18"/>
        <v>46337</v>
      </c>
      <c r="B128">
        <f t="shared" si="19"/>
        <v>46</v>
      </c>
      <c r="C128" s="13" t="str">
        <f t="shared" si="20"/>
        <v/>
      </c>
      <c r="D128" s="13" t="str">
        <f t="shared" si="21"/>
        <v/>
      </c>
      <c r="E128" s="13" t="str">
        <f t="shared" si="22"/>
        <v/>
      </c>
      <c r="F128" s="13" t="str">
        <f t="shared" si="23"/>
        <v/>
      </c>
      <c r="G128" s="13" t="str">
        <f t="shared" si="24"/>
        <v/>
      </c>
      <c r="H128" s="13" t="str">
        <f t="shared" si="25"/>
        <v/>
      </c>
      <c r="I128" s="13"/>
      <c r="J128" s="13"/>
      <c r="K128" s="13"/>
      <c r="L128" s="13"/>
      <c r="N128" s="2">
        <f>+'Daily Summary Old'!A155</f>
        <v>46337</v>
      </c>
      <c r="O128">
        <f t="shared" si="26"/>
        <v>46</v>
      </c>
      <c r="P128" s="13" t="str">
        <f>+IFERROR('Raw Data - Production'!K160/('Raw Data - Production'!D160*Weights!$B$2),"")</f>
        <v/>
      </c>
      <c r="Q128" s="13" t="str">
        <f>+IFERROR('Raw Data - Production'!L160/('Raw Data - Production'!E160*Weights!$B$2),"")</f>
        <v/>
      </c>
      <c r="R128" s="13" t="str">
        <f>+IFERROR('Raw Data - Production'!M160/('Raw Data - Production'!F160*Weights!$B$2),"")</f>
        <v/>
      </c>
      <c r="S128" s="13" t="str">
        <f>+IFERROR('Raw Data - Production'!N160/('Raw Data - Production'!G160*Weights!$B$2),"")</f>
        <v/>
      </c>
      <c r="T128" s="13" t="str">
        <f>+IFERROR('Raw Data - Production'!O160/('Raw Data - Production'!H160*Weights!$B$2),"")</f>
        <v/>
      </c>
      <c r="U128" s="13" t="str">
        <f>+IFERROR('Raw Data - Production'!P160/('Raw Data - Production'!I160*Weights!$B$2),"")</f>
        <v/>
      </c>
      <c r="V128" s="13"/>
      <c r="W128" s="13"/>
      <c r="X128" s="13"/>
      <c r="Y128" s="13"/>
      <c r="AA128" s="2">
        <f t="shared" si="27"/>
        <v>46337</v>
      </c>
      <c r="AD128">
        <f t="shared" si="28"/>
        <v>46</v>
      </c>
      <c r="AE128" s="13">
        <f t="shared" si="31"/>
        <v>0</v>
      </c>
      <c r="AF128" s="13">
        <f t="shared" si="31"/>
        <v>0</v>
      </c>
      <c r="AG128" s="13">
        <f t="shared" si="31"/>
        <v>0</v>
      </c>
      <c r="AH128" s="13">
        <f t="shared" si="32"/>
        <v>0</v>
      </c>
      <c r="AI128" s="13">
        <f t="shared" si="32"/>
        <v>0</v>
      </c>
      <c r="AJ128" s="13">
        <f t="shared" si="32"/>
        <v>0</v>
      </c>
      <c r="AK128" s="13"/>
      <c r="AL128" s="13"/>
      <c r="AM128" s="13"/>
      <c r="AN128" s="13"/>
      <c r="AP128" s="2">
        <f t="shared" si="29"/>
        <v>46337</v>
      </c>
      <c r="AQ128">
        <f t="shared" si="30"/>
        <v>46</v>
      </c>
      <c r="AR128" s="18">
        <f>('Raw Data - Production'!D160/100)/60</f>
        <v>0</v>
      </c>
      <c r="AS128" s="18">
        <f>('Raw Data - Production'!E160/100)/60</f>
        <v>0</v>
      </c>
      <c r="AT128" s="18">
        <f>('Raw Data - Production'!G160/50)/60</f>
        <v>0</v>
      </c>
      <c r="AU128" s="18">
        <f>('Raw Data - Production'!H160/50)/60</f>
        <v>0</v>
      </c>
      <c r="AV128" s="18">
        <f>('Raw Data - Production'!I160/50)/60</f>
        <v>0</v>
      </c>
      <c r="AW128" s="18"/>
      <c r="AX128" s="18"/>
      <c r="AY128" s="18"/>
      <c r="AZ128" s="18"/>
    </row>
    <row r="129" spans="1:52" x14ac:dyDescent="0.35">
      <c r="A129" s="2">
        <f t="shared" si="18"/>
        <v>46338</v>
      </c>
      <c r="B129">
        <f t="shared" si="19"/>
        <v>46</v>
      </c>
      <c r="C129" s="13" t="str">
        <f t="shared" si="20"/>
        <v/>
      </c>
      <c r="D129" s="13" t="str">
        <f t="shared" si="21"/>
        <v/>
      </c>
      <c r="E129" s="13" t="str">
        <f t="shared" si="22"/>
        <v/>
      </c>
      <c r="F129" s="13" t="str">
        <f t="shared" si="23"/>
        <v/>
      </c>
      <c r="G129" s="13" t="str">
        <f t="shared" si="24"/>
        <v/>
      </c>
      <c r="H129" s="13" t="str">
        <f t="shared" si="25"/>
        <v/>
      </c>
      <c r="I129" s="13"/>
      <c r="J129" s="13"/>
      <c r="K129" s="13"/>
      <c r="L129" s="13"/>
      <c r="N129" s="2">
        <f>+'Daily Summary Old'!A156</f>
        <v>46338</v>
      </c>
      <c r="O129">
        <f t="shared" si="26"/>
        <v>46</v>
      </c>
      <c r="P129" s="13" t="str">
        <f>+IFERROR('Raw Data - Production'!K161/('Raw Data - Production'!D161*Weights!$B$2),"")</f>
        <v/>
      </c>
      <c r="Q129" s="13" t="str">
        <f>+IFERROR('Raw Data - Production'!L161/('Raw Data - Production'!E161*Weights!$B$2),"")</f>
        <v/>
      </c>
      <c r="R129" s="13" t="str">
        <f>+IFERROR('Raw Data - Production'!M161/('Raw Data - Production'!F161*Weights!$B$2),"")</f>
        <v/>
      </c>
      <c r="S129" s="13" t="str">
        <f>+IFERROR('Raw Data - Production'!N161/('Raw Data - Production'!G161*Weights!$B$2),"")</f>
        <v/>
      </c>
      <c r="T129" s="13" t="str">
        <f>+IFERROR('Raw Data - Production'!O161/('Raw Data - Production'!H161*Weights!$B$2),"")</f>
        <v/>
      </c>
      <c r="U129" s="13" t="str">
        <f>+IFERROR('Raw Data - Production'!P161/('Raw Data - Production'!I161*Weights!$B$2),"")</f>
        <v/>
      </c>
      <c r="V129" s="13"/>
      <c r="W129" s="13"/>
      <c r="X129" s="13"/>
      <c r="Y129" s="13"/>
      <c r="AA129" s="2">
        <f t="shared" si="27"/>
        <v>46338</v>
      </c>
      <c r="AD129">
        <f t="shared" si="28"/>
        <v>46</v>
      </c>
      <c r="AE129" s="13">
        <f t="shared" si="31"/>
        <v>0</v>
      </c>
      <c r="AF129" s="13">
        <f t="shared" si="31"/>
        <v>0</v>
      </c>
      <c r="AG129" s="13">
        <f t="shared" si="31"/>
        <v>0</v>
      </c>
      <c r="AH129" s="13">
        <f t="shared" si="32"/>
        <v>0</v>
      </c>
      <c r="AI129" s="13">
        <f t="shared" si="32"/>
        <v>0</v>
      </c>
      <c r="AJ129" s="13">
        <f t="shared" si="32"/>
        <v>0</v>
      </c>
      <c r="AK129" s="13"/>
      <c r="AL129" s="13"/>
      <c r="AM129" s="13"/>
      <c r="AN129" s="13"/>
      <c r="AP129" s="2">
        <f t="shared" si="29"/>
        <v>46338</v>
      </c>
      <c r="AQ129">
        <f t="shared" si="30"/>
        <v>46</v>
      </c>
      <c r="AR129" s="18">
        <f>('Raw Data - Production'!D161/100)/60</f>
        <v>0</v>
      </c>
      <c r="AS129" s="18">
        <f>('Raw Data - Production'!E161/100)/60</f>
        <v>0</v>
      </c>
      <c r="AT129" s="18">
        <f>('Raw Data - Production'!G161/50)/60</f>
        <v>0</v>
      </c>
      <c r="AU129" s="18">
        <f>('Raw Data - Production'!H161/50)/60</f>
        <v>0</v>
      </c>
      <c r="AV129" s="18">
        <f>('Raw Data - Production'!I161/50)/60</f>
        <v>0</v>
      </c>
      <c r="AW129" s="18"/>
      <c r="AX129" s="18"/>
      <c r="AY129" s="18"/>
      <c r="AZ129" s="18"/>
    </row>
    <row r="130" spans="1:52" x14ac:dyDescent="0.35">
      <c r="A130" s="2">
        <f t="shared" si="18"/>
        <v>46339</v>
      </c>
      <c r="B130">
        <f t="shared" si="19"/>
        <v>46</v>
      </c>
      <c r="C130" s="13" t="str">
        <f t="shared" si="20"/>
        <v/>
      </c>
      <c r="D130" s="13" t="str">
        <f t="shared" si="21"/>
        <v/>
      </c>
      <c r="E130" s="13" t="str">
        <f t="shared" si="22"/>
        <v/>
      </c>
      <c r="F130" s="13" t="str">
        <f t="shared" si="23"/>
        <v/>
      </c>
      <c r="G130" s="13" t="str">
        <f t="shared" si="24"/>
        <v/>
      </c>
      <c r="H130" s="13" t="str">
        <f t="shared" si="25"/>
        <v/>
      </c>
      <c r="I130" s="13"/>
      <c r="J130" s="13"/>
      <c r="K130" s="13"/>
      <c r="L130" s="13"/>
      <c r="N130" s="2">
        <f>+'Daily Summary Old'!A157</f>
        <v>46339</v>
      </c>
      <c r="O130">
        <f t="shared" si="26"/>
        <v>46</v>
      </c>
      <c r="P130" s="13" t="str">
        <f>+IFERROR('Raw Data - Production'!K162/('Raw Data - Production'!D162*Weights!$B$2),"")</f>
        <v/>
      </c>
      <c r="Q130" s="13" t="str">
        <f>+IFERROR('Raw Data - Production'!L162/('Raw Data - Production'!E162*Weights!$B$2),"")</f>
        <v/>
      </c>
      <c r="R130" s="13" t="str">
        <f>+IFERROR('Raw Data - Production'!M162/('Raw Data - Production'!F162*Weights!$B$2),"")</f>
        <v/>
      </c>
      <c r="S130" s="13" t="str">
        <f>+IFERROR('Raw Data - Production'!N162/('Raw Data - Production'!G162*Weights!$B$2),"")</f>
        <v/>
      </c>
      <c r="T130" s="13" t="str">
        <f>+IFERROR('Raw Data - Production'!O162/('Raw Data - Production'!H162*Weights!$B$2),"")</f>
        <v/>
      </c>
      <c r="U130" s="13" t="str">
        <f>+IFERROR('Raw Data - Production'!P162/('Raw Data - Production'!I162*Weights!$B$2),"")</f>
        <v/>
      </c>
      <c r="V130" s="13"/>
      <c r="W130" s="13"/>
      <c r="X130" s="13"/>
      <c r="Y130" s="13"/>
      <c r="AA130" s="2">
        <f t="shared" si="27"/>
        <v>46339</v>
      </c>
      <c r="AD130">
        <f t="shared" si="28"/>
        <v>46</v>
      </c>
      <c r="AE130" s="13">
        <f t="shared" si="31"/>
        <v>0</v>
      </c>
      <c r="AF130" s="13">
        <f t="shared" si="31"/>
        <v>0</v>
      </c>
      <c r="AG130" s="13">
        <f t="shared" si="31"/>
        <v>0</v>
      </c>
      <c r="AH130" s="13">
        <f t="shared" si="32"/>
        <v>0</v>
      </c>
      <c r="AI130" s="13">
        <f t="shared" si="32"/>
        <v>0</v>
      </c>
      <c r="AJ130" s="13">
        <f t="shared" si="32"/>
        <v>0</v>
      </c>
      <c r="AK130" s="13"/>
      <c r="AL130" s="13"/>
      <c r="AM130" s="13"/>
      <c r="AN130" s="13"/>
      <c r="AP130" s="2">
        <f t="shared" si="29"/>
        <v>46339</v>
      </c>
      <c r="AQ130">
        <f t="shared" si="30"/>
        <v>46</v>
      </c>
      <c r="AR130" s="18">
        <f>('Raw Data - Production'!D162/100)/60</f>
        <v>0</v>
      </c>
      <c r="AS130" s="18">
        <f>('Raw Data - Production'!E162/100)/60</f>
        <v>0</v>
      </c>
      <c r="AT130" s="18">
        <f>('Raw Data - Production'!G162/50)/60</f>
        <v>0</v>
      </c>
      <c r="AU130" s="18">
        <f>('Raw Data - Production'!H162/50)/60</f>
        <v>0</v>
      </c>
      <c r="AV130" s="18">
        <f>('Raw Data - Production'!I162/50)/60</f>
        <v>0</v>
      </c>
      <c r="AW130" s="18"/>
      <c r="AX130" s="18"/>
      <c r="AY130" s="18"/>
      <c r="AZ130" s="18"/>
    </row>
    <row r="131" spans="1:52" x14ac:dyDescent="0.35">
      <c r="A131" s="2">
        <f t="shared" si="18"/>
        <v>46342</v>
      </c>
      <c r="B131">
        <f t="shared" si="19"/>
        <v>47</v>
      </c>
      <c r="C131" s="13" t="str">
        <f t="shared" si="20"/>
        <v/>
      </c>
      <c r="D131" s="13" t="str">
        <f t="shared" si="21"/>
        <v/>
      </c>
      <c r="E131" s="13" t="str">
        <f t="shared" si="22"/>
        <v/>
      </c>
      <c r="F131" s="13" t="str">
        <f t="shared" si="23"/>
        <v/>
      </c>
      <c r="G131" s="13" t="str">
        <f t="shared" si="24"/>
        <v/>
      </c>
      <c r="H131" s="13" t="str">
        <f t="shared" si="25"/>
        <v/>
      </c>
      <c r="I131" s="13"/>
      <c r="J131" s="13"/>
      <c r="K131" s="13"/>
      <c r="L131" s="13"/>
      <c r="N131" s="2">
        <f>+'Daily Summary Old'!A158</f>
        <v>46342</v>
      </c>
      <c r="O131">
        <f t="shared" si="26"/>
        <v>47</v>
      </c>
      <c r="P131" s="13" t="str">
        <f>+IFERROR('Raw Data - Production'!K163/('Raw Data - Production'!D163*Weights!$B$2),"")</f>
        <v/>
      </c>
      <c r="Q131" s="13" t="str">
        <f>+IFERROR('Raw Data - Production'!L163/('Raw Data - Production'!E163*Weights!$B$2),"")</f>
        <v/>
      </c>
      <c r="R131" s="13" t="str">
        <f>+IFERROR('Raw Data - Production'!M163/('Raw Data - Production'!F163*Weights!$B$2),"")</f>
        <v/>
      </c>
      <c r="S131" s="13" t="str">
        <f>+IFERROR('Raw Data - Production'!N163/('Raw Data - Production'!G163*Weights!$B$2),"")</f>
        <v/>
      </c>
      <c r="T131" s="13" t="str">
        <f>+IFERROR('Raw Data - Production'!O163/('Raw Data - Production'!H163*Weights!$B$2),"")</f>
        <v/>
      </c>
      <c r="U131" s="13" t="str">
        <f>+IFERROR('Raw Data - Production'!P163/('Raw Data - Production'!I163*Weights!$B$2),"")</f>
        <v/>
      </c>
      <c r="V131" s="13"/>
      <c r="W131" s="13"/>
      <c r="X131" s="13"/>
      <c r="Y131" s="13"/>
      <c r="AA131" s="2">
        <f t="shared" si="27"/>
        <v>46342</v>
      </c>
      <c r="AD131">
        <f t="shared" si="28"/>
        <v>47</v>
      </c>
      <c r="AE131" s="13">
        <f t="shared" si="31"/>
        <v>0</v>
      </c>
      <c r="AF131" s="13">
        <f t="shared" si="31"/>
        <v>0</v>
      </c>
      <c r="AG131" s="13">
        <f t="shared" si="31"/>
        <v>0</v>
      </c>
      <c r="AH131" s="13">
        <f t="shared" si="32"/>
        <v>0</v>
      </c>
      <c r="AI131" s="13">
        <f t="shared" si="32"/>
        <v>0</v>
      </c>
      <c r="AJ131" s="13">
        <f t="shared" si="32"/>
        <v>0</v>
      </c>
      <c r="AK131" s="13"/>
      <c r="AL131" s="13"/>
      <c r="AM131" s="13"/>
      <c r="AN131" s="13"/>
      <c r="AP131" s="2">
        <f t="shared" si="29"/>
        <v>46342</v>
      </c>
      <c r="AQ131">
        <f t="shared" si="30"/>
        <v>47</v>
      </c>
      <c r="AR131" s="18">
        <f>('Raw Data - Production'!D163/100)/60</f>
        <v>0</v>
      </c>
      <c r="AS131" s="18">
        <f>('Raw Data - Production'!E163/100)/60</f>
        <v>0</v>
      </c>
      <c r="AT131" s="18">
        <f>('Raw Data - Production'!G163/50)/60</f>
        <v>0</v>
      </c>
      <c r="AU131" s="18">
        <f>('Raw Data - Production'!H163/50)/60</f>
        <v>0</v>
      </c>
      <c r="AV131" s="18">
        <f>('Raw Data - Production'!I163/50)/60</f>
        <v>0</v>
      </c>
      <c r="AW131" s="18"/>
      <c r="AX131" s="18"/>
      <c r="AY131" s="18"/>
      <c r="AZ131" s="18"/>
    </row>
    <row r="132" spans="1:52" x14ac:dyDescent="0.35">
      <c r="A132" s="2">
        <f t="shared" ref="A132:A161" si="33">N132</f>
        <v>46343</v>
      </c>
      <c r="B132">
        <f t="shared" ref="B132:B161" si="34">+WEEKNUM(A132)</f>
        <v>47</v>
      </c>
      <c r="C132" s="13" t="str">
        <f t="shared" ref="C132:C161" si="35">IFERROR(AE132*(100%-P132)*(AR132/7.5),"")</f>
        <v/>
      </c>
      <c r="D132" s="13" t="str">
        <f t="shared" ref="D132:D161" si="36">IFERROR(AF132*(100%-Q132)*(AS132/7.5),"")</f>
        <v/>
      </c>
      <c r="E132" s="13" t="str">
        <f t="shared" ref="E132:E161" si="37">IFERROR(AG132*(100%-R132)*(AT132/7.5),"")</f>
        <v/>
      </c>
      <c r="F132" s="13" t="str">
        <f t="shared" ref="F132:F161" si="38">IFERROR(AH132*(100%-S132)*(AT132/7.5),"")</f>
        <v/>
      </c>
      <c r="G132" s="13" t="str">
        <f t="shared" ref="G132:G161" si="39">IFERROR(AI132*(100%-T132)*(AU132/7.5),"")</f>
        <v/>
      </c>
      <c r="H132" s="13" t="str">
        <f t="shared" ref="H132:H161" si="40">IFERROR(AJ132*(100%-U132)*(AV132/7.5),"")</f>
        <v/>
      </c>
      <c r="I132" s="13"/>
      <c r="J132" s="13"/>
      <c r="K132" s="13"/>
      <c r="L132" s="13"/>
      <c r="N132" s="2">
        <f>+'Daily Summary Old'!A159</f>
        <v>46343</v>
      </c>
      <c r="O132">
        <f t="shared" ref="O132:O161" si="41">+WEEKNUM(N132)</f>
        <v>47</v>
      </c>
      <c r="P132" s="13" t="str">
        <f>+IFERROR('Raw Data - Production'!K164/('Raw Data - Production'!D164*Weights!$B$2),"")</f>
        <v/>
      </c>
      <c r="Q132" s="13" t="str">
        <f>+IFERROR('Raw Data - Production'!L164/('Raw Data - Production'!E164*Weights!$B$2),"")</f>
        <v/>
      </c>
      <c r="R132" s="13" t="str">
        <f>+IFERROR('Raw Data - Production'!M164/('Raw Data - Production'!F164*Weights!$B$2),"")</f>
        <v/>
      </c>
      <c r="S132" s="13" t="str">
        <f>+IFERROR('Raw Data - Production'!N164/('Raw Data - Production'!G164*Weights!$B$2),"")</f>
        <v/>
      </c>
      <c r="T132" s="13" t="str">
        <f>+IFERROR('Raw Data - Production'!O164/('Raw Data - Production'!H164*Weights!$B$2),"")</f>
        <v/>
      </c>
      <c r="U132" s="13" t="str">
        <f>+IFERROR('Raw Data - Production'!P164/('Raw Data - Production'!I164*Weights!$B$2),"")</f>
        <v/>
      </c>
      <c r="V132" s="13"/>
      <c r="W132" s="13"/>
      <c r="X132" s="13"/>
      <c r="Y132" s="13"/>
      <c r="AA132" s="2">
        <f t="shared" ref="AA132:AA161" si="42">+N132</f>
        <v>46343</v>
      </c>
      <c r="AD132">
        <f t="shared" ref="AD132:AD161" si="43">+WEEKNUM(AA132)</f>
        <v>47</v>
      </c>
      <c r="AE132" s="13">
        <f t="shared" si="31"/>
        <v>0</v>
      </c>
      <c r="AF132" s="13">
        <f t="shared" si="31"/>
        <v>0</v>
      </c>
      <c r="AG132" s="13">
        <f t="shared" si="31"/>
        <v>0</v>
      </c>
      <c r="AH132" s="13">
        <f t="shared" si="32"/>
        <v>0</v>
      </c>
      <c r="AI132" s="13">
        <f t="shared" si="32"/>
        <v>0</v>
      </c>
      <c r="AJ132" s="13">
        <f t="shared" si="32"/>
        <v>0</v>
      </c>
      <c r="AK132" s="13"/>
      <c r="AL132" s="13"/>
      <c r="AM132" s="13"/>
      <c r="AN132" s="13"/>
      <c r="AP132" s="2">
        <f t="shared" ref="AP132:AP161" si="44">+AA132</f>
        <v>46343</v>
      </c>
      <c r="AQ132">
        <f t="shared" ref="AQ132:AQ161" si="45">+WEEKNUM(AP132)</f>
        <v>47</v>
      </c>
      <c r="AR132" s="18">
        <f>('Raw Data - Production'!D164/100)/60</f>
        <v>0</v>
      </c>
      <c r="AS132" s="18">
        <f>('Raw Data - Production'!E164/100)/60</f>
        <v>0</v>
      </c>
      <c r="AT132" s="18">
        <f>('Raw Data - Production'!G164/50)/60</f>
        <v>0</v>
      </c>
      <c r="AU132" s="18">
        <f>('Raw Data - Production'!H164/50)/60</f>
        <v>0</v>
      </c>
      <c r="AV132" s="18">
        <f>('Raw Data - Production'!I164/50)/60</f>
        <v>0</v>
      </c>
      <c r="AW132" s="18"/>
      <c r="AX132" s="18"/>
      <c r="AY132" s="18"/>
      <c r="AZ132" s="18"/>
    </row>
    <row r="133" spans="1:52" x14ac:dyDescent="0.35">
      <c r="A133" s="2">
        <f t="shared" si="33"/>
        <v>46344</v>
      </c>
      <c r="B133">
        <f t="shared" si="34"/>
        <v>47</v>
      </c>
      <c r="C133" s="13" t="str">
        <f t="shared" si="35"/>
        <v/>
      </c>
      <c r="D133" s="13" t="str">
        <f t="shared" si="36"/>
        <v/>
      </c>
      <c r="E133" s="13" t="str">
        <f t="shared" si="37"/>
        <v/>
      </c>
      <c r="F133" s="13" t="str">
        <f t="shared" si="38"/>
        <v/>
      </c>
      <c r="G133" s="13" t="str">
        <f t="shared" si="39"/>
        <v/>
      </c>
      <c r="H133" s="13" t="str">
        <f t="shared" si="40"/>
        <v/>
      </c>
      <c r="I133" s="13"/>
      <c r="J133" s="13"/>
      <c r="K133" s="13"/>
      <c r="L133" s="13"/>
      <c r="N133" s="2">
        <f>+'Daily Summary Old'!A160</f>
        <v>46344</v>
      </c>
      <c r="O133">
        <f t="shared" si="41"/>
        <v>47</v>
      </c>
      <c r="P133" s="13" t="str">
        <f>+IFERROR('Raw Data - Production'!K165/('Raw Data - Production'!D165*Weights!$B$2),"")</f>
        <v/>
      </c>
      <c r="Q133" s="13" t="str">
        <f>+IFERROR('Raw Data - Production'!L165/('Raw Data - Production'!E165*Weights!$B$2),"")</f>
        <v/>
      </c>
      <c r="R133" s="13" t="str">
        <f>+IFERROR('Raw Data - Production'!M165/('Raw Data - Production'!F165*Weights!$B$2),"")</f>
        <v/>
      </c>
      <c r="S133" s="13" t="str">
        <f>+IFERROR('Raw Data - Production'!N165/('Raw Data - Production'!G165*Weights!$B$2),"")</f>
        <v/>
      </c>
      <c r="T133" s="13" t="str">
        <f>+IFERROR('Raw Data - Production'!O165/('Raw Data - Production'!H165*Weights!$B$2),"")</f>
        <v/>
      </c>
      <c r="U133" s="13" t="str">
        <f>+IFERROR('Raw Data - Production'!P165/('Raw Data - Production'!I165*Weights!$B$2),"")</f>
        <v/>
      </c>
      <c r="V133" s="13"/>
      <c r="W133" s="13"/>
      <c r="X133" s="13"/>
      <c r="Y133" s="13"/>
      <c r="AA133" s="2">
        <f t="shared" si="42"/>
        <v>46344</v>
      </c>
      <c r="AD133">
        <f t="shared" si="43"/>
        <v>47</v>
      </c>
      <c r="AE133" s="13">
        <f t="shared" si="31"/>
        <v>0</v>
      </c>
      <c r="AF133" s="13">
        <f t="shared" si="31"/>
        <v>0</v>
      </c>
      <c r="AG133" s="13">
        <f t="shared" si="31"/>
        <v>0</v>
      </c>
      <c r="AH133" s="13">
        <f t="shared" si="32"/>
        <v>0</v>
      </c>
      <c r="AI133" s="13">
        <f t="shared" si="32"/>
        <v>0</v>
      </c>
      <c r="AJ133" s="13">
        <f t="shared" si="32"/>
        <v>0</v>
      </c>
      <c r="AK133" s="13"/>
      <c r="AL133" s="13"/>
      <c r="AM133" s="13"/>
      <c r="AN133" s="13"/>
      <c r="AP133" s="2">
        <f t="shared" si="44"/>
        <v>46344</v>
      </c>
      <c r="AQ133">
        <f t="shared" si="45"/>
        <v>47</v>
      </c>
      <c r="AR133" s="18">
        <f>('Raw Data - Production'!D165/100)/60</f>
        <v>0</v>
      </c>
      <c r="AS133" s="18">
        <f>('Raw Data - Production'!E165/100)/60</f>
        <v>0</v>
      </c>
      <c r="AT133" s="18">
        <f>('Raw Data - Production'!G165/50)/60</f>
        <v>0</v>
      </c>
      <c r="AU133" s="18">
        <f>('Raw Data - Production'!H165/50)/60</f>
        <v>0</v>
      </c>
      <c r="AV133" s="18">
        <f>('Raw Data - Production'!I165/50)/60</f>
        <v>0</v>
      </c>
      <c r="AW133" s="18"/>
      <c r="AX133" s="18"/>
      <c r="AY133" s="18"/>
      <c r="AZ133" s="18"/>
    </row>
    <row r="134" spans="1:52" x14ac:dyDescent="0.35">
      <c r="A134" s="2">
        <f t="shared" si="33"/>
        <v>46345</v>
      </c>
      <c r="B134">
        <f t="shared" si="34"/>
        <v>47</v>
      </c>
      <c r="C134" s="13" t="str">
        <f t="shared" si="35"/>
        <v/>
      </c>
      <c r="D134" s="13" t="str">
        <f t="shared" si="36"/>
        <v/>
      </c>
      <c r="E134" s="13" t="str">
        <f t="shared" si="37"/>
        <v/>
      </c>
      <c r="F134" s="13" t="str">
        <f t="shared" si="38"/>
        <v/>
      </c>
      <c r="G134" s="13" t="str">
        <f t="shared" si="39"/>
        <v/>
      </c>
      <c r="H134" s="13" t="str">
        <f t="shared" si="40"/>
        <v/>
      </c>
      <c r="I134" s="13"/>
      <c r="J134" s="13"/>
      <c r="K134" s="13"/>
      <c r="L134" s="13"/>
      <c r="N134" s="2">
        <f>+'Daily Summary Old'!A161</f>
        <v>46345</v>
      </c>
      <c r="O134">
        <f t="shared" si="41"/>
        <v>47</v>
      </c>
      <c r="P134" s="13" t="str">
        <f>+IFERROR('Raw Data - Production'!K166/('Raw Data - Production'!D166*Weights!$B$2),"")</f>
        <v/>
      </c>
      <c r="Q134" s="13" t="str">
        <f>+IFERROR('Raw Data - Production'!L166/('Raw Data - Production'!E166*Weights!$B$2),"")</f>
        <v/>
      </c>
      <c r="R134" s="13" t="str">
        <f>+IFERROR('Raw Data - Production'!M166/('Raw Data - Production'!F166*Weights!$B$2),"")</f>
        <v/>
      </c>
      <c r="S134" s="13" t="str">
        <f>+IFERROR('Raw Data - Production'!N166/('Raw Data - Production'!G166*Weights!$B$2),"")</f>
        <v/>
      </c>
      <c r="T134" s="13" t="str">
        <f>+IFERROR('Raw Data - Production'!O166/('Raw Data - Production'!H166*Weights!$B$2),"")</f>
        <v/>
      </c>
      <c r="U134" s="13" t="str">
        <f>+IFERROR('Raw Data - Production'!P166/('Raw Data - Production'!I166*Weights!$B$2),"")</f>
        <v/>
      </c>
      <c r="V134" s="13"/>
      <c r="W134" s="13"/>
      <c r="X134" s="13"/>
      <c r="Y134" s="13"/>
      <c r="AA134" s="2">
        <f t="shared" si="42"/>
        <v>46345</v>
      </c>
      <c r="AD134">
        <f t="shared" si="43"/>
        <v>47</v>
      </c>
      <c r="AE134" s="13">
        <f t="shared" si="31"/>
        <v>0</v>
      </c>
      <c r="AF134" s="13">
        <f t="shared" si="31"/>
        <v>0</v>
      </c>
      <c r="AG134" s="13">
        <f t="shared" si="31"/>
        <v>0</v>
      </c>
      <c r="AH134" s="13">
        <f t="shared" si="32"/>
        <v>0</v>
      </c>
      <c r="AI134" s="13">
        <f t="shared" si="32"/>
        <v>0</v>
      </c>
      <c r="AJ134" s="13">
        <f t="shared" si="32"/>
        <v>0</v>
      </c>
      <c r="AK134" s="13"/>
      <c r="AL134" s="13"/>
      <c r="AM134" s="13"/>
      <c r="AN134" s="13"/>
      <c r="AP134" s="2">
        <f t="shared" si="44"/>
        <v>46345</v>
      </c>
      <c r="AQ134">
        <f t="shared" si="45"/>
        <v>47</v>
      </c>
      <c r="AR134" s="18">
        <f>('Raw Data - Production'!D166/100)/60</f>
        <v>0</v>
      </c>
      <c r="AS134" s="18">
        <f>('Raw Data - Production'!E166/100)/60</f>
        <v>0</v>
      </c>
      <c r="AT134" s="18">
        <f>('Raw Data - Production'!G166/50)/60</f>
        <v>0</v>
      </c>
      <c r="AU134" s="18">
        <f>('Raw Data - Production'!H166/50)/60</f>
        <v>0</v>
      </c>
      <c r="AV134" s="18">
        <f>('Raw Data - Production'!I166/50)/60</f>
        <v>0</v>
      </c>
      <c r="AW134" s="18"/>
      <c r="AX134" s="18"/>
      <c r="AY134" s="18"/>
      <c r="AZ134" s="18"/>
    </row>
    <row r="135" spans="1:52" x14ac:dyDescent="0.35">
      <c r="A135" s="2">
        <f t="shared" si="33"/>
        <v>46346</v>
      </c>
      <c r="B135">
        <f t="shared" si="34"/>
        <v>47</v>
      </c>
      <c r="C135" s="13" t="str">
        <f t="shared" si="35"/>
        <v/>
      </c>
      <c r="D135" s="13" t="str">
        <f t="shared" si="36"/>
        <v/>
      </c>
      <c r="E135" s="13" t="str">
        <f t="shared" si="37"/>
        <v/>
      </c>
      <c r="F135" s="13" t="str">
        <f t="shared" si="38"/>
        <v/>
      </c>
      <c r="G135" s="13" t="str">
        <f t="shared" si="39"/>
        <v/>
      </c>
      <c r="H135" s="13" t="str">
        <f t="shared" si="40"/>
        <v/>
      </c>
      <c r="I135" s="13"/>
      <c r="J135" s="13"/>
      <c r="K135" s="13"/>
      <c r="L135" s="13"/>
      <c r="N135" s="2">
        <f>+'Daily Summary Old'!A162</f>
        <v>46346</v>
      </c>
      <c r="O135">
        <f t="shared" si="41"/>
        <v>47</v>
      </c>
      <c r="P135" s="13" t="str">
        <f>+IFERROR('Raw Data - Production'!K167/('Raw Data - Production'!D167*Weights!$B$2),"")</f>
        <v/>
      </c>
      <c r="Q135" s="13" t="str">
        <f>+IFERROR('Raw Data - Production'!L167/('Raw Data - Production'!E167*Weights!$B$2),"")</f>
        <v/>
      </c>
      <c r="R135" s="13" t="str">
        <f>+IFERROR('Raw Data - Production'!M167/('Raw Data - Production'!F167*Weights!$B$2),"")</f>
        <v/>
      </c>
      <c r="S135" s="13" t="str">
        <f>+IFERROR('Raw Data - Production'!N167/('Raw Data - Production'!G167*Weights!$B$2),"")</f>
        <v/>
      </c>
      <c r="T135" s="13" t="str">
        <f>+IFERROR('Raw Data - Production'!O167/('Raw Data - Production'!H167*Weights!$B$2),"")</f>
        <v/>
      </c>
      <c r="U135" s="13" t="str">
        <f>+IFERROR('Raw Data - Production'!P167/('Raw Data - Production'!I167*Weights!$B$2),"")</f>
        <v/>
      </c>
      <c r="V135" s="13"/>
      <c r="W135" s="13"/>
      <c r="X135" s="13"/>
      <c r="Y135" s="13"/>
      <c r="AA135" s="2">
        <f t="shared" si="42"/>
        <v>46346</v>
      </c>
      <c r="AD135">
        <f t="shared" si="43"/>
        <v>47</v>
      </c>
      <c r="AE135" s="13">
        <f t="shared" si="31"/>
        <v>0</v>
      </c>
      <c r="AF135" s="13">
        <f t="shared" si="31"/>
        <v>0</v>
      </c>
      <c r="AG135" s="13">
        <f t="shared" si="31"/>
        <v>0</v>
      </c>
      <c r="AH135" s="13">
        <f t="shared" si="32"/>
        <v>0</v>
      </c>
      <c r="AI135" s="13">
        <f t="shared" si="32"/>
        <v>0</v>
      </c>
      <c r="AJ135" s="13">
        <f t="shared" si="32"/>
        <v>0</v>
      </c>
      <c r="AK135" s="13"/>
      <c r="AL135" s="13"/>
      <c r="AM135" s="13"/>
      <c r="AN135" s="13"/>
      <c r="AP135" s="2">
        <f t="shared" si="44"/>
        <v>46346</v>
      </c>
      <c r="AQ135">
        <f t="shared" si="45"/>
        <v>47</v>
      </c>
      <c r="AR135" s="18">
        <f>('Raw Data - Production'!D167/100)/60</f>
        <v>0</v>
      </c>
      <c r="AS135" s="18">
        <f>('Raw Data - Production'!E167/100)/60</f>
        <v>0</v>
      </c>
      <c r="AT135" s="18">
        <f>('Raw Data - Production'!G167/50)/60</f>
        <v>0</v>
      </c>
      <c r="AU135" s="18">
        <f>('Raw Data - Production'!H167/50)/60</f>
        <v>0</v>
      </c>
      <c r="AV135" s="18">
        <f>('Raw Data - Production'!I167/50)/60</f>
        <v>0</v>
      </c>
      <c r="AW135" s="18"/>
      <c r="AX135" s="18"/>
      <c r="AY135" s="18"/>
      <c r="AZ135" s="18"/>
    </row>
    <row r="136" spans="1:52" x14ac:dyDescent="0.35">
      <c r="A136" s="2">
        <f t="shared" si="33"/>
        <v>46349</v>
      </c>
      <c r="B136">
        <f t="shared" si="34"/>
        <v>48</v>
      </c>
      <c r="C136" s="13" t="str">
        <f t="shared" si="35"/>
        <v/>
      </c>
      <c r="D136" s="13" t="str">
        <f t="shared" si="36"/>
        <v/>
      </c>
      <c r="E136" s="13" t="str">
        <f t="shared" si="37"/>
        <v/>
      </c>
      <c r="F136" s="13" t="str">
        <f t="shared" si="38"/>
        <v/>
      </c>
      <c r="G136" s="13" t="str">
        <f t="shared" si="39"/>
        <v/>
      </c>
      <c r="H136" s="13" t="str">
        <f t="shared" si="40"/>
        <v/>
      </c>
      <c r="I136" s="13"/>
      <c r="J136" s="13"/>
      <c r="K136" s="13"/>
      <c r="L136" s="13"/>
      <c r="N136" s="2">
        <f>+'Daily Summary Old'!A163</f>
        <v>46349</v>
      </c>
      <c r="O136">
        <f t="shared" si="41"/>
        <v>48</v>
      </c>
      <c r="P136" s="13" t="str">
        <f>+IFERROR('Raw Data - Production'!K168/('Raw Data - Production'!D168*Weights!$B$2),"")</f>
        <v/>
      </c>
      <c r="Q136" s="13" t="str">
        <f>+IFERROR('Raw Data - Production'!L168/('Raw Data - Production'!E168*Weights!$B$2),"")</f>
        <v/>
      </c>
      <c r="R136" s="13" t="str">
        <f>+IFERROR('Raw Data - Production'!M168/('Raw Data - Production'!F168*Weights!$B$2),"")</f>
        <v/>
      </c>
      <c r="S136" s="13" t="str">
        <f>+IFERROR('Raw Data - Production'!N168/('Raw Data - Production'!G168*Weights!$B$2),"")</f>
        <v/>
      </c>
      <c r="T136" s="13" t="str">
        <f>+IFERROR('Raw Data - Production'!O168/('Raw Data - Production'!H168*Weights!$B$2),"")</f>
        <v/>
      </c>
      <c r="U136" s="13" t="str">
        <f>+IFERROR('Raw Data - Production'!P168/('Raw Data - Production'!I168*Weights!$B$2),"")</f>
        <v/>
      </c>
      <c r="V136" s="13"/>
      <c r="W136" s="13"/>
      <c r="X136" s="13"/>
      <c r="Y136" s="13"/>
      <c r="AA136" s="2">
        <f t="shared" si="42"/>
        <v>46349</v>
      </c>
      <c r="AD136">
        <f t="shared" si="43"/>
        <v>48</v>
      </c>
      <c r="AE136" s="13">
        <f t="shared" si="31"/>
        <v>0</v>
      </c>
      <c r="AF136" s="13">
        <f t="shared" si="31"/>
        <v>0</v>
      </c>
      <c r="AG136" s="13">
        <f t="shared" si="31"/>
        <v>0</v>
      </c>
      <c r="AH136" s="13">
        <f t="shared" si="32"/>
        <v>0</v>
      </c>
      <c r="AI136" s="13">
        <f t="shared" si="32"/>
        <v>0</v>
      </c>
      <c r="AJ136" s="13">
        <f t="shared" si="32"/>
        <v>0</v>
      </c>
      <c r="AK136" s="13"/>
      <c r="AL136" s="13"/>
      <c r="AM136" s="13"/>
      <c r="AN136" s="13"/>
      <c r="AP136" s="2">
        <f t="shared" si="44"/>
        <v>46349</v>
      </c>
      <c r="AQ136">
        <f t="shared" si="45"/>
        <v>48</v>
      </c>
      <c r="AR136" s="18">
        <f>('Raw Data - Production'!D168/100)/60</f>
        <v>0</v>
      </c>
      <c r="AS136" s="18">
        <f>('Raw Data - Production'!E168/100)/60</f>
        <v>0</v>
      </c>
      <c r="AT136" s="18">
        <f>('Raw Data - Production'!G168/50)/60</f>
        <v>0</v>
      </c>
      <c r="AU136" s="18">
        <f>('Raw Data - Production'!H168/50)/60</f>
        <v>0</v>
      </c>
      <c r="AV136" s="18">
        <f>('Raw Data - Production'!I168/50)/60</f>
        <v>0</v>
      </c>
      <c r="AW136" s="18"/>
      <c r="AX136" s="18"/>
      <c r="AY136" s="18"/>
      <c r="AZ136" s="18"/>
    </row>
    <row r="137" spans="1:52" x14ac:dyDescent="0.35">
      <c r="A137" s="2">
        <f t="shared" si="33"/>
        <v>46350</v>
      </c>
      <c r="B137">
        <f t="shared" si="34"/>
        <v>48</v>
      </c>
      <c r="C137" s="13" t="str">
        <f t="shared" si="35"/>
        <v/>
      </c>
      <c r="D137" s="13" t="str">
        <f t="shared" si="36"/>
        <v/>
      </c>
      <c r="E137" s="13" t="str">
        <f t="shared" si="37"/>
        <v/>
      </c>
      <c r="F137" s="13" t="str">
        <f t="shared" si="38"/>
        <v/>
      </c>
      <c r="G137" s="13" t="str">
        <f t="shared" si="39"/>
        <v/>
      </c>
      <c r="H137" s="13" t="str">
        <f t="shared" si="40"/>
        <v/>
      </c>
      <c r="I137" s="13"/>
      <c r="J137" s="13"/>
      <c r="K137" s="13"/>
      <c r="L137" s="13"/>
      <c r="N137" s="2">
        <f>+'Daily Summary Old'!A164</f>
        <v>46350</v>
      </c>
      <c r="O137">
        <f t="shared" si="41"/>
        <v>48</v>
      </c>
      <c r="P137" s="13" t="str">
        <f>+IFERROR('Raw Data - Production'!K169/('Raw Data - Production'!D169*Weights!$B$2),"")</f>
        <v/>
      </c>
      <c r="Q137" s="13" t="str">
        <f>+IFERROR('Raw Data - Production'!L169/('Raw Data - Production'!E169*Weights!$B$2),"")</f>
        <v/>
      </c>
      <c r="R137" s="13" t="str">
        <f>+IFERROR('Raw Data - Production'!M169/('Raw Data - Production'!F169*Weights!$B$2),"")</f>
        <v/>
      </c>
      <c r="S137" s="13" t="str">
        <f>+IFERROR('Raw Data - Production'!N169/('Raw Data - Production'!G169*Weights!$B$2),"")</f>
        <v/>
      </c>
      <c r="T137" s="13" t="str">
        <f>+IFERROR('Raw Data - Production'!O169/('Raw Data - Production'!H169*Weights!$B$2),"")</f>
        <v/>
      </c>
      <c r="U137" s="13" t="str">
        <f>+IFERROR('Raw Data - Production'!P169/('Raw Data - Production'!I169*Weights!$B$2),"")</f>
        <v/>
      </c>
      <c r="V137" s="13"/>
      <c r="W137" s="13"/>
      <c r="X137" s="13"/>
      <c r="Y137" s="13"/>
      <c r="AA137" s="2">
        <f t="shared" si="42"/>
        <v>46350</v>
      </c>
      <c r="AD137">
        <f t="shared" si="43"/>
        <v>48</v>
      </c>
      <c r="AE137" s="13">
        <f t="shared" si="31"/>
        <v>0</v>
      </c>
      <c r="AF137" s="13">
        <f t="shared" si="31"/>
        <v>0</v>
      </c>
      <c r="AG137" s="13">
        <f t="shared" si="31"/>
        <v>0</v>
      </c>
      <c r="AH137" s="13">
        <f t="shared" si="32"/>
        <v>0</v>
      </c>
      <c r="AI137" s="13">
        <f t="shared" si="32"/>
        <v>0</v>
      </c>
      <c r="AJ137" s="13">
        <f t="shared" si="32"/>
        <v>0</v>
      </c>
      <c r="AK137" s="13"/>
      <c r="AL137" s="13"/>
      <c r="AM137" s="13"/>
      <c r="AN137" s="13"/>
      <c r="AP137" s="2">
        <f t="shared" si="44"/>
        <v>46350</v>
      </c>
      <c r="AQ137">
        <f t="shared" si="45"/>
        <v>48</v>
      </c>
      <c r="AR137" s="18">
        <f>('Raw Data - Production'!D169/100)/60</f>
        <v>0</v>
      </c>
      <c r="AS137" s="18">
        <f>('Raw Data - Production'!E169/100)/60</f>
        <v>0</v>
      </c>
      <c r="AT137" s="18">
        <f>('Raw Data - Production'!G169/50)/60</f>
        <v>0</v>
      </c>
      <c r="AU137" s="18">
        <f>('Raw Data - Production'!H169/50)/60</f>
        <v>0</v>
      </c>
      <c r="AV137" s="18">
        <f>('Raw Data - Production'!I169/50)/60</f>
        <v>0</v>
      </c>
      <c r="AW137" s="18"/>
      <c r="AX137" s="18"/>
      <c r="AY137" s="18"/>
      <c r="AZ137" s="18"/>
    </row>
    <row r="138" spans="1:52" x14ac:dyDescent="0.35">
      <c r="A138" s="2">
        <f t="shared" si="33"/>
        <v>46351</v>
      </c>
      <c r="B138">
        <f t="shared" si="34"/>
        <v>48</v>
      </c>
      <c r="C138" s="13" t="str">
        <f t="shared" si="35"/>
        <v/>
      </c>
      <c r="D138" s="13" t="str">
        <f t="shared" si="36"/>
        <v/>
      </c>
      <c r="E138" s="13" t="str">
        <f t="shared" si="37"/>
        <v/>
      </c>
      <c r="F138" s="13" t="str">
        <f t="shared" si="38"/>
        <v/>
      </c>
      <c r="G138" s="13" t="str">
        <f t="shared" si="39"/>
        <v/>
      </c>
      <c r="H138" s="13" t="str">
        <f t="shared" si="40"/>
        <v/>
      </c>
      <c r="I138" s="13"/>
      <c r="J138" s="13"/>
      <c r="K138" s="13"/>
      <c r="L138" s="13"/>
      <c r="N138" s="2">
        <f>+'Daily Summary Old'!A165</f>
        <v>46351</v>
      </c>
      <c r="O138">
        <f t="shared" si="41"/>
        <v>48</v>
      </c>
      <c r="P138" s="13" t="str">
        <f>+IFERROR('Raw Data - Production'!K170/('Raw Data - Production'!D170*Weights!$B$2),"")</f>
        <v/>
      </c>
      <c r="Q138" s="13" t="str">
        <f>+IFERROR('Raw Data - Production'!L170/('Raw Data - Production'!E170*Weights!$B$2),"")</f>
        <v/>
      </c>
      <c r="R138" s="13" t="str">
        <f>+IFERROR('Raw Data - Production'!M170/('Raw Data - Production'!F170*Weights!$B$2),"")</f>
        <v/>
      </c>
      <c r="S138" s="13" t="str">
        <f>+IFERROR('Raw Data - Production'!N170/('Raw Data - Production'!G170*Weights!$B$2),"")</f>
        <v/>
      </c>
      <c r="T138" s="13" t="str">
        <f>+IFERROR('Raw Data - Production'!O170/('Raw Data - Production'!H170*Weights!$B$2),"")</f>
        <v/>
      </c>
      <c r="U138" s="13" t="str">
        <f>+IFERROR('Raw Data - Production'!P170/('Raw Data - Production'!I170*Weights!$B$2),"")</f>
        <v/>
      </c>
      <c r="V138" s="13"/>
      <c r="W138" s="13"/>
      <c r="X138" s="13"/>
      <c r="Y138" s="13"/>
      <c r="AA138" s="2">
        <f t="shared" si="42"/>
        <v>46351</v>
      </c>
      <c r="AD138">
        <f t="shared" si="43"/>
        <v>48</v>
      </c>
      <c r="AE138" s="13">
        <f t="shared" si="31"/>
        <v>0</v>
      </c>
      <c r="AF138" s="13">
        <f t="shared" si="31"/>
        <v>0</v>
      </c>
      <c r="AG138" s="13">
        <f t="shared" si="31"/>
        <v>0</v>
      </c>
      <c r="AH138" s="13">
        <f t="shared" si="32"/>
        <v>0</v>
      </c>
      <c r="AI138" s="13">
        <f t="shared" si="32"/>
        <v>0</v>
      </c>
      <c r="AJ138" s="13">
        <f t="shared" si="32"/>
        <v>0</v>
      </c>
      <c r="AK138" s="13"/>
      <c r="AL138" s="13"/>
      <c r="AM138" s="13"/>
      <c r="AN138" s="13"/>
      <c r="AP138" s="2">
        <f t="shared" si="44"/>
        <v>46351</v>
      </c>
      <c r="AQ138">
        <f t="shared" si="45"/>
        <v>48</v>
      </c>
      <c r="AR138" s="18">
        <f>('Raw Data - Production'!D170/100)/60</f>
        <v>0</v>
      </c>
      <c r="AS138" s="18">
        <f>('Raw Data - Production'!E170/100)/60</f>
        <v>0</v>
      </c>
      <c r="AT138" s="18">
        <f>('Raw Data - Production'!G170/50)/60</f>
        <v>0</v>
      </c>
      <c r="AU138" s="18">
        <f>('Raw Data - Production'!H170/50)/60</f>
        <v>0</v>
      </c>
      <c r="AV138" s="18">
        <f>('Raw Data - Production'!I170/50)/60</f>
        <v>0</v>
      </c>
      <c r="AW138" s="18"/>
      <c r="AX138" s="18"/>
      <c r="AY138" s="18"/>
      <c r="AZ138" s="18"/>
    </row>
    <row r="139" spans="1:52" x14ac:dyDescent="0.35">
      <c r="A139" s="2">
        <f t="shared" si="33"/>
        <v>46356</v>
      </c>
      <c r="B139">
        <f t="shared" si="34"/>
        <v>49</v>
      </c>
      <c r="C139" s="13" t="str">
        <f t="shared" si="35"/>
        <v/>
      </c>
      <c r="D139" s="13" t="str">
        <f t="shared" si="36"/>
        <v/>
      </c>
      <c r="E139" s="13" t="str">
        <f t="shared" si="37"/>
        <v/>
      </c>
      <c r="F139" s="13" t="str">
        <f t="shared" si="38"/>
        <v/>
      </c>
      <c r="G139" s="13" t="str">
        <f t="shared" si="39"/>
        <v/>
      </c>
      <c r="H139" s="13" t="str">
        <f t="shared" si="40"/>
        <v/>
      </c>
      <c r="I139" s="13"/>
      <c r="J139" s="13"/>
      <c r="K139" s="13"/>
      <c r="L139" s="13"/>
      <c r="N139" s="2">
        <f>+'Daily Summary Old'!A166</f>
        <v>46356</v>
      </c>
      <c r="O139">
        <f t="shared" si="41"/>
        <v>49</v>
      </c>
      <c r="P139" s="13" t="str">
        <f>+IFERROR('Raw Data - Production'!K171/('Raw Data - Production'!D171*Weights!$B$2),"")</f>
        <v/>
      </c>
      <c r="Q139" s="13" t="str">
        <f>+IFERROR('Raw Data - Production'!L171/('Raw Data - Production'!E171*Weights!$B$2),"")</f>
        <v/>
      </c>
      <c r="R139" s="13" t="str">
        <f>+IFERROR('Raw Data - Production'!M171/('Raw Data - Production'!F171*Weights!$B$2),"")</f>
        <v/>
      </c>
      <c r="S139" s="13" t="str">
        <f>+IFERROR('Raw Data - Production'!N171/('Raw Data - Production'!G171*Weights!$B$2),"")</f>
        <v/>
      </c>
      <c r="T139" s="13" t="str">
        <f>+IFERROR('Raw Data - Production'!O171/('Raw Data - Production'!H171*Weights!$B$2),"")</f>
        <v/>
      </c>
      <c r="U139" s="13" t="str">
        <f>+IFERROR('Raw Data - Production'!P171/('Raw Data - Production'!I171*Weights!$B$2),"")</f>
        <v/>
      </c>
      <c r="V139" s="13"/>
      <c r="W139" s="13"/>
      <c r="X139" s="13"/>
      <c r="Y139" s="13"/>
      <c r="AA139" s="2">
        <f t="shared" si="42"/>
        <v>46356</v>
      </c>
      <c r="AD139">
        <f t="shared" si="43"/>
        <v>49</v>
      </c>
      <c r="AE139" s="13">
        <f t="shared" si="31"/>
        <v>0</v>
      </c>
      <c r="AF139" s="13">
        <f t="shared" si="31"/>
        <v>0</v>
      </c>
      <c r="AG139" s="13">
        <f t="shared" si="31"/>
        <v>0</v>
      </c>
      <c r="AH139" s="13">
        <f t="shared" si="32"/>
        <v>0</v>
      </c>
      <c r="AI139" s="13">
        <f t="shared" si="32"/>
        <v>0</v>
      </c>
      <c r="AJ139" s="13">
        <f t="shared" si="32"/>
        <v>0</v>
      </c>
      <c r="AK139" s="13"/>
      <c r="AL139" s="13"/>
      <c r="AM139" s="13"/>
      <c r="AN139" s="13"/>
      <c r="AP139" s="2">
        <f t="shared" si="44"/>
        <v>46356</v>
      </c>
      <c r="AQ139">
        <f t="shared" si="45"/>
        <v>49</v>
      </c>
      <c r="AR139" s="18">
        <f>('Raw Data - Production'!D171/100)/60</f>
        <v>0</v>
      </c>
      <c r="AS139" s="18">
        <f>('Raw Data - Production'!E171/100)/60</f>
        <v>0</v>
      </c>
      <c r="AT139" s="18">
        <f>('Raw Data - Production'!G171/50)/60</f>
        <v>0</v>
      </c>
      <c r="AU139" s="18">
        <f>('Raw Data - Production'!H171/50)/60</f>
        <v>0</v>
      </c>
      <c r="AV139" s="18">
        <f>('Raw Data - Production'!I171/50)/60</f>
        <v>0</v>
      </c>
      <c r="AW139" s="18"/>
      <c r="AX139" s="18"/>
      <c r="AY139" s="18"/>
      <c r="AZ139" s="18"/>
    </row>
    <row r="140" spans="1:52" x14ac:dyDescent="0.35">
      <c r="A140" s="2">
        <f t="shared" si="33"/>
        <v>46357</v>
      </c>
      <c r="B140">
        <f t="shared" si="34"/>
        <v>49</v>
      </c>
      <c r="C140" s="13" t="str">
        <f t="shared" si="35"/>
        <v/>
      </c>
      <c r="D140" s="13" t="str">
        <f t="shared" si="36"/>
        <v/>
      </c>
      <c r="E140" s="13" t="str">
        <f t="shared" si="37"/>
        <v/>
      </c>
      <c r="F140" s="13" t="str">
        <f t="shared" si="38"/>
        <v/>
      </c>
      <c r="G140" s="13" t="str">
        <f t="shared" si="39"/>
        <v/>
      </c>
      <c r="H140" s="13" t="str">
        <f t="shared" si="40"/>
        <v/>
      </c>
      <c r="I140" s="13"/>
      <c r="J140" s="13"/>
      <c r="K140" s="13"/>
      <c r="L140" s="13"/>
      <c r="N140" s="2">
        <f>+'Daily Summary Old'!A167</f>
        <v>46357</v>
      </c>
      <c r="O140">
        <f t="shared" si="41"/>
        <v>49</v>
      </c>
      <c r="P140" s="13" t="str">
        <f>+IFERROR('Raw Data - Production'!K172/('Raw Data - Production'!D172*Weights!$B$2),"")</f>
        <v/>
      </c>
      <c r="Q140" s="13" t="str">
        <f>+IFERROR('Raw Data - Production'!L172/('Raw Data - Production'!E172*Weights!$B$2),"")</f>
        <v/>
      </c>
      <c r="R140" s="13" t="str">
        <f>+IFERROR('Raw Data - Production'!M172/('Raw Data - Production'!F172*Weights!$B$2),"")</f>
        <v/>
      </c>
      <c r="S140" s="13" t="str">
        <f>+IFERROR('Raw Data - Production'!N172/('Raw Data - Production'!G172*Weights!$B$2),"")</f>
        <v/>
      </c>
      <c r="T140" s="13" t="str">
        <f>+IFERROR('Raw Data - Production'!O172/('Raw Data - Production'!H172*Weights!$B$2),"")</f>
        <v/>
      </c>
      <c r="U140" s="13" t="str">
        <f>+IFERROR('Raw Data - Production'!P172/('Raw Data - Production'!I172*Weights!$B$2),"")</f>
        <v/>
      </c>
      <c r="V140" s="13"/>
      <c r="W140" s="13"/>
      <c r="X140" s="13"/>
      <c r="Y140" s="13"/>
      <c r="AA140" s="2">
        <f t="shared" si="42"/>
        <v>46357</v>
      </c>
      <c r="AD140">
        <f t="shared" si="43"/>
        <v>49</v>
      </c>
      <c r="AE140" s="13">
        <f t="shared" si="31"/>
        <v>0</v>
      </c>
      <c r="AF140" s="13">
        <f t="shared" si="31"/>
        <v>0</v>
      </c>
      <c r="AG140" s="13">
        <f t="shared" si="31"/>
        <v>0</v>
      </c>
      <c r="AH140" s="13">
        <f t="shared" si="32"/>
        <v>0</v>
      </c>
      <c r="AI140" s="13">
        <f t="shared" si="32"/>
        <v>0</v>
      </c>
      <c r="AJ140" s="13">
        <f t="shared" si="32"/>
        <v>0</v>
      </c>
      <c r="AK140" s="13"/>
      <c r="AL140" s="13"/>
      <c r="AM140" s="13"/>
      <c r="AN140" s="13"/>
      <c r="AP140" s="2">
        <f t="shared" si="44"/>
        <v>46357</v>
      </c>
      <c r="AQ140">
        <f t="shared" si="45"/>
        <v>49</v>
      </c>
      <c r="AR140" s="18">
        <f>('Raw Data - Production'!D172/100)/60</f>
        <v>0</v>
      </c>
      <c r="AS140" s="18">
        <f>('Raw Data - Production'!E172/100)/60</f>
        <v>0</v>
      </c>
      <c r="AT140" s="18">
        <f>('Raw Data - Production'!G172/50)/60</f>
        <v>0</v>
      </c>
      <c r="AU140" s="18">
        <f>('Raw Data - Production'!H172/50)/60</f>
        <v>0</v>
      </c>
      <c r="AV140" s="18">
        <f>('Raw Data - Production'!I172/50)/60</f>
        <v>0</v>
      </c>
      <c r="AW140" s="18"/>
      <c r="AX140" s="18"/>
      <c r="AY140" s="18"/>
      <c r="AZ140" s="18"/>
    </row>
    <row r="141" spans="1:52" x14ac:dyDescent="0.35">
      <c r="A141" s="2">
        <f t="shared" si="33"/>
        <v>46358</v>
      </c>
      <c r="B141">
        <f t="shared" si="34"/>
        <v>49</v>
      </c>
      <c r="C141" s="13" t="str">
        <f t="shared" si="35"/>
        <v/>
      </c>
      <c r="D141" s="13" t="str">
        <f t="shared" si="36"/>
        <v/>
      </c>
      <c r="E141" s="13" t="str">
        <f t="shared" si="37"/>
        <v/>
      </c>
      <c r="F141" s="13" t="str">
        <f t="shared" si="38"/>
        <v/>
      </c>
      <c r="G141" s="13" t="str">
        <f t="shared" si="39"/>
        <v/>
      </c>
      <c r="H141" s="13" t="str">
        <f t="shared" si="40"/>
        <v/>
      </c>
      <c r="I141" s="13"/>
      <c r="J141" s="13"/>
      <c r="K141" s="13"/>
      <c r="L141" s="13"/>
      <c r="N141" s="2">
        <f>+'Daily Summary Old'!A168</f>
        <v>46358</v>
      </c>
      <c r="O141">
        <f t="shared" si="41"/>
        <v>49</v>
      </c>
      <c r="P141" s="13" t="str">
        <f>+IFERROR('Raw Data - Production'!K173/('Raw Data - Production'!D173*Weights!$B$2),"")</f>
        <v/>
      </c>
      <c r="Q141" s="13" t="str">
        <f>+IFERROR('Raw Data - Production'!L173/('Raw Data - Production'!E173*Weights!$B$2),"")</f>
        <v/>
      </c>
      <c r="R141" s="13" t="str">
        <f>+IFERROR('Raw Data - Production'!M173/('Raw Data - Production'!F173*Weights!$B$2),"")</f>
        <v/>
      </c>
      <c r="S141" s="13" t="str">
        <f>+IFERROR('Raw Data - Production'!N173/('Raw Data - Production'!G173*Weights!$B$2),"")</f>
        <v/>
      </c>
      <c r="T141" s="13" t="str">
        <f>+IFERROR('Raw Data - Production'!O173/('Raw Data - Production'!H173*Weights!$B$2),"")</f>
        <v/>
      </c>
      <c r="U141" s="13" t="str">
        <f>+IFERROR('Raw Data - Production'!P173/('Raw Data - Production'!I173*Weights!$B$2),"")</f>
        <v/>
      </c>
      <c r="V141" s="13"/>
      <c r="W141" s="13"/>
      <c r="X141" s="13"/>
      <c r="Y141" s="13"/>
      <c r="AA141" s="2">
        <f t="shared" si="42"/>
        <v>46358</v>
      </c>
      <c r="AD141">
        <f t="shared" si="43"/>
        <v>49</v>
      </c>
      <c r="AE141" s="13">
        <f t="shared" si="31"/>
        <v>0</v>
      </c>
      <c r="AF141" s="13">
        <f t="shared" si="31"/>
        <v>0</v>
      </c>
      <c r="AG141" s="13">
        <f t="shared" si="31"/>
        <v>0</v>
      </c>
      <c r="AH141" s="13">
        <f t="shared" si="32"/>
        <v>0</v>
      </c>
      <c r="AI141" s="13">
        <f t="shared" si="32"/>
        <v>0</v>
      </c>
      <c r="AJ141" s="13">
        <f t="shared" si="32"/>
        <v>0</v>
      </c>
      <c r="AK141" s="13"/>
      <c r="AL141" s="13"/>
      <c r="AM141" s="13"/>
      <c r="AN141" s="13"/>
      <c r="AP141" s="2">
        <f t="shared" si="44"/>
        <v>46358</v>
      </c>
      <c r="AQ141">
        <f t="shared" si="45"/>
        <v>49</v>
      </c>
      <c r="AR141" s="18">
        <f>('Raw Data - Production'!D173/100)/60</f>
        <v>0</v>
      </c>
      <c r="AS141" s="18">
        <f>('Raw Data - Production'!E173/100)/60</f>
        <v>0</v>
      </c>
      <c r="AT141" s="18">
        <f>('Raw Data - Production'!G173/50)/60</f>
        <v>0</v>
      </c>
      <c r="AU141" s="18">
        <f>('Raw Data - Production'!H173/50)/60</f>
        <v>0</v>
      </c>
      <c r="AV141" s="18">
        <f>('Raw Data - Production'!I173/50)/60</f>
        <v>0</v>
      </c>
      <c r="AW141" s="18"/>
      <c r="AX141" s="18"/>
      <c r="AY141" s="18"/>
      <c r="AZ141" s="18"/>
    </row>
    <row r="142" spans="1:52" x14ac:dyDescent="0.35">
      <c r="A142" s="2">
        <f t="shared" si="33"/>
        <v>46359</v>
      </c>
      <c r="B142">
        <f t="shared" si="34"/>
        <v>49</v>
      </c>
      <c r="C142" s="13" t="str">
        <f t="shared" si="35"/>
        <v/>
      </c>
      <c r="D142" s="13" t="str">
        <f t="shared" si="36"/>
        <v/>
      </c>
      <c r="E142" s="13" t="str">
        <f t="shared" si="37"/>
        <v/>
      </c>
      <c r="F142" s="13" t="str">
        <f t="shared" si="38"/>
        <v/>
      </c>
      <c r="G142" s="13" t="str">
        <f t="shared" si="39"/>
        <v/>
      </c>
      <c r="H142" s="13" t="str">
        <f t="shared" si="40"/>
        <v/>
      </c>
      <c r="I142" s="13"/>
      <c r="J142" s="13"/>
      <c r="K142" s="13"/>
      <c r="L142" s="13"/>
      <c r="N142" s="2">
        <f>+'Daily Summary Old'!A169</f>
        <v>46359</v>
      </c>
      <c r="O142">
        <f t="shared" si="41"/>
        <v>49</v>
      </c>
      <c r="P142" s="13" t="str">
        <f>+IFERROR('Raw Data - Production'!K174/('Raw Data - Production'!D174*Weights!$B$2),"")</f>
        <v/>
      </c>
      <c r="Q142" s="13" t="str">
        <f>+IFERROR('Raw Data - Production'!L174/('Raw Data - Production'!E174*Weights!$B$2),"")</f>
        <v/>
      </c>
      <c r="R142" s="13" t="str">
        <f>+IFERROR('Raw Data - Production'!M174/('Raw Data - Production'!F174*Weights!$B$2),"")</f>
        <v/>
      </c>
      <c r="S142" s="13" t="str">
        <f>+IFERROR('Raw Data - Production'!N174/('Raw Data - Production'!G174*Weights!$B$2),"")</f>
        <v/>
      </c>
      <c r="T142" s="13" t="str">
        <f>+IFERROR('Raw Data - Production'!O174/('Raw Data - Production'!H174*Weights!$B$2),"")</f>
        <v/>
      </c>
      <c r="U142" s="13" t="str">
        <f>+IFERROR('Raw Data - Production'!P174/('Raw Data - Production'!I174*Weights!$B$2),"")</f>
        <v/>
      </c>
      <c r="V142" s="13"/>
      <c r="W142" s="13"/>
      <c r="X142" s="13"/>
      <c r="Y142" s="13"/>
      <c r="AA142" s="2">
        <f t="shared" si="42"/>
        <v>46359</v>
      </c>
      <c r="AD142">
        <f t="shared" si="43"/>
        <v>49</v>
      </c>
      <c r="AE142" s="13">
        <f t="shared" si="31"/>
        <v>0</v>
      </c>
      <c r="AF142" s="13">
        <f t="shared" si="31"/>
        <v>0</v>
      </c>
      <c r="AG142" s="13">
        <f t="shared" si="31"/>
        <v>0</v>
      </c>
      <c r="AH142" s="13">
        <f t="shared" si="32"/>
        <v>0</v>
      </c>
      <c r="AI142" s="13">
        <f t="shared" si="32"/>
        <v>0</v>
      </c>
      <c r="AJ142" s="13">
        <f t="shared" si="32"/>
        <v>0</v>
      </c>
      <c r="AK142" s="13"/>
      <c r="AL142" s="13"/>
      <c r="AM142" s="13"/>
      <c r="AN142" s="13"/>
      <c r="AP142" s="2">
        <f t="shared" si="44"/>
        <v>46359</v>
      </c>
      <c r="AQ142">
        <f t="shared" si="45"/>
        <v>49</v>
      </c>
      <c r="AR142" s="18">
        <f>('Raw Data - Production'!D174/100)/60</f>
        <v>0</v>
      </c>
      <c r="AS142" s="18">
        <f>('Raw Data - Production'!E174/100)/60</f>
        <v>0</v>
      </c>
      <c r="AT142" s="18">
        <f>('Raw Data - Production'!G174/50)/60</f>
        <v>0</v>
      </c>
      <c r="AU142" s="18">
        <f>('Raw Data - Production'!H174/50)/60</f>
        <v>0</v>
      </c>
      <c r="AV142" s="18">
        <f>('Raw Data - Production'!I174/50)/60</f>
        <v>0</v>
      </c>
      <c r="AW142" s="18"/>
      <c r="AX142" s="18"/>
      <c r="AY142" s="18"/>
      <c r="AZ142" s="18"/>
    </row>
    <row r="143" spans="1:52" x14ac:dyDescent="0.35">
      <c r="A143" s="2">
        <f t="shared" si="33"/>
        <v>46360</v>
      </c>
      <c r="B143">
        <f t="shared" si="34"/>
        <v>49</v>
      </c>
      <c r="C143" s="13" t="str">
        <f t="shared" si="35"/>
        <v/>
      </c>
      <c r="D143" s="13" t="str">
        <f t="shared" si="36"/>
        <v/>
      </c>
      <c r="E143" s="13" t="str">
        <f t="shared" si="37"/>
        <v/>
      </c>
      <c r="F143" s="13" t="str">
        <f t="shared" si="38"/>
        <v/>
      </c>
      <c r="G143" s="13" t="str">
        <f t="shared" si="39"/>
        <v/>
      </c>
      <c r="H143" s="13" t="str">
        <f t="shared" si="40"/>
        <v/>
      </c>
      <c r="I143" s="13"/>
      <c r="J143" s="13"/>
      <c r="K143" s="13"/>
      <c r="L143" s="13"/>
      <c r="N143" s="2">
        <f>+'Daily Summary Old'!A170</f>
        <v>46360</v>
      </c>
      <c r="O143">
        <f t="shared" si="41"/>
        <v>49</v>
      </c>
      <c r="P143" s="13" t="str">
        <f>+IFERROR('Raw Data - Production'!K175/('Raw Data - Production'!D175*Weights!$B$2),"")</f>
        <v/>
      </c>
      <c r="Q143" s="13" t="str">
        <f>+IFERROR('Raw Data - Production'!L175/('Raw Data - Production'!E175*Weights!$B$2),"")</f>
        <v/>
      </c>
      <c r="R143" s="13" t="str">
        <f>+IFERROR('Raw Data - Production'!M175/('Raw Data - Production'!F175*Weights!$B$2),"")</f>
        <v/>
      </c>
      <c r="S143" s="13" t="str">
        <f>+IFERROR('Raw Data - Production'!N175/('Raw Data - Production'!G175*Weights!$B$2),"")</f>
        <v/>
      </c>
      <c r="T143" s="13" t="str">
        <f>+IFERROR('Raw Data - Production'!O175/('Raw Data - Production'!H175*Weights!$B$2),"")</f>
        <v/>
      </c>
      <c r="U143" s="13" t="str">
        <f>+IFERROR('Raw Data - Production'!P175/('Raw Data - Production'!I175*Weights!$B$2),"")</f>
        <v/>
      </c>
      <c r="V143" s="13"/>
      <c r="W143" s="13"/>
      <c r="X143" s="13"/>
      <c r="Y143" s="13"/>
      <c r="AA143" s="2">
        <f t="shared" si="42"/>
        <v>46360</v>
      </c>
      <c r="AD143">
        <f t="shared" si="43"/>
        <v>49</v>
      </c>
      <c r="AE143" s="13">
        <f t="shared" si="31"/>
        <v>0</v>
      </c>
      <c r="AF143" s="13">
        <f t="shared" si="31"/>
        <v>0</v>
      </c>
      <c r="AG143" s="13">
        <f t="shared" si="31"/>
        <v>0</v>
      </c>
      <c r="AH143" s="13">
        <f t="shared" si="32"/>
        <v>0</v>
      </c>
      <c r="AI143" s="13">
        <f t="shared" si="32"/>
        <v>0</v>
      </c>
      <c r="AJ143" s="13">
        <f t="shared" si="32"/>
        <v>0</v>
      </c>
      <c r="AK143" s="13"/>
      <c r="AL143" s="13"/>
      <c r="AM143" s="13"/>
      <c r="AN143" s="13"/>
      <c r="AP143" s="2">
        <f t="shared" si="44"/>
        <v>46360</v>
      </c>
      <c r="AQ143">
        <f t="shared" si="45"/>
        <v>49</v>
      </c>
      <c r="AR143" s="18">
        <f>('Raw Data - Production'!D175/100)/60</f>
        <v>0</v>
      </c>
      <c r="AS143" s="18">
        <f>('Raw Data - Production'!E175/100)/60</f>
        <v>0</v>
      </c>
      <c r="AT143" s="18">
        <f>('Raw Data - Production'!G175/50)/60</f>
        <v>0</v>
      </c>
      <c r="AU143" s="18">
        <f>('Raw Data - Production'!H175/50)/60</f>
        <v>0</v>
      </c>
      <c r="AV143" s="18">
        <f>('Raw Data - Production'!I175/50)/60</f>
        <v>0</v>
      </c>
      <c r="AW143" s="18"/>
      <c r="AX143" s="18"/>
      <c r="AY143" s="18"/>
      <c r="AZ143" s="18"/>
    </row>
    <row r="144" spans="1:52" x14ac:dyDescent="0.35">
      <c r="A144" s="2">
        <f t="shared" si="33"/>
        <v>46363</v>
      </c>
      <c r="B144">
        <f t="shared" si="34"/>
        <v>50</v>
      </c>
      <c r="C144" s="13" t="str">
        <f t="shared" si="35"/>
        <v/>
      </c>
      <c r="D144" s="13" t="str">
        <f t="shared" si="36"/>
        <v/>
      </c>
      <c r="E144" s="13" t="str">
        <f t="shared" si="37"/>
        <v/>
      </c>
      <c r="F144" s="13" t="str">
        <f t="shared" si="38"/>
        <v/>
      </c>
      <c r="G144" s="13" t="str">
        <f t="shared" si="39"/>
        <v/>
      </c>
      <c r="H144" s="13" t="str">
        <f t="shared" si="40"/>
        <v/>
      </c>
      <c r="I144" s="13"/>
      <c r="J144" s="13"/>
      <c r="K144" s="13"/>
      <c r="L144" s="13"/>
      <c r="N144" s="2">
        <f>+'Daily Summary Old'!A171</f>
        <v>46363</v>
      </c>
      <c r="O144">
        <f t="shared" si="41"/>
        <v>50</v>
      </c>
      <c r="P144" s="13" t="str">
        <f>+IFERROR('Raw Data - Production'!K176/('Raw Data - Production'!D176*Weights!$B$2),"")</f>
        <v/>
      </c>
      <c r="Q144" s="13" t="str">
        <f>+IFERROR('Raw Data - Production'!L176/('Raw Data - Production'!E176*Weights!$B$2),"")</f>
        <v/>
      </c>
      <c r="R144" s="13" t="str">
        <f>+IFERROR('Raw Data - Production'!M176/('Raw Data - Production'!F176*Weights!$B$2),"")</f>
        <v/>
      </c>
      <c r="S144" s="13" t="str">
        <f>+IFERROR('Raw Data - Production'!N176/('Raw Data - Production'!G176*Weights!$B$2),"")</f>
        <v/>
      </c>
      <c r="T144" s="13" t="str">
        <f>+IFERROR('Raw Data - Production'!O176/('Raw Data - Production'!H176*Weights!$B$2),"")</f>
        <v/>
      </c>
      <c r="U144" s="13" t="str">
        <f>+IFERROR('Raw Data - Production'!P176/('Raw Data - Production'!I176*Weights!$B$2),"")</f>
        <v/>
      </c>
      <c r="V144" s="13"/>
      <c r="W144" s="13"/>
      <c r="X144" s="13"/>
      <c r="Y144" s="13"/>
      <c r="AA144" s="2">
        <f t="shared" si="42"/>
        <v>46363</v>
      </c>
      <c r="AD144">
        <f t="shared" si="43"/>
        <v>50</v>
      </c>
      <c r="AE144" s="13">
        <f t="shared" si="31"/>
        <v>0</v>
      </c>
      <c r="AF144" s="13">
        <f t="shared" si="31"/>
        <v>0</v>
      </c>
      <c r="AG144" s="13">
        <f t="shared" si="31"/>
        <v>0</v>
      </c>
      <c r="AH144" s="13">
        <f t="shared" si="32"/>
        <v>0</v>
      </c>
      <c r="AI144" s="13">
        <f t="shared" si="32"/>
        <v>0</v>
      </c>
      <c r="AJ144" s="13">
        <f t="shared" si="32"/>
        <v>0</v>
      </c>
      <c r="AK144" s="13"/>
      <c r="AL144" s="13"/>
      <c r="AM144" s="13"/>
      <c r="AN144" s="13"/>
      <c r="AP144" s="2">
        <f t="shared" si="44"/>
        <v>46363</v>
      </c>
      <c r="AQ144">
        <f t="shared" si="45"/>
        <v>50</v>
      </c>
      <c r="AR144" s="18">
        <f>('Raw Data - Production'!D176/100)/60</f>
        <v>0</v>
      </c>
      <c r="AS144" s="18">
        <f>('Raw Data - Production'!E176/100)/60</f>
        <v>0</v>
      </c>
      <c r="AT144" s="18">
        <f>('Raw Data - Production'!G176/50)/60</f>
        <v>0</v>
      </c>
      <c r="AU144" s="18">
        <f>('Raw Data - Production'!H176/50)/60</f>
        <v>0</v>
      </c>
      <c r="AV144" s="18">
        <f>('Raw Data - Production'!I176/50)/60</f>
        <v>0</v>
      </c>
      <c r="AW144" s="18"/>
      <c r="AX144" s="18"/>
      <c r="AY144" s="18"/>
      <c r="AZ144" s="18"/>
    </row>
    <row r="145" spans="1:52" x14ac:dyDescent="0.35">
      <c r="A145" s="2">
        <f t="shared" si="33"/>
        <v>46364</v>
      </c>
      <c r="B145">
        <f t="shared" si="34"/>
        <v>50</v>
      </c>
      <c r="C145" s="13" t="str">
        <f t="shared" si="35"/>
        <v/>
      </c>
      <c r="D145" s="13" t="str">
        <f t="shared" si="36"/>
        <v/>
      </c>
      <c r="E145" s="13" t="str">
        <f t="shared" si="37"/>
        <v/>
      </c>
      <c r="F145" s="13" t="str">
        <f t="shared" si="38"/>
        <v/>
      </c>
      <c r="G145" s="13" t="str">
        <f t="shared" si="39"/>
        <v/>
      </c>
      <c r="H145" s="13" t="str">
        <f t="shared" si="40"/>
        <v/>
      </c>
      <c r="I145" s="13"/>
      <c r="J145" s="13"/>
      <c r="K145" s="13"/>
      <c r="L145" s="13"/>
      <c r="N145" s="2">
        <f>+'Daily Summary Old'!A172</f>
        <v>46364</v>
      </c>
      <c r="O145">
        <f t="shared" si="41"/>
        <v>50</v>
      </c>
      <c r="P145" s="13" t="str">
        <f>+IFERROR('Raw Data - Production'!K177/('Raw Data - Production'!D177*Weights!$B$2),"")</f>
        <v/>
      </c>
      <c r="Q145" s="13" t="str">
        <f>+IFERROR('Raw Data - Production'!L177/('Raw Data - Production'!E177*Weights!$B$2),"")</f>
        <v/>
      </c>
      <c r="R145" s="13" t="str">
        <f>+IFERROR('Raw Data - Production'!M177/('Raw Data - Production'!F177*Weights!$B$2),"")</f>
        <v/>
      </c>
      <c r="S145" s="13" t="str">
        <f>+IFERROR('Raw Data - Production'!N177/('Raw Data - Production'!G177*Weights!$B$2),"")</f>
        <v/>
      </c>
      <c r="T145" s="13" t="str">
        <f>+IFERROR('Raw Data - Production'!O177/('Raw Data - Production'!H177*Weights!$B$2),"")</f>
        <v/>
      </c>
      <c r="U145" s="13" t="str">
        <f>+IFERROR('Raw Data - Production'!P177/('Raw Data - Production'!I177*Weights!$B$2),"")</f>
        <v/>
      </c>
      <c r="V145" s="13"/>
      <c r="W145" s="13"/>
      <c r="X145" s="13"/>
      <c r="Y145" s="13"/>
      <c r="AA145" s="2">
        <f t="shared" si="42"/>
        <v>46364</v>
      </c>
      <c r="AD145">
        <f t="shared" si="43"/>
        <v>50</v>
      </c>
      <c r="AE145" s="13">
        <f t="shared" si="31"/>
        <v>0</v>
      </c>
      <c r="AF145" s="13">
        <f t="shared" si="31"/>
        <v>0</v>
      </c>
      <c r="AG145" s="13">
        <f t="shared" si="31"/>
        <v>0</v>
      </c>
      <c r="AH145" s="13">
        <f t="shared" si="32"/>
        <v>0</v>
      </c>
      <c r="AI145" s="13">
        <f t="shared" si="32"/>
        <v>0</v>
      </c>
      <c r="AJ145" s="13">
        <f t="shared" si="32"/>
        <v>0</v>
      </c>
      <c r="AK145" s="13"/>
      <c r="AL145" s="13"/>
      <c r="AM145" s="13"/>
      <c r="AN145" s="13"/>
      <c r="AP145" s="2">
        <f t="shared" si="44"/>
        <v>46364</v>
      </c>
      <c r="AQ145">
        <f t="shared" si="45"/>
        <v>50</v>
      </c>
      <c r="AR145" s="18">
        <f>('Raw Data - Production'!D177/100)/60</f>
        <v>0</v>
      </c>
      <c r="AS145" s="18">
        <f>('Raw Data - Production'!E177/100)/60</f>
        <v>0</v>
      </c>
      <c r="AT145" s="18">
        <f>('Raw Data - Production'!G177/50)/60</f>
        <v>0</v>
      </c>
      <c r="AU145" s="18">
        <f>('Raw Data - Production'!H177/50)/60</f>
        <v>0</v>
      </c>
      <c r="AV145" s="18">
        <f>('Raw Data - Production'!I177/50)/60</f>
        <v>0</v>
      </c>
      <c r="AW145" s="18"/>
      <c r="AX145" s="18"/>
      <c r="AY145" s="18"/>
      <c r="AZ145" s="18"/>
    </row>
    <row r="146" spans="1:52" x14ac:dyDescent="0.35">
      <c r="A146" s="2">
        <f t="shared" si="33"/>
        <v>46365</v>
      </c>
      <c r="B146">
        <f t="shared" si="34"/>
        <v>50</v>
      </c>
      <c r="C146" s="13" t="str">
        <f t="shared" si="35"/>
        <v/>
      </c>
      <c r="D146" s="13" t="str">
        <f t="shared" si="36"/>
        <v/>
      </c>
      <c r="E146" s="13" t="str">
        <f t="shared" si="37"/>
        <v/>
      </c>
      <c r="F146" s="13" t="str">
        <f t="shared" si="38"/>
        <v/>
      </c>
      <c r="G146" s="13" t="str">
        <f t="shared" si="39"/>
        <v/>
      </c>
      <c r="H146" s="13" t="str">
        <f t="shared" si="40"/>
        <v/>
      </c>
      <c r="I146" s="13"/>
      <c r="J146" s="13"/>
      <c r="K146" s="13"/>
      <c r="L146" s="13"/>
      <c r="N146" s="2">
        <f>+'Daily Summary Old'!A173</f>
        <v>46365</v>
      </c>
      <c r="O146">
        <f t="shared" si="41"/>
        <v>50</v>
      </c>
      <c r="P146" s="13" t="str">
        <f>+IFERROR('Raw Data - Production'!K178/('Raw Data - Production'!D178*Weights!$B$2),"")</f>
        <v/>
      </c>
      <c r="Q146" s="13" t="str">
        <f>+IFERROR('Raw Data - Production'!L178/('Raw Data - Production'!E178*Weights!$B$2),"")</f>
        <v/>
      </c>
      <c r="R146" s="13" t="str">
        <f>+IFERROR('Raw Data - Production'!M178/('Raw Data - Production'!F178*Weights!$B$2),"")</f>
        <v/>
      </c>
      <c r="S146" s="13" t="str">
        <f>+IFERROR('Raw Data - Production'!N178/('Raw Data - Production'!G178*Weights!$B$2),"")</f>
        <v/>
      </c>
      <c r="T146" s="13" t="str">
        <f>+IFERROR('Raw Data - Production'!O178/('Raw Data - Production'!H178*Weights!$B$2),"")</f>
        <v/>
      </c>
      <c r="U146" s="13" t="str">
        <f>+IFERROR('Raw Data - Production'!P178/('Raw Data - Production'!I178*Weights!$B$2),"")</f>
        <v/>
      </c>
      <c r="V146" s="13"/>
      <c r="W146" s="13"/>
      <c r="X146" s="13"/>
      <c r="Y146" s="13"/>
      <c r="AA146" s="2">
        <f t="shared" si="42"/>
        <v>46365</v>
      </c>
      <c r="AD146">
        <f t="shared" si="43"/>
        <v>50</v>
      </c>
      <c r="AE146" s="13">
        <f t="shared" si="31"/>
        <v>0</v>
      </c>
      <c r="AF146" s="13">
        <f t="shared" si="31"/>
        <v>0</v>
      </c>
      <c r="AG146" s="13">
        <f t="shared" si="31"/>
        <v>0</v>
      </c>
      <c r="AH146" s="13">
        <f t="shared" si="32"/>
        <v>0</v>
      </c>
      <c r="AI146" s="13">
        <f t="shared" si="32"/>
        <v>0</v>
      </c>
      <c r="AJ146" s="13">
        <f t="shared" si="32"/>
        <v>0</v>
      </c>
      <c r="AK146" s="13"/>
      <c r="AL146" s="13"/>
      <c r="AM146" s="13"/>
      <c r="AN146" s="13"/>
      <c r="AP146" s="2">
        <f t="shared" si="44"/>
        <v>46365</v>
      </c>
      <c r="AQ146">
        <f t="shared" si="45"/>
        <v>50</v>
      </c>
      <c r="AR146" s="18">
        <f>('Raw Data - Production'!D178/100)/60</f>
        <v>0</v>
      </c>
      <c r="AS146" s="18">
        <f>('Raw Data - Production'!E178/100)/60</f>
        <v>0</v>
      </c>
      <c r="AT146" s="18">
        <f>('Raw Data - Production'!G178/50)/60</f>
        <v>0</v>
      </c>
      <c r="AU146" s="18">
        <f>('Raw Data - Production'!H178/50)/60</f>
        <v>0</v>
      </c>
      <c r="AV146" s="18">
        <f>('Raw Data - Production'!I178/50)/60</f>
        <v>0</v>
      </c>
      <c r="AW146" s="18"/>
      <c r="AX146" s="18"/>
      <c r="AY146" s="18"/>
      <c r="AZ146" s="18"/>
    </row>
    <row r="147" spans="1:52" x14ac:dyDescent="0.35">
      <c r="A147" s="2">
        <f t="shared" si="33"/>
        <v>46366</v>
      </c>
      <c r="B147">
        <f t="shared" si="34"/>
        <v>50</v>
      </c>
      <c r="C147" s="13" t="str">
        <f t="shared" si="35"/>
        <v/>
      </c>
      <c r="D147" s="13" t="str">
        <f t="shared" si="36"/>
        <v/>
      </c>
      <c r="E147" s="13" t="str">
        <f t="shared" si="37"/>
        <v/>
      </c>
      <c r="F147" s="13" t="str">
        <f t="shared" si="38"/>
        <v/>
      </c>
      <c r="G147" s="13" t="str">
        <f t="shared" si="39"/>
        <v/>
      </c>
      <c r="H147" s="13" t="str">
        <f t="shared" si="40"/>
        <v/>
      </c>
      <c r="I147" s="13"/>
      <c r="J147" s="13"/>
      <c r="K147" s="13"/>
      <c r="L147" s="13"/>
      <c r="N147" s="2">
        <f>+'Daily Summary Old'!A174</f>
        <v>46366</v>
      </c>
      <c r="O147">
        <f t="shared" si="41"/>
        <v>50</v>
      </c>
      <c r="P147" s="13" t="str">
        <f>+IFERROR('Raw Data - Production'!K179/('Raw Data - Production'!D179*Weights!$B$2),"")</f>
        <v/>
      </c>
      <c r="Q147" s="13" t="str">
        <f>+IFERROR('Raw Data - Production'!L179/('Raw Data - Production'!E179*Weights!$B$2),"")</f>
        <v/>
      </c>
      <c r="R147" s="13" t="str">
        <f>+IFERROR('Raw Data - Production'!M179/('Raw Data - Production'!F179*Weights!$B$2),"")</f>
        <v/>
      </c>
      <c r="S147" s="13" t="str">
        <f>+IFERROR('Raw Data - Production'!N179/('Raw Data - Production'!G179*Weights!$B$2),"")</f>
        <v/>
      </c>
      <c r="T147" s="13" t="str">
        <f>+IFERROR('Raw Data - Production'!O179/('Raw Data - Production'!H179*Weights!$B$2),"")</f>
        <v/>
      </c>
      <c r="U147" s="13" t="str">
        <f>+IFERROR('Raw Data - Production'!P179/('Raw Data - Production'!I179*Weights!$B$2),"")</f>
        <v/>
      </c>
      <c r="V147" s="13"/>
      <c r="W147" s="13"/>
      <c r="X147" s="13"/>
      <c r="Y147" s="13"/>
      <c r="AA147" s="2">
        <f t="shared" si="42"/>
        <v>46366</v>
      </c>
      <c r="AD147">
        <f t="shared" si="43"/>
        <v>50</v>
      </c>
      <c r="AE147" s="13">
        <f t="shared" si="31"/>
        <v>0</v>
      </c>
      <c r="AF147" s="13">
        <f t="shared" si="31"/>
        <v>0</v>
      </c>
      <c r="AG147" s="13">
        <f t="shared" si="31"/>
        <v>0</v>
      </c>
      <c r="AH147" s="13">
        <f t="shared" si="32"/>
        <v>0</v>
      </c>
      <c r="AI147" s="13">
        <f t="shared" si="32"/>
        <v>0</v>
      </c>
      <c r="AJ147" s="13">
        <f t="shared" si="32"/>
        <v>0</v>
      </c>
      <c r="AK147" s="13"/>
      <c r="AL147" s="13"/>
      <c r="AM147" s="13"/>
      <c r="AN147" s="13"/>
      <c r="AP147" s="2">
        <f t="shared" si="44"/>
        <v>46366</v>
      </c>
      <c r="AQ147">
        <f t="shared" si="45"/>
        <v>50</v>
      </c>
      <c r="AR147" s="18">
        <f>('Raw Data - Production'!D179/100)/60</f>
        <v>0</v>
      </c>
      <c r="AS147" s="18">
        <f>('Raw Data - Production'!E179/100)/60</f>
        <v>0</v>
      </c>
      <c r="AT147" s="18">
        <f>('Raw Data - Production'!G179/50)/60</f>
        <v>0</v>
      </c>
      <c r="AU147" s="18">
        <f>('Raw Data - Production'!H179/50)/60</f>
        <v>0</v>
      </c>
      <c r="AV147" s="18">
        <f>('Raw Data - Production'!I179/50)/60</f>
        <v>0</v>
      </c>
      <c r="AW147" s="18"/>
      <c r="AX147" s="18"/>
      <c r="AY147" s="18"/>
      <c r="AZ147" s="18"/>
    </row>
    <row r="148" spans="1:52" x14ac:dyDescent="0.35">
      <c r="A148" s="2">
        <f t="shared" si="33"/>
        <v>46367</v>
      </c>
      <c r="B148">
        <f t="shared" si="34"/>
        <v>50</v>
      </c>
      <c r="C148" s="13" t="str">
        <f t="shared" si="35"/>
        <v/>
      </c>
      <c r="D148" s="13" t="str">
        <f t="shared" si="36"/>
        <v/>
      </c>
      <c r="E148" s="13" t="str">
        <f t="shared" si="37"/>
        <v/>
      </c>
      <c r="F148" s="13" t="str">
        <f t="shared" si="38"/>
        <v/>
      </c>
      <c r="G148" s="13" t="str">
        <f t="shared" si="39"/>
        <v/>
      </c>
      <c r="H148" s="13" t="str">
        <f t="shared" si="40"/>
        <v/>
      </c>
      <c r="I148" s="13"/>
      <c r="J148" s="13"/>
      <c r="K148" s="13"/>
      <c r="L148" s="13"/>
      <c r="N148" s="2">
        <f>+'Daily Summary Old'!A175</f>
        <v>46367</v>
      </c>
      <c r="O148">
        <f t="shared" si="41"/>
        <v>50</v>
      </c>
      <c r="P148" s="13" t="str">
        <f>+IFERROR('Raw Data - Production'!K180/('Raw Data - Production'!D180*Weights!$B$2),"")</f>
        <v/>
      </c>
      <c r="Q148" s="13" t="str">
        <f>+IFERROR('Raw Data - Production'!L180/('Raw Data - Production'!E180*Weights!$B$2),"")</f>
        <v/>
      </c>
      <c r="R148" s="13" t="str">
        <f>+IFERROR('Raw Data - Production'!M180/('Raw Data - Production'!F180*Weights!$B$2),"")</f>
        <v/>
      </c>
      <c r="S148" s="13" t="str">
        <f>+IFERROR('Raw Data - Production'!N180/('Raw Data - Production'!G180*Weights!$B$2),"")</f>
        <v/>
      </c>
      <c r="T148" s="13" t="str">
        <f>+IFERROR('Raw Data - Production'!O180/('Raw Data - Production'!H180*Weights!$B$2),"")</f>
        <v/>
      </c>
      <c r="U148" s="13" t="str">
        <f>+IFERROR('Raw Data - Production'!P180/('Raw Data - Production'!I180*Weights!$B$2),"")</f>
        <v/>
      </c>
      <c r="V148" s="13"/>
      <c r="W148" s="13"/>
      <c r="X148" s="13"/>
      <c r="Y148" s="13"/>
      <c r="AA148" s="2">
        <f t="shared" si="42"/>
        <v>46367</v>
      </c>
      <c r="AD148">
        <f t="shared" si="43"/>
        <v>50</v>
      </c>
      <c r="AE148" s="13">
        <f t="shared" si="31"/>
        <v>0</v>
      </c>
      <c r="AF148" s="13">
        <f t="shared" si="31"/>
        <v>0</v>
      </c>
      <c r="AG148" s="13">
        <f t="shared" si="31"/>
        <v>0</v>
      </c>
      <c r="AH148" s="13">
        <f t="shared" si="32"/>
        <v>0</v>
      </c>
      <c r="AI148" s="13">
        <f t="shared" si="32"/>
        <v>0</v>
      </c>
      <c r="AJ148" s="13">
        <f t="shared" si="32"/>
        <v>0</v>
      </c>
      <c r="AK148" s="13"/>
      <c r="AL148" s="13"/>
      <c r="AM148" s="13"/>
      <c r="AN148" s="13"/>
      <c r="AP148" s="2">
        <f t="shared" si="44"/>
        <v>46367</v>
      </c>
      <c r="AQ148">
        <f t="shared" si="45"/>
        <v>50</v>
      </c>
      <c r="AR148" s="18">
        <f>('Raw Data - Production'!D180/100)/60</f>
        <v>0</v>
      </c>
      <c r="AS148" s="18">
        <f>('Raw Data - Production'!E180/100)/60</f>
        <v>0</v>
      </c>
      <c r="AT148" s="18">
        <f>('Raw Data - Production'!G180/50)/60</f>
        <v>0</v>
      </c>
      <c r="AU148" s="18">
        <f>('Raw Data - Production'!H180/50)/60</f>
        <v>0</v>
      </c>
      <c r="AV148" s="18">
        <f>('Raw Data - Production'!I180/50)/60</f>
        <v>0</v>
      </c>
      <c r="AW148" s="18"/>
      <c r="AX148" s="18"/>
      <c r="AY148" s="18"/>
      <c r="AZ148" s="18"/>
    </row>
    <row r="149" spans="1:52" x14ac:dyDescent="0.35">
      <c r="A149" s="2">
        <f t="shared" si="33"/>
        <v>46370</v>
      </c>
      <c r="B149">
        <f t="shared" si="34"/>
        <v>51</v>
      </c>
      <c r="C149" s="13" t="str">
        <f t="shared" si="35"/>
        <v/>
      </c>
      <c r="D149" s="13" t="str">
        <f t="shared" si="36"/>
        <v/>
      </c>
      <c r="E149" s="13" t="str">
        <f t="shared" si="37"/>
        <v/>
      </c>
      <c r="F149" s="13" t="str">
        <f t="shared" si="38"/>
        <v/>
      </c>
      <c r="G149" s="13" t="str">
        <f t="shared" si="39"/>
        <v/>
      </c>
      <c r="H149" s="13" t="str">
        <f t="shared" si="40"/>
        <v/>
      </c>
      <c r="I149" s="13"/>
      <c r="J149" s="13"/>
      <c r="K149" s="13"/>
      <c r="L149" s="13"/>
      <c r="N149" s="2">
        <f>+'Daily Summary Old'!A176</f>
        <v>46370</v>
      </c>
      <c r="O149">
        <f t="shared" si="41"/>
        <v>51</v>
      </c>
      <c r="P149" s="13" t="str">
        <f>+IFERROR('Raw Data - Production'!K181/('Raw Data - Production'!D181*Weights!$B$2),"")</f>
        <v/>
      </c>
      <c r="Q149" s="13" t="str">
        <f>+IFERROR('Raw Data - Production'!L181/('Raw Data - Production'!E181*Weights!$B$2),"")</f>
        <v/>
      </c>
      <c r="R149" s="13" t="str">
        <f>+IFERROR('Raw Data - Production'!M181/('Raw Data - Production'!F181*Weights!$B$2),"")</f>
        <v/>
      </c>
      <c r="S149" s="13" t="str">
        <f>+IFERROR('Raw Data - Production'!N181/('Raw Data - Production'!G181*Weights!$B$2),"")</f>
        <v/>
      </c>
      <c r="T149" s="13" t="str">
        <f>+IFERROR('Raw Data - Production'!O181/('Raw Data - Production'!H181*Weights!$B$2),"")</f>
        <v/>
      </c>
      <c r="U149" s="13" t="str">
        <f>+IFERROR('Raw Data - Production'!P181/('Raw Data - Production'!I181*Weights!$B$2),"")</f>
        <v/>
      </c>
      <c r="V149" s="13"/>
      <c r="W149" s="13"/>
      <c r="X149" s="13"/>
      <c r="Y149" s="13"/>
      <c r="AA149" s="2">
        <f t="shared" si="42"/>
        <v>46370</v>
      </c>
      <c r="AD149">
        <f t="shared" si="43"/>
        <v>51</v>
      </c>
      <c r="AE149" s="13">
        <f t="shared" si="31"/>
        <v>0</v>
      </c>
      <c r="AF149" s="13">
        <f t="shared" si="31"/>
        <v>0</v>
      </c>
      <c r="AG149" s="13">
        <f t="shared" si="31"/>
        <v>0</v>
      </c>
      <c r="AH149" s="13">
        <f t="shared" si="32"/>
        <v>0</v>
      </c>
      <c r="AI149" s="13">
        <f t="shared" si="32"/>
        <v>0</v>
      </c>
      <c r="AJ149" s="13">
        <f t="shared" si="32"/>
        <v>0</v>
      </c>
      <c r="AK149" s="13"/>
      <c r="AL149" s="13"/>
      <c r="AM149" s="13"/>
      <c r="AN149" s="13"/>
      <c r="AP149" s="2">
        <f t="shared" si="44"/>
        <v>46370</v>
      </c>
      <c r="AQ149">
        <f t="shared" si="45"/>
        <v>51</v>
      </c>
      <c r="AR149" s="18">
        <f>('Raw Data - Production'!D181/100)/60</f>
        <v>0</v>
      </c>
      <c r="AS149" s="18">
        <f>('Raw Data - Production'!E181/100)/60</f>
        <v>0</v>
      </c>
      <c r="AT149" s="18">
        <f>('Raw Data - Production'!G181/50)/60</f>
        <v>0</v>
      </c>
      <c r="AU149" s="18">
        <f>('Raw Data - Production'!H181/50)/60</f>
        <v>0</v>
      </c>
      <c r="AV149" s="18">
        <f>('Raw Data - Production'!I181/50)/60</f>
        <v>0</v>
      </c>
      <c r="AW149" s="18"/>
      <c r="AX149" s="18"/>
      <c r="AY149" s="18"/>
      <c r="AZ149" s="18"/>
    </row>
    <row r="150" spans="1:52" x14ac:dyDescent="0.35">
      <c r="A150" s="2">
        <f t="shared" si="33"/>
        <v>46371</v>
      </c>
      <c r="B150">
        <f t="shared" si="34"/>
        <v>51</v>
      </c>
      <c r="C150" s="13" t="str">
        <f t="shared" si="35"/>
        <v/>
      </c>
      <c r="D150" s="13" t="str">
        <f t="shared" si="36"/>
        <v/>
      </c>
      <c r="E150" s="13" t="str">
        <f t="shared" si="37"/>
        <v/>
      </c>
      <c r="F150" s="13" t="str">
        <f t="shared" si="38"/>
        <v/>
      </c>
      <c r="G150" s="13" t="str">
        <f t="shared" si="39"/>
        <v/>
      </c>
      <c r="H150" s="13" t="str">
        <f t="shared" si="40"/>
        <v/>
      </c>
      <c r="I150" s="13"/>
      <c r="J150" s="13"/>
      <c r="K150" s="13"/>
      <c r="L150" s="13"/>
      <c r="N150" s="2">
        <f>+'Daily Summary Old'!A177</f>
        <v>46371</v>
      </c>
      <c r="O150">
        <f t="shared" si="41"/>
        <v>51</v>
      </c>
      <c r="P150" s="13" t="str">
        <f>+IFERROR('Raw Data - Production'!K182/('Raw Data - Production'!D182*Weights!$B$2),"")</f>
        <v/>
      </c>
      <c r="Q150" s="13" t="str">
        <f>+IFERROR('Raw Data - Production'!L182/('Raw Data - Production'!E182*Weights!$B$2),"")</f>
        <v/>
      </c>
      <c r="R150" s="13" t="str">
        <f>+IFERROR('Raw Data - Production'!M182/('Raw Data - Production'!F182*Weights!$B$2),"")</f>
        <v/>
      </c>
      <c r="S150" s="13" t="str">
        <f>+IFERROR('Raw Data - Production'!N182/('Raw Data - Production'!G182*Weights!$B$2),"")</f>
        <v/>
      </c>
      <c r="T150" s="13" t="str">
        <f>+IFERROR('Raw Data - Production'!O182/('Raw Data - Production'!H182*Weights!$B$2),"")</f>
        <v/>
      </c>
      <c r="U150" s="13" t="str">
        <f>+IFERROR('Raw Data - Production'!P182/('Raw Data - Production'!I182*Weights!$B$2),"")</f>
        <v/>
      </c>
      <c r="V150" s="13"/>
      <c r="W150" s="13"/>
      <c r="X150" s="13"/>
      <c r="Y150" s="13"/>
      <c r="AA150" s="2">
        <f t="shared" si="42"/>
        <v>46371</v>
      </c>
      <c r="AD150">
        <f t="shared" si="43"/>
        <v>51</v>
      </c>
      <c r="AE150" s="13">
        <f t="shared" si="31"/>
        <v>0</v>
      </c>
      <c r="AF150" s="13">
        <f t="shared" si="31"/>
        <v>0</v>
      </c>
      <c r="AG150" s="13">
        <f t="shared" si="31"/>
        <v>0</v>
      </c>
      <c r="AH150" s="13">
        <f t="shared" si="32"/>
        <v>0</v>
      </c>
      <c r="AI150" s="13">
        <f t="shared" si="32"/>
        <v>0</v>
      </c>
      <c r="AJ150" s="13">
        <f t="shared" si="32"/>
        <v>0</v>
      </c>
      <c r="AK150" s="13"/>
      <c r="AL150" s="13"/>
      <c r="AM150" s="13"/>
      <c r="AN150" s="13"/>
      <c r="AP150" s="2">
        <f t="shared" si="44"/>
        <v>46371</v>
      </c>
      <c r="AQ150">
        <f t="shared" si="45"/>
        <v>51</v>
      </c>
      <c r="AR150" s="18">
        <f>('Raw Data - Production'!D182/100)/60</f>
        <v>0</v>
      </c>
      <c r="AS150" s="18">
        <f>('Raw Data - Production'!E182/100)/60</f>
        <v>0</v>
      </c>
      <c r="AT150" s="18">
        <f>('Raw Data - Production'!G182/50)/60</f>
        <v>0</v>
      </c>
      <c r="AU150" s="18">
        <f>('Raw Data - Production'!H182/50)/60</f>
        <v>0</v>
      </c>
      <c r="AV150" s="18">
        <f>('Raw Data - Production'!I182/50)/60</f>
        <v>0</v>
      </c>
      <c r="AW150" s="18"/>
      <c r="AX150" s="18"/>
      <c r="AY150" s="18"/>
      <c r="AZ150" s="18"/>
    </row>
    <row r="151" spans="1:52" x14ac:dyDescent="0.35">
      <c r="A151" s="2">
        <f t="shared" si="33"/>
        <v>46372</v>
      </c>
      <c r="B151">
        <f t="shared" si="34"/>
        <v>51</v>
      </c>
      <c r="C151" s="13" t="str">
        <f t="shared" si="35"/>
        <v/>
      </c>
      <c r="D151" s="13" t="str">
        <f t="shared" si="36"/>
        <v/>
      </c>
      <c r="E151" s="13" t="str">
        <f t="shared" si="37"/>
        <v/>
      </c>
      <c r="F151" s="13" t="str">
        <f t="shared" si="38"/>
        <v/>
      </c>
      <c r="G151" s="13" t="str">
        <f t="shared" si="39"/>
        <v/>
      </c>
      <c r="H151" s="13" t="str">
        <f t="shared" si="40"/>
        <v/>
      </c>
      <c r="I151" s="13"/>
      <c r="J151" s="13"/>
      <c r="K151" s="13"/>
      <c r="L151" s="13"/>
      <c r="N151" s="2">
        <f>+'Daily Summary Old'!A178</f>
        <v>46372</v>
      </c>
      <c r="O151">
        <f t="shared" si="41"/>
        <v>51</v>
      </c>
      <c r="P151" s="13" t="str">
        <f>+IFERROR('Raw Data - Production'!K183/('Raw Data - Production'!D183*Weights!$B$2),"")</f>
        <v/>
      </c>
      <c r="Q151" s="13" t="str">
        <f>+IFERROR('Raw Data - Production'!L183/('Raw Data - Production'!E183*Weights!$B$2),"")</f>
        <v/>
      </c>
      <c r="R151" s="13" t="str">
        <f>+IFERROR('Raw Data - Production'!M183/('Raw Data - Production'!F183*Weights!$B$2),"")</f>
        <v/>
      </c>
      <c r="S151" s="13" t="str">
        <f>+IFERROR('Raw Data - Production'!N183/('Raw Data - Production'!G183*Weights!$B$2),"")</f>
        <v/>
      </c>
      <c r="T151" s="13" t="str">
        <f>+IFERROR('Raw Data - Production'!O183/('Raw Data - Production'!H183*Weights!$B$2),"")</f>
        <v/>
      </c>
      <c r="U151" s="13" t="str">
        <f>+IFERROR('Raw Data - Production'!P183/('Raw Data - Production'!I183*Weights!$B$2),"")</f>
        <v/>
      </c>
      <c r="V151" s="13"/>
      <c r="W151" s="13"/>
      <c r="X151" s="13"/>
      <c r="Y151" s="13"/>
      <c r="AA151" s="2">
        <f t="shared" si="42"/>
        <v>46372</v>
      </c>
      <c r="AD151">
        <f t="shared" si="43"/>
        <v>51</v>
      </c>
      <c r="AE151" s="13">
        <f t="shared" si="31"/>
        <v>0</v>
      </c>
      <c r="AF151" s="13">
        <f t="shared" si="31"/>
        <v>0</v>
      </c>
      <c r="AG151" s="13">
        <f t="shared" si="31"/>
        <v>0</v>
      </c>
      <c r="AH151" s="13">
        <f t="shared" si="32"/>
        <v>0</v>
      </c>
      <c r="AI151" s="13">
        <f t="shared" si="32"/>
        <v>0</v>
      </c>
      <c r="AJ151" s="13">
        <f t="shared" si="32"/>
        <v>0</v>
      </c>
      <c r="AK151" s="13"/>
      <c r="AL151" s="13"/>
      <c r="AM151" s="13"/>
      <c r="AN151" s="13"/>
      <c r="AP151" s="2">
        <f t="shared" si="44"/>
        <v>46372</v>
      </c>
      <c r="AQ151">
        <f t="shared" si="45"/>
        <v>51</v>
      </c>
      <c r="AR151" s="18">
        <f>('Raw Data - Production'!D183/100)/60</f>
        <v>0</v>
      </c>
      <c r="AS151" s="18">
        <f>('Raw Data - Production'!E183/100)/60</f>
        <v>0</v>
      </c>
      <c r="AT151" s="18">
        <f>('Raw Data - Production'!G183/50)/60</f>
        <v>0</v>
      </c>
      <c r="AU151" s="18">
        <f>('Raw Data - Production'!H183/50)/60</f>
        <v>0</v>
      </c>
      <c r="AV151" s="18">
        <f>('Raw Data - Production'!I183/50)/60</f>
        <v>0</v>
      </c>
      <c r="AW151" s="18"/>
      <c r="AX151" s="18"/>
      <c r="AY151" s="18"/>
      <c r="AZ151" s="18"/>
    </row>
    <row r="152" spans="1:52" x14ac:dyDescent="0.35">
      <c r="A152" s="2">
        <f t="shared" si="33"/>
        <v>46373</v>
      </c>
      <c r="B152">
        <f t="shared" si="34"/>
        <v>51</v>
      </c>
      <c r="C152" s="13" t="str">
        <f t="shared" si="35"/>
        <v/>
      </c>
      <c r="D152" s="13" t="str">
        <f t="shared" si="36"/>
        <v/>
      </c>
      <c r="E152" s="13" t="str">
        <f t="shared" si="37"/>
        <v/>
      </c>
      <c r="F152" s="13" t="str">
        <f t="shared" si="38"/>
        <v/>
      </c>
      <c r="G152" s="13" t="str">
        <f t="shared" si="39"/>
        <v/>
      </c>
      <c r="H152" s="13" t="str">
        <f t="shared" si="40"/>
        <v/>
      </c>
      <c r="I152" s="13"/>
      <c r="J152" s="13"/>
      <c r="K152" s="13"/>
      <c r="L152" s="13"/>
      <c r="N152" s="2">
        <f>+'Daily Summary Old'!A179</f>
        <v>46373</v>
      </c>
      <c r="O152">
        <f t="shared" si="41"/>
        <v>51</v>
      </c>
      <c r="P152" s="13" t="str">
        <f>+IFERROR('Raw Data - Production'!K184/('Raw Data - Production'!D184*Weights!$B$2),"")</f>
        <v/>
      </c>
      <c r="Q152" s="13" t="str">
        <f>+IFERROR('Raw Data - Production'!L184/('Raw Data - Production'!E184*Weights!$B$2),"")</f>
        <v/>
      </c>
      <c r="R152" s="13" t="str">
        <f>+IFERROR('Raw Data - Production'!M184/('Raw Data - Production'!F184*Weights!$B$2),"")</f>
        <v/>
      </c>
      <c r="S152" s="13" t="str">
        <f>+IFERROR('Raw Data - Production'!N184/('Raw Data - Production'!G184*Weights!$B$2),"")</f>
        <v/>
      </c>
      <c r="T152" s="13" t="str">
        <f>+IFERROR('Raw Data - Production'!O184/('Raw Data - Production'!H184*Weights!$B$2),"")</f>
        <v/>
      </c>
      <c r="U152" s="13" t="str">
        <f>+IFERROR('Raw Data - Production'!P184/('Raw Data - Production'!I184*Weights!$B$2),"")</f>
        <v/>
      </c>
      <c r="V152" s="13"/>
      <c r="W152" s="13"/>
      <c r="X152" s="13"/>
      <c r="Y152" s="13"/>
      <c r="AA152" s="2">
        <f t="shared" si="42"/>
        <v>46373</v>
      </c>
      <c r="AD152">
        <f t="shared" si="43"/>
        <v>51</v>
      </c>
      <c r="AE152" s="13">
        <f t="shared" si="31"/>
        <v>0</v>
      </c>
      <c r="AF152" s="13">
        <f t="shared" si="31"/>
        <v>0</v>
      </c>
      <c r="AG152" s="13">
        <f t="shared" si="31"/>
        <v>0</v>
      </c>
      <c r="AH152" s="13">
        <f t="shared" si="32"/>
        <v>0</v>
      </c>
      <c r="AI152" s="13">
        <f t="shared" si="32"/>
        <v>0</v>
      </c>
      <c r="AJ152" s="13">
        <f t="shared" si="32"/>
        <v>0</v>
      </c>
      <c r="AK152" s="13"/>
      <c r="AL152" s="13"/>
      <c r="AM152" s="13"/>
      <c r="AN152" s="13"/>
      <c r="AP152" s="2">
        <f t="shared" si="44"/>
        <v>46373</v>
      </c>
      <c r="AQ152">
        <f t="shared" si="45"/>
        <v>51</v>
      </c>
      <c r="AR152" s="18">
        <f>('Raw Data - Production'!D184/100)/60</f>
        <v>0</v>
      </c>
      <c r="AS152" s="18">
        <f>('Raw Data - Production'!E184/100)/60</f>
        <v>0</v>
      </c>
      <c r="AT152" s="18">
        <f>('Raw Data - Production'!G184/50)/60</f>
        <v>0</v>
      </c>
      <c r="AU152" s="18">
        <f>('Raw Data - Production'!H184/50)/60</f>
        <v>0</v>
      </c>
      <c r="AV152" s="18">
        <f>('Raw Data - Production'!I184/50)/60</f>
        <v>0</v>
      </c>
      <c r="AW152" s="18"/>
      <c r="AX152" s="18"/>
      <c r="AY152" s="18"/>
      <c r="AZ152" s="18"/>
    </row>
    <row r="153" spans="1:52" x14ac:dyDescent="0.35">
      <c r="A153" s="2">
        <f t="shared" si="33"/>
        <v>46374</v>
      </c>
      <c r="B153">
        <f t="shared" si="34"/>
        <v>51</v>
      </c>
      <c r="C153" s="13" t="str">
        <f t="shared" si="35"/>
        <v/>
      </c>
      <c r="D153" s="13" t="str">
        <f t="shared" si="36"/>
        <v/>
      </c>
      <c r="E153" s="13" t="str">
        <f t="shared" si="37"/>
        <v/>
      </c>
      <c r="F153" s="13" t="str">
        <f t="shared" si="38"/>
        <v/>
      </c>
      <c r="G153" s="13" t="str">
        <f t="shared" si="39"/>
        <v/>
      </c>
      <c r="H153" s="13" t="str">
        <f t="shared" si="40"/>
        <v/>
      </c>
      <c r="I153" s="13"/>
      <c r="J153" s="13"/>
      <c r="K153" s="13"/>
      <c r="L153" s="13"/>
      <c r="N153" s="2">
        <f>+'Daily Summary Old'!A180</f>
        <v>46374</v>
      </c>
      <c r="O153">
        <f t="shared" si="41"/>
        <v>51</v>
      </c>
      <c r="P153" s="13" t="str">
        <f>+IFERROR('Raw Data - Production'!K185/('Raw Data - Production'!D185*Weights!$B$2),"")</f>
        <v/>
      </c>
      <c r="Q153" s="13" t="str">
        <f>+IFERROR('Raw Data - Production'!L185/('Raw Data - Production'!E185*Weights!$B$2),"")</f>
        <v/>
      </c>
      <c r="R153" s="13" t="str">
        <f>+IFERROR('Raw Data - Production'!M185/('Raw Data - Production'!F185*Weights!$B$2),"")</f>
        <v/>
      </c>
      <c r="S153" s="13" t="str">
        <f>+IFERROR('Raw Data - Production'!N185/('Raw Data - Production'!G185*Weights!$B$2),"")</f>
        <v/>
      </c>
      <c r="T153" s="13" t="str">
        <f>+IFERROR('Raw Data - Production'!O185/('Raw Data - Production'!H185*Weights!$B$2),"")</f>
        <v/>
      </c>
      <c r="U153" s="13" t="str">
        <f>+IFERROR('Raw Data - Production'!P185/('Raw Data - Production'!I185*Weights!$B$2),"")</f>
        <v/>
      </c>
      <c r="V153" s="13"/>
      <c r="W153" s="13"/>
      <c r="X153" s="13"/>
      <c r="Y153" s="13"/>
      <c r="AA153" s="2">
        <f t="shared" si="42"/>
        <v>46374</v>
      </c>
      <c r="AD153">
        <f t="shared" si="43"/>
        <v>51</v>
      </c>
      <c r="AE153" s="13">
        <f t="shared" si="31"/>
        <v>0</v>
      </c>
      <c r="AF153" s="13">
        <f t="shared" si="31"/>
        <v>0</v>
      </c>
      <c r="AG153" s="13">
        <f t="shared" si="31"/>
        <v>0</v>
      </c>
      <c r="AH153" s="13">
        <f t="shared" si="32"/>
        <v>0</v>
      </c>
      <c r="AI153" s="13">
        <f t="shared" si="32"/>
        <v>0</v>
      </c>
      <c r="AJ153" s="13">
        <f t="shared" si="32"/>
        <v>0</v>
      </c>
      <c r="AK153" s="13"/>
      <c r="AL153" s="13"/>
      <c r="AM153" s="13"/>
      <c r="AN153" s="13"/>
      <c r="AP153" s="2">
        <f t="shared" si="44"/>
        <v>46374</v>
      </c>
      <c r="AQ153">
        <f t="shared" si="45"/>
        <v>51</v>
      </c>
      <c r="AR153" s="18">
        <f>('Raw Data - Production'!D185/100)/60</f>
        <v>0</v>
      </c>
      <c r="AS153" s="18">
        <f>('Raw Data - Production'!E185/100)/60</f>
        <v>0</v>
      </c>
      <c r="AT153" s="18">
        <f>('Raw Data - Production'!G185/50)/60</f>
        <v>0</v>
      </c>
      <c r="AU153" s="18">
        <f>('Raw Data - Production'!H185/50)/60</f>
        <v>0</v>
      </c>
      <c r="AV153" s="18">
        <f>('Raw Data - Production'!I185/50)/60</f>
        <v>0</v>
      </c>
      <c r="AW153" s="18"/>
      <c r="AX153" s="18"/>
      <c r="AY153" s="18"/>
      <c r="AZ153" s="18"/>
    </row>
    <row r="154" spans="1:52" x14ac:dyDescent="0.35">
      <c r="A154" s="2">
        <f t="shared" si="33"/>
        <v>46377</v>
      </c>
      <c r="B154">
        <f t="shared" si="34"/>
        <v>52</v>
      </c>
      <c r="C154" s="13" t="str">
        <f t="shared" si="35"/>
        <v/>
      </c>
      <c r="D154" s="13" t="str">
        <f t="shared" si="36"/>
        <v/>
      </c>
      <c r="E154" s="13" t="str">
        <f t="shared" si="37"/>
        <v/>
      </c>
      <c r="F154" s="13" t="str">
        <f t="shared" si="38"/>
        <v/>
      </c>
      <c r="G154" s="13" t="str">
        <f t="shared" si="39"/>
        <v/>
      </c>
      <c r="H154" s="13" t="str">
        <f t="shared" si="40"/>
        <v/>
      </c>
      <c r="I154" s="13"/>
      <c r="J154" s="13"/>
      <c r="K154" s="13"/>
      <c r="L154" s="13"/>
      <c r="N154" s="2">
        <f>+'Daily Summary Old'!A181</f>
        <v>46377</v>
      </c>
      <c r="O154">
        <f t="shared" si="41"/>
        <v>52</v>
      </c>
      <c r="P154" s="13" t="str">
        <f>+IFERROR('Raw Data - Production'!K186/('Raw Data - Production'!D186*Weights!$B$2),"")</f>
        <v/>
      </c>
      <c r="Q154" s="13" t="str">
        <f>+IFERROR('Raw Data - Production'!L186/('Raw Data - Production'!E186*Weights!$B$2),"")</f>
        <v/>
      </c>
      <c r="R154" s="13" t="str">
        <f>+IFERROR('Raw Data - Production'!M186/('Raw Data - Production'!F186*Weights!$B$2),"")</f>
        <v/>
      </c>
      <c r="S154" s="13" t="str">
        <f>+IFERROR('Raw Data - Production'!N186/('Raw Data - Production'!G186*Weights!$B$2),"")</f>
        <v/>
      </c>
      <c r="T154" s="13" t="str">
        <f>+IFERROR('Raw Data - Production'!O186/('Raw Data - Production'!H186*Weights!$B$2),"")</f>
        <v/>
      </c>
      <c r="U154" s="13" t="str">
        <f>+IFERROR('Raw Data - Production'!P186/('Raw Data - Production'!I186*Weights!$B$2),"")</f>
        <v/>
      </c>
      <c r="V154" s="13"/>
      <c r="W154" s="13"/>
      <c r="X154" s="13"/>
      <c r="Y154" s="13"/>
      <c r="AA154" s="2">
        <f t="shared" si="42"/>
        <v>46377</v>
      </c>
      <c r="AD154">
        <f t="shared" si="43"/>
        <v>52</v>
      </c>
      <c r="AE154" s="13">
        <f t="shared" si="31"/>
        <v>0</v>
      </c>
      <c r="AF154" s="13">
        <f t="shared" si="31"/>
        <v>0</v>
      </c>
      <c r="AG154" s="13">
        <f t="shared" si="31"/>
        <v>0</v>
      </c>
      <c r="AH154" s="13">
        <f t="shared" si="32"/>
        <v>0</v>
      </c>
      <c r="AI154" s="13">
        <f t="shared" si="32"/>
        <v>0</v>
      </c>
      <c r="AJ154" s="13">
        <f t="shared" si="32"/>
        <v>0</v>
      </c>
      <c r="AK154" s="13"/>
      <c r="AL154" s="13"/>
      <c r="AM154" s="13"/>
      <c r="AN154" s="13"/>
      <c r="AP154" s="2">
        <f t="shared" si="44"/>
        <v>46377</v>
      </c>
      <c r="AQ154">
        <f t="shared" si="45"/>
        <v>52</v>
      </c>
      <c r="AR154" s="18">
        <f>('Raw Data - Production'!D186/100)/60</f>
        <v>0</v>
      </c>
      <c r="AS154" s="18">
        <f>('Raw Data - Production'!E186/100)/60</f>
        <v>0</v>
      </c>
      <c r="AT154" s="18">
        <f>('Raw Data - Production'!G186/50)/60</f>
        <v>0</v>
      </c>
      <c r="AU154" s="18">
        <f>('Raw Data - Production'!H186/50)/60</f>
        <v>0</v>
      </c>
      <c r="AV154" s="18">
        <f>('Raw Data - Production'!I186/50)/60</f>
        <v>0</v>
      </c>
      <c r="AW154" s="18"/>
      <c r="AX154" s="18"/>
      <c r="AY154" s="18"/>
      <c r="AZ154" s="18"/>
    </row>
    <row r="155" spans="1:52" x14ac:dyDescent="0.35">
      <c r="A155" s="2">
        <f t="shared" si="33"/>
        <v>46378</v>
      </c>
      <c r="B155">
        <f t="shared" si="34"/>
        <v>52</v>
      </c>
      <c r="C155" s="13" t="str">
        <f t="shared" si="35"/>
        <v/>
      </c>
      <c r="D155" s="13" t="str">
        <f t="shared" si="36"/>
        <v/>
      </c>
      <c r="E155" s="13" t="str">
        <f t="shared" si="37"/>
        <v/>
      </c>
      <c r="F155" s="13" t="str">
        <f t="shared" si="38"/>
        <v/>
      </c>
      <c r="G155" s="13" t="str">
        <f t="shared" si="39"/>
        <v/>
      </c>
      <c r="H155" s="13" t="str">
        <f t="shared" si="40"/>
        <v/>
      </c>
      <c r="I155" s="13"/>
      <c r="J155" s="13"/>
      <c r="K155" s="13"/>
      <c r="L155" s="13"/>
      <c r="N155" s="2">
        <f>+'Daily Summary Old'!A182</f>
        <v>46378</v>
      </c>
      <c r="O155">
        <f t="shared" si="41"/>
        <v>52</v>
      </c>
      <c r="P155" s="13" t="str">
        <f>+IFERROR('Raw Data - Production'!K187/('Raw Data - Production'!D187*Weights!$B$2),"")</f>
        <v/>
      </c>
      <c r="Q155" s="13" t="str">
        <f>+IFERROR('Raw Data - Production'!L187/('Raw Data - Production'!E187*Weights!$B$2),"")</f>
        <v/>
      </c>
      <c r="R155" s="13" t="str">
        <f>+IFERROR('Raw Data - Production'!M187/('Raw Data - Production'!F187*Weights!$B$2),"")</f>
        <v/>
      </c>
      <c r="S155" s="13" t="str">
        <f>+IFERROR('Raw Data - Production'!N187/('Raw Data - Production'!G187*Weights!$B$2),"")</f>
        <v/>
      </c>
      <c r="T155" s="13" t="str">
        <f>+IFERROR('Raw Data - Production'!O187/('Raw Data - Production'!H187*Weights!$B$2),"")</f>
        <v/>
      </c>
      <c r="U155" s="13" t="str">
        <f>+IFERROR('Raw Data - Production'!P187/('Raw Data - Production'!I187*Weights!$B$2),"")</f>
        <v/>
      </c>
      <c r="V155" s="13"/>
      <c r="W155" s="13"/>
      <c r="X155" s="13"/>
      <c r="Y155" s="13"/>
      <c r="AA155" s="2">
        <f t="shared" si="42"/>
        <v>46378</v>
      </c>
      <c r="AD155">
        <f t="shared" si="43"/>
        <v>52</v>
      </c>
      <c r="AE155" s="13">
        <f t="shared" si="31"/>
        <v>0</v>
      </c>
      <c r="AF155" s="13">
        <f t="shared" si="31"/>
        <v>0</v>
      </c>
      <c r="AG155" s="13">
        <f t="shared" si="31"/>
        <v>0</v>
      </c>
      <c r="AH155" s="13">
        <f t="shared" si="32"/>
        <v>0</v>
      </c>
      <c r="AI155" s="13">
        <f t="shared" si="32"/>
        <v>0</v>
      </c>
      <c r="AJ155" s="13">
        <f t="shared" si="32"/>
        <v>0</v>
      </c>
      <c r="AK155" s="13"/>
      <c r="AL155" s="13"/>
      <c r="AM155" s="13"/>
      <c r="AN155" s="13"/>
      <c r="AP155" s="2">
        <f t="shared" si="44"/>
        <v>46378</v>
      </c>
      <c r="AQ155">
        <f t="shared" si="45"/>
        <v>52</v>
      </c>
      <c r="AR155" s="18">
        <f>('Raw Data - Production'!D187/100)/60</f>
        <v>0</v>
      </c>
      <c r="AS155" s="18">
        <f>('Raw Data - Production'!E187/100)/60</f>
        <v>0</v>
      </c>
      <c r="AT155" s="18">
        <f>('Raw Data - Production'!G187/50)/60</f>
        <v>0</v>
      </c>
      <c r="AU155" s="18">
        <f>('Raw Data - Production'!H187/50)/60</f>
        <v>0</v>
      </c>
      <c r="AV155" s="18">
        <f>('Raw Data - Production'!I187/50)/60</f>
        <v>0</v>
      </c>
      <c r="AW155" s="18"/>
      <c r="AX155" s="18"/>
      <c r="AY155" s="18"/>
      <c r="AZ155" s="18"/>
    </row>
    <row r="156" spans="1:52" x14ac:dyDescent="0.35">
      <c r="A156" s="2">
        <f t="shared" si="33"/>
        <v>46379</v>
      </c>
      <c r="B156">
        <f t="shared" si="34"/>
        <v>52</v>
      </c>
      <c r="C156" s="13" t="str">
        <f t="shared" si="35"/>
        <v/>
      </c>
      <c r="D156" s="13" t="str">
        <f t="shared" si="36"/>
        <v/>
      </c>
      <c r="E156" s="13" t="str">
        <f t="shared" si="37"/>
        <v/>
      </c>
      <c r="F156" s="13" t="str">
        <f t="shared" si="38"/>
        <v/>
      </c>
      <c r="G156" s="13" t="str">
        <f t="shared" si="39"/>
        <v/>
      </c>
      <c r="H156" s="13" t="str">
        <f t="shared" si="40"/>
        <v/>
      </c>
      <c r="I156" s="13"/>
      <c r="J156" s="13"/>
      <c r="K156" s="13"/>
      <c r="L156" s="13"/>
      <c r="N156" s="2">
        <f>+'Daily Summary Old'!A183</f>
        <v>46379</v>
      </c>
      <c r="O156">
        <f t="shared" si="41"/>
        <v>52</v>
      </c>
      <c r="P156" s="13" t="str">
        <f>+IFERROR('Raw Data - Production'!K188/('Raw Data - Production'!D188*Weights!$B$2),"")</f>
        <v/>
      </c>
      <c r="Q156" s="13" t="str">
        <f>+IFERROR('Raw Data - Production'!L188/('Raw Data - Production'!E188*Weights!$B$2),"")</f>
        <v/>
      </c>
      <c r="R156" s="13" t="str">
        <f>+IFERROR('Raw Data - Production'!M188/('Raw Data - Production'!F188*Weights!$B$2),"")</f>
        <v/>
      </c>
      <c r="S156" s="13" t="str">
        <f>+IFERROR('Raw Data - Production'!N188/('Raw Data - Production'!G188*Weights!$B$2),"")</f>
        <v/>
      </c>
      <c r="T156" s="13" t="str">
        <f>+IFERROR('Raw Data - Production'!O188/('Raw Data - Production'!H188*Weights!$B$2),"")</f>
        <v/>
      </c>
      <c r="U156" s="13" t="str">
        <f>+IFERROR('Raw Data - Production'!P188/('Raw Data - Production'!I188*Weights!$B$2),"")</f>
        <v/>
      </c>
      <c r="V156" s="13"/>
      <c r="W156" s="13"/>
      <c r="X156" s="13"/>
      <c r="Y156" s="13"/>
      <c r="AA156" s="2">
        <f t="shared" si="42"/>
        <v>46379</v>
      </c>
      <c r="AD156">
        <f t="shared" si="43"/>
        <v>52</v>
      </c>
      <c r="AE156" s="13">
        <f t="shared" si="31"/>
        <v>0</v>
      </c>
      <c r="AF156" s="13">
        <f t="shared" si="31"/>
        <v>0</v>
      </c>
      <c r="AG156" s="13">
        <f t="shared" si="31"/>
        <v>0</v>
      </c>
      <c r="AH156" s="13">
        <f t="shared" si="32"/>
        <v>0</v>
      </c>
      <c r="AI156" s="13">
        <f t="shared" si="32"/>
        <v>0</v>
      </c>
      <c r="AJ156" s="13">
        <f t="shared" si="32"/>
        <v>0</v>
      </c>
      <c r="AK156" s="13"/>
      <c r="AL156" s="13"/>
      <c r="AM156" s="13"/>
      <c r="AN156" s="13"/>
      <c r="AP156" s="2">
        <f t="shared" si="44"/>
        <v>46379</v>
      </c>
      <c r="AQ156">
        <f t="shared" si="45"/>
        <v>52</v>
      </c>
      <c r="AR156" s="18">
        <f>('Raw Data - Production'!D188/100)/60</f>
        <v>0</v>
      </c>
      <c r="AS156" s="18">
        <f>('Raw Data - Production'!E188/100)/60</f>
        <v>0</v>
      </c>
      <c r="AT156" s="18">
        <f>('Raw Data - Production'!G188/50)/60</f>
        <v>0</v>
      </c>
      <c r="AU156" s="18">
        <f>('Raw Data - Production'!H188/50)/60</f>
        <v>0</v>
      </c>
      <c r="AV156" s="18">
        <f>('Raw Data - Production'!I188/50)/60</f>
        <v>0</v>
      </c>
      <c r="AW156" s="18"/>
      <c r="AX156" s="18"/>
      <c r="AY156" s="18"/>
      <c r="AZ156" s="18"/>
    </row>
    <row r="157" spans="1:52" x14ac:dyDescent="0.35">
      <c r="A157" s="2">
        <f t="shared" si="33"/>
        <v>46381</v>
      </c>
      <c r="B157">
        <f t="shared" si="34"/>
        <v>52</v>
      </c>
      <c r="C157" s="13" t="str">
        <f t="shared" si="35"/>
        <v/>
      </c>
      <c r="D157" s="13" t="str">
        <f t="shared" si="36"/>
        <v/>
      </c>
      <c r="E157" s="13" t="str">
        <f t="shared" si="37"/>
        <v/>
      </c>
      <c r="F157" s="13" t="str">
        <f t="shared" si="38"/>
        <v/>
      </c>
      <c r="G157" s="13" t="str">
        <f t="shared" si="39"/>
        <v/>
      </c>
      <c r="H157" s="13" t="str">
        <f t="shared" si="40"/>
        <v/>
      </c>
      <c r="I157" s="13"/>
      <c r="J157" s="13"/>
      <c r="K157" s="13"/>
      <c r="L157" s="13"/>
      <c r="N157" s="2">
        <f>+'Daily Summary Old'!A184</f>
        <v>46381</v>
      </c>
      <c r="O157">
        <f t="shared" si="41"/>
        <v>52</v>
      </c>
      <c r="P157" s="13" t="str">
        <f>+IFERROR('Raw Data - Production'!K189/('Raw Data - Production'!D189*Weights!$B$2),"")</f>
        <v/>
      </c>
      <c r="Q157" s="13" t="str">
        <f>+IFERROR('Raw Data - Production'!L189/('Raw Data - Production'!E189*Weights!$B$2),"")</f>
        <v/>
      </c>
      <c r="R157" s="13" t="str">
        <f>+IFERROR('Raw Data - Production'!M189/('Raw Data - Production'!F189*Weights!$B$2),"")</f>
        <v/>
      </c>
      <c r="S157" s="13" t="str">
        <f>+IFERROR('Raw Data - Production'!N189/('Raw Data - Production'!G189*Weights!$B$2),"")</f>
        <v/>
      </c>
      <c r="T157" s="13" t="str">
        <f>+IFERROR('Raw Data - Production'!O189/('Raw Data - Production'!H189*Weights!$B$2),"")</f>
        <v/>
      </c>
      <c r="U157" s="13" t="str">
        <f>+IFERROR('Raw Data - Production'!P189/('Raw Data - Production'!I189*Weights!$B$2),"")</f>
        <v/>
      </c>
      <c r="V157" s="13"/>
      <c r="W157" s="13"/>
      <c r="X157" s="13"/>
      <c r="Y157" s="13"/>
      <c r="AA157" s="2">
        <f t="shared" si="42"/>
        <v>46381</v>
      </c>
      <c r="AD157">
        <f t="shared" si="43"/>
        <v>52</v>
      </c>
      <c r="AE157" s="13">
        <f t="shared" si="31"/>
        <v>0</v>
      </c>
      <c r="AF157" s="13">
        <f t="shared" si="31"/>
        <v>0</v>
      </c>
      <c r="AG157" s="13">
        <f t="shared" si="31"/>
        <v>0</v>
      </c>
      <c r="AH157" s="13">
        <f t="shared" si="32"/>
        <v>0</v>
      </c>
      <c r="AI157" s="13">
        <f t="shared" si="32"/>
        <v>0</v>
      </c>
      <c r="AJ157" s="13">
        <f t="shared" si="32"/>
        <v>0</v>
      </c>
      <c r="AK157" s="13"/>
      <c r="AL157" s="13"/>
      <c r="AM157" s="13"/>
      <c r="AN157" s="13"/>
      <c r="AP157" s="2">
        <f t="shared" si="44"/>
        <v>46381</v>
      </c>
      <c r="AQ157">
        <f t="shared" si="45"/>
        <v>52</v>
      </c>
      <c r="AR157" s="18">
        <f>('Raw Data - Production'!D189/100)/60</f>
        <v>0</v>
      </c>
      <c r="AS157" s="18">
        <f>('Raw Data - Production'!E189/100)/60</f>
        <v>0</v>
      </c>
      <c r="AT157" s="18">
        <f>('Raw Data - Production'!G189/50)/60</f>
        <v>0</v>
      </c>
      <c r="AU157" s="18">
        <f>('Raw Data - Production'!H189/50)/60</f>
        <v>0</v>
      </c>
      <c r="AV157" s="18">
        <f>('Raw Data - Production'!I189/50)/60</f>
        <v>0</v>
      </c>
      <c r="AW157" s="18"/>
      <c r="AX157" s="18"/>
      <c r="AY157" s="18"/>
      <c r="AZ157" s="18"/>
    </row>
    <row r="158" spans="1:52" x14ac:dyDescent="0.35">
      <c r="A158" s="2">
        <f t="shared" si="33"/>
        <v>46384</v>
      </c>
      <c r="B158">
        <f t="shared" si="34"/>
        <v>53</v>
      </c>
      <c r="C158" s="13" t="str">
        <f t="shared" si="35"/>
        <v/>
      </c>
      <c r="D158" s="13" t="str">
        <f t="shared" si="36"/>
        <v/>
      </c>
      <c r="E158" s="13" t="str">
        <f t="shared" si="37"/>
        <v/>
      </c>
      <c r="F158" s="13" t="str">
        <f t="shared" si="38"/>
        <v/>
      </c>
      <c r="G158" s="13" t="str">
        <f t="shared" si="39"/>
        <v/>
      </c>
      <c r="H158" s="13" t="str">
        <f t="shared" si="40"/>
        <v/>
      </c>
      <c r="I158" s="13"/>
      <c r="J158" s="13"/>
      <c r="K158" s="13"/>
      <c r="L158" s="13"/>
      <c r="N158" s="2">
        <f>+'Daily Summary Old'!A185</f>
        <v>46384</v>
      </c>
      <c r="O158">
        <f t="shared" si="41"/>
        <v>53</v>
      </c>
      <c r="P158" s="13" t="str">
        <f>+IFERROR('Raw Data - Production'!K190/('Raw Data - Production'!D190*Weights!$B$2),"")</f>
        <v/>
      </c>
      <c r="Q158" s="13" t="str">
        <f>+IFERROR('Raw Data - Production'!L190/('Raw Data - Production'!E190*Weights!$B$2),"")</f>
        <v/>
      </c>
      <c r="R158" s="13" t="str">
        <f>+IFERROR('Raw Data - Production'!M190/('Raw Data - Production'!F190*Weights!$B$2),"")</f>
        <v/>
      </c>
      <c r="S158" s="13" t="str">
        <f>+IFERROR('Raw Data - Production'!N190/('Raw Data - Production'!G190*Weights!$B$2),"")</f>
        <v/>
      </c>
      <c r="T158" s="13" t="str">
        <f>+IFERROR('Raw Data - Production'!O190/('Raw Data - Production'!H190*Weights!$B$2),"")</f>
        <v/>
      </c>
      <c r="U158" s="13" t="str">
        <f>+IFERROR('Raw Data - Production'!P190/('Raw Data - Production'!I190*Weights!$B$2),"")</f>
        <v/>
      </c>
      <c r="V158" s="13"/>
      <c r="W158" s="13"/>
      <c r="X158" s="13"/>
      <c r="Y158" s="13"/>
      <c r="AA158" s="2">
        <f t="shared" si="42"/>
        <v>46384</v>
      </c>
      <c r="AD158">
        <f t="shared" si="43"/>
        <v>53</v>
      </c>
      <c r="AE158" s="13">
        <f t="shared" si="31"/>
        <v>0</v>
      </c>
      <c r="AF158" s="13">
        <f t="shared" si="31"/>
        <v>0</v>
      </c>
      <c r="AG158" s="13">
        <f t="shared" si="31"/>
        <v>0</v>
      </c>
      <c r="AH158" s="13">
        <f t="shared" si="32"/>
        <v>0</v>
      </c>
      <c r="AI158" s="13">
        <f t="shared" si="32"/>
        <v>0</v>
      </c>
      <c r="AJ158" s="13">
        <f t="shared" si="32"/>
        <v>0</v>
      </c>
      <c r="AK158" s="13"/>
      <c r="AL158" s="13"/>
      <c r="AM158" s="13"/>
      <c r="AN158" s="13"/>
      <c r="AP158" s="2">
        <f t="shared" si="44"/>
        <v>46384</v>
      </c>
      <c r="AQ158">
        <f t="shared" si="45"/>
        <v>53</v>
      </c>
      <c r="AR158" s="18">
        <f>('Raw Data - Production'!D190/100)/60</f>
        <v>0</v>
      </c>
      <c r="AS158" s="18">
        <f>('Raw Data - Production'!E190/100)/60</f>
        <v>0</v>
      </c>
      <c r="AT158" s="18">
        <f>('Raw Data - Production'!G190/50)/60</f>
        <v>0</v>
      </c>
      <c r="AU158" s="18">
        <f>('Raw Data - Production'!H190/50)/60</f>
        <v>0</v>
      </c>
      <c r="AV158" s="18">
        <f>('Raw Data - Production'!I190/50)/60</f>
        <v>0</v>
      </c>
      <c r="AW158" s="18"/>
      <c r="AX158" s="18"/>
      <c r="AY158" s="18"/>
      <c r="AZ158" s="18"/>
    </row>
    <row r="159" spans="1:52" x14ac:dyDescent="0.35">
      <c r="A159" s="2">
        <f t="shared" si="33"/>
        <v>46385</v>
      </c>
      <c r="B159">
        <f t="shared" si="34"/>
        <v>53</v>
      </c>
      <c r="C159" s="13" t="str">
        <f t="shared" si="35"/>
        <v/>
      </c>
      <c r="D159" s="13" t="str">
        <f t="shared" si="36"/>
        <v/>
      </c>
      <c r="E159" s="13" t="str">
        <f t="shared" si="37"/>
        <v/>
      </c>
      <c r="F159" s="13" t="str">
        <f t="shared" si="38"/>
        <v/>
      </c>
      <c r="G159" s="13" t="str">
        <f t="shared" si="39"/>
        <v/>
      </c>
      <c r="H159" s="13" t="str">
        <f t="shared" si="40"/>
        <v/>
      </c>
      <c r="I159" s="13"/>
      <c r="J159" s="13"/>
      <c r="K159" s="13"/>
      <c r="L159" s="13"/>
      <c r="N159" s="2">
        <f>+'Daily Summary Old'!A186</f>
        <v>46385</v>
      </c>
      <c r="O159">
        <f t="shared" si="41"/>
        <v>53</v>
      </c>
      <c r="P159" s="13" t="str">
        <f>+IFERROR('Raw Data - Production'!K191/('Raw Data - Production'!D191*Weights!$B$2),"")</f>
        <v/>
      </c>
      <c r="Q159" s="13" t="str">
        <f>+IFERROR('Raw Data - Production'!L191/('Raw Data - Production'!E191*Weights!$B$2),"")</f>
        <v/>
      </c>
      <c r="R159" s="13" t="str">
        <f>+IFERROR('Raw Data - Production'!M191/('Raw Data - Production'!F191*Weights!$B$2),"")</f>
        <v/>
      </c>
      <c r="S159" s="13" t="str">
        <f>+IFERROR('Raw Data - Production'!N191/('Raw Data - Production'!G191*Weights!$B$2),"")</f>
        <v/>
      </c>
      <c r="T159" s="13" t="str">
        <f>+IFERROR('Raw Data - Production'!O191/('Raw Data - Production'!H191*Weights!$B$2),"")</f>
        <v/>
      </c>
      <c r="U159" s="13" t="str">
        <f>+IFERROR('Raw Data - Production'!P191/('Raw Data - Production'!I191*Weights!$B$2),"")</f>
        <v/>
      </c>
      <c r="V159" s="13"/>
      <c r="W159" s="13"/>
      <c r="X159" s="13"/>
      <c r="Y159" s="13"/>
      <c r="AA159" s="2">
        <f t="shared" si="42"/>
        <v>46385</v>
      </c>
      <c r="AD159">
        <f t="shared" si="43"/>
        <v>53</v>
      </c>
      <c r="AE159" s="13">
        <f t="shared" si="31"/>
        <v>0</v>
      </c>
      <c r="AF159" s="13">
        <f t="shared" si="31"/>
        <v>0</v>
      </c>
      <c r="AG159" s="13">
        <f t="shared" si="31"/>
        <v>0</v>
      </c>
      <c r="AH159" s="13">
        <f t="shared" si="32"/>
        <v>0</v>
      </c>
      <c r="AI159" s="13">
        <f t="shared" si="32"/>
        <v>0</v>
      </c>
      <c r="AJ159" s="13">
        <f t="shared" si="32"/>
        <v>0</v>
      </c>
      <c r="AK159" s="13"/>
      <c r="AL159" s="13"/>
      <c r="AM159" s="13"/>
      <c r="AN159" s="13"/>
      <c r="AP159" s="2">
        <f t="shared" si="44"/>
        <v>46385</v>
      </c>
      <c r="AQ159">
        <f t="shared" si="45"/>
        <v>53</v>
      </c>
      <c r="AR159" s="18">
        <f>('Raw Data - Production'!D191/100)/60</f>
        <v>0</v>
      </c>
      <c r="AS159" s="18">
        <f>('Raw Data - Production'!E191/100)/60</f>
        <v>0</v>
      </c>
      <c r="AT159" s="18">
        <f>('Raw Data - Production'!G191/50)/60</f>
        <v>0</v>
      </c>
      <c r="AU159" s="18">
        <f>('Raw Data - Production'!H191/50)/60</f>
        <v>0</v>
      </c>
      <c r="AV159" s="18">
        <f>('Raw Data - Production'!I191/50)/60</f>
        <v>0</v>
      </c>
      <c r="AW159" s="18"/>
      <c r="AX159" s="18"/>
      <c r="AY159" s="18"/>
      <c r="AZ159" s="18"/>
    </row>
    <row r="160" spans="1:52" x14ac:dyDescent="0.35">
      <c r="A160" s="2">
        <f t="shared" si="33"/>
        <v>46386</v>
      </c>
      <c r="B160">
        <f t="shared" si="34"/>
        <v>53</v>
      </c>
      <c r="C160" s="13" t="str">
        <f t="shared" si="35"/>
        <v/>
      </c>
      <c r="D160" s="13" t="str">
        <f t="shared" si="36"/>
        <v/>
      </c>
      <c r="E160" s="13" t="str">
        <f t="shared" si="37"/>
        <v/>
      </c>
      <c r="F160" s="13" t="str">
        <f t="shared" si="38"/>
        <v/>
      </c>
      <c r="G160" s="13" t="str">
        <f t="shared" si="39"/>
        <v/>
      </c>
      <c r="H160" s="13" t="str">
        <f t="shared" si="40"/>
        <v/>
      </c>
      <c r="I160" s="13"/>
      <c r="J160" s="13"/>
      <c r="K160" s="13"/>
      <c r="L160" s="13"/>
      <c r="N160" s="2">
        <f>+'Daily Summary Old'!A187</f>
        <v>46386</v>
      </c>
      <c r="O160">
        <f t="shared" si="41"/>
        <v>53</v>
      </c>
      <c r="P160" s="13" t="str">
        <f>+IFERROR('Raw Data - Production'!K192/('Raw Data - Production'!D192*Weights!$B$2),"")</f>
        <v/>
      </c>
      <c r="Q160" s="13" t="str">
        <f>+IFERROR('Raw Data - Production'!L192/('Raw Data - Production'!E192*Weights!$B$2),"")</f>
        <v/>
      </c>
      <c r="R160" s="13" t="str">
        <f>+IFERROR('Raw Data - Production'!M192/('Raw Data - Production'!F192*Weights!$B$2),"")</f>
        <v/>
      </c>
      <c r="S160" s="13" t="str">
        <f>+IFERROR('Raw Data - Production'!N192/('Raw Data - Production'!G192*Weights!$B$2),"")</f>
        <v/>
      </c>
      <c r="T160" s="13" t="str">
        <f>+IFERROR('Raw Data - Production'!O192/('Raw Data - Production'!H192*Weights!$B$2),"")</f>
        <v/>
      </c>
      <c r="U160" s="13" t="str">
        <f>+IFERROR('Raw Data - Production'!P192/('Raw Data - Production'!I192*Weights!$B$2),"")</f>
        <v/>
      </c>
      <c r="V160" s="13"/>
      <c r="W160" s="13"/>
      <c r="X160" s="13"/>
      <c r="Y160" s="13"/>
      <c r="AA160" s="2">
        <f t="shared" si="42"/>
        <v>46386</v>
      </c>
      <c r="AD160">
        <f t="shared" si="43"/>
        <v>53</v>
      </c>
      <c r="AE160" s="13">
        <f t="shared" si="31"/>
        <v>0</v>
      </c>
      <c r="AF160" s="13">
        <f t="shared" si="31"/>
        <v>0</v>
      </c>
      <c r="AG160" s="13">
        <f t="shared" si="31"/>
        <v>0</v>
      </c>
      <c r="AH160" s="13">
        <f t="shared" si="32"/>
        <v>0</v>
      </c>
      <c r="AI160" s="13">
        <f t="shared" si="32"/>
        <v>0</v>
      </c>
      <c r="AJ160" s="13">
        <f t="shared" si="32"/>
        <v>0</v>
      </c>
      <c r="AK160" s="13"/>
      <c r="AL160" s="13"/>
      <c r="AM160" s="13"/>
      <c r="AN160" s="13"/>
      <c r="AP160" s="2">
        <f t="shared" si="44"/>
        <v>46386</v>
      </c>
      <c r="AQ160">
        <f t="shared" si="45"/>
        <v>53</v>
      </c>
      <c r="AR160" s="18">
        <f>('Raw Data - Production'!D192/100)/60</f>
        <v>0</v>
      </c>
      <c r="AS160" s="18">
        <f>('Raw Data - Production'!E192/100)/60</f>
        <v>0</v>
      </c>
      <c r="AT160" s="18">
        <f>('Raw Data - Production'!G192/50)/60</f>
        <v>0</v>
      </c>
      <c r="AU160" s="18">
        <f>('Raw Data - Production'!H192/50)/60</f>
        <v>0</v>
      </c>
      <c r="AV160" s="18">
        <f>('Raw Data - Production'!I192/50)/60</f>
        <v>0</v>
      </c>
      <c r="AW160" s="18"/>
      <c r="AX160" s="18"/>
      <c r="AY160" s="18"/>
      <c r="AZ160" s="18"/>
    </row>
    <row r="161" spans="1:52" x14ac:dyDescent="0.35">
      <c r="A161" s="2">
        <f t="shared" si="33"/>
        <v>0</v>
      </c>
      <c r="B161">
        <f t="shared" si="34"/>
        <v>0</v>
      </c>
      <c r="C161" s="13" t="str">
        <f t="shared" si="35"/>
        <v/>
      </c>
      <c r="D161" s="13" t="str">
        <f t="shared" si="36"/>
        <v/>
      </c>
      <c r="E161" s="13" t="str">
        <f t="shared" si="37"/>
        <v/>
      </c>
      <c r="F161" s="13" t="str">
        <f t="shared" si="38"/>
        <v/>
      </c>
      <c r="G161" s="13" t="str">
        <f t="shared" si="39"/>
        <v/>
      </c>
      <c r="H161" s="13" t="str">
        <f t="shared" si="40"/>
        <v/>
      </c>
      <c r="I161" s="13"/>
      <c r="J161" s="13"/>
      <c r="K161" s="13"/>
      <c r="L161" s="13"/>
      <c r="N161" s="2">
        <f>+'Daily Summary Old'!A188</f>
        <v>0</v>
      </c>
      <c r="O161">
        <f t="shared" si="41"/>
        <v>0</v>
      </c>
      <c r="P161" s="13" t="str">
        <f>+IFERROR('Raw Data - Production'!K193/('Raw Data - Production'!D193*Weights!$B$2),"")</f>
        <v/>
      </c>
      <c r="Q161" s="13" t="str">
        <f>+IFERROR('Raw Data - Production'!L193/('Raw Data - Production'!E193*Weights!$B$2),"")</f>
        <v/>
      </c>
      <c r="R161" s="13" t="str">
        <f>+IFERROR('Raw Data - Production'!M193/('Raw Data - Production'!F193*Weights!$B$2),"")</f>
        <v/>
      </c>
      <c r="S161" s="13" t="str">
        <f>+IFERROR('Raw Data - Production'!N193/('Raw Data - Production'!G193*Weights!$B$2),"")</f>
        <v/>
      </c>
      <c r="T161" s="13" t="str">
        <f>+IFERROR('Raw Data - Production'!O193/('Raw Data - Production'!H193*Weights!$B$2),"")</f>
        <v/>
      </c>
      <c r="U161" s="13" t="str">
        <f>+IFERROR('Raw Data - Production'!P193/('Raw Data - Production'!I193*Weights!$B$2),"")</f>
        <v/>
      </c>
      <c r="V161" s="13"/>
      <c r="W161" s="13"/>
      <c r="X161" s="13"/>
      <c r="Y161" s="13"/>
      <c r="AA161" s="2">
        <f t="shared" si="42"/>
        <v>0</v>
      </c>
      <c r="AD161">
        <f t="shared" si="43"/>
        <v>0</v>
      </c>
      <c r="AE161" s="13">
        <f t="shared" si="31"/>
        <v>0</v>
      </c>
      <c r="AF161" s="13">
        <f t="shared" si="31"/>
        <v>0</v>
      </c>
      <c r="AG161" s="13">
        <f t="shared" si="31"/>
        <v>0</v>
      </c>
      <c r="AH161" s="13">
        <f t="shared" si="32"/>
        <v>0</v>
      </c>
      <c r="AI161" s="13">
        <f t="shared" si="32"/>
        <v>0</v>
      </c>
      <c r="AJ161" s="13">
        <f t="shared" si="32"/>
        <v>0</v>
      </c>
      <c r="AK161" s="13"/>
      <c r="AL161" s="13"/>
      <c r="AM161" s="13"/>
      <c r="AN161" s="13"/>
      <c r="AP161" s="2">
        <f t="shared" si="44"/>
        <v>0</v>
      </c>
      <c r="AQ161">
        <f t="shared" si="45"/>
        <v>0</v>
      </c>
      <c r="AR161" s="18">
        <f>('Raw Data - Production'!D193/100)/60</f>
        <v>0</v>
      </c>
      <c r="AS161" s="18">
        <f>('Raw Data - Production'!E193/100)/60</f>
        <v>0</v>
      </c>
      <c r="AT161" s="18">
        <f>('Raw Data - Production'!G193/50)/60</f>
        <v>0</v>
      </c>
      <c r="AU161" s="18">
        <f>('Raw Data - Production'!H193/50)/60</f>
        <v>0</v>
      </c>
      <c r="AV161" s="18">
        <f>('Raw Data - Production'!I193/50)/60</f>
        <v>0</v>
      </c>
      <c r="AW161" s="11"/>
      <c r="AX161" s="11"/>
      <c r="AY161" s="11"/>
      <c r="AZ161" s="11"/>
    </row>
    <row r="162" spans="1:52" x14ac:dyDescent="0.35">
      <c r="A162" s="2"/>
      <c r="N162" s="2"/>
      <c r="AA162" s="2"/>
      <c r="AP162" s="2"/>
    </row>
    <row r="163" spans="1:52" x14ac:dyDescent="0.35">
      <c r="A163" s="2"/>
      <c r="N163" s="2"/>
      <c r="AA163" s="2"/>
      <c r="AP163" s="2"/>
    </row>
  </sheetData>
  <mergeCells count="4">
    <mergeCell ref="P1:Y1"/>
    <mergeCell ref="AE1:AN1"/>
    <mergeCell ref="AR1:AZ1"/>
    <mergeCell ref="C1:L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C9C2E-C0D9-44EF-88DB-E8858B492818}">
  <dimension ref="A1:D5"/>
  <sheetViews>
    <sheetView workbookViewId="0">
      <selection activeCell="G14" sqref="G14"/>
    </sheetView>
  </sheetViews>
  <sheetFormatPr defaultRowHeight="14.5" x14ac:dyDescent="0.35"/>
  <cols>
    <col min="1" max="1" width="12.54296875" bestFit="1" customWidth="1"/>
    <col min="2" max="2" width="13.90625" bestFit="1" customWidth="1"/>
  </cols>
  <sheetData>
    <row r="1" spans="1:4" x14ac:dyDescent="0.35">
      <c r="A1" t="s">
        <v>14</v>
      </c>
      <c r="B1" t="s">
        <v>20</v>
      </c>
    </row>
    <row r="2" spans="1:4" x14ac:dyDescent="0.35">
      <c r="A2" t="s">
        <v>15</v>
      </c>
      <c r="B2">
        <f>1.0125/16</f>
        <v>6.3281249999999997E-2</v>
      </c>
    </row>
    <row r="3" spans="1:4" x14ac:dyDescent="0.35">
      <c r="A3" t="s">
        <v>16</v>
      </c>
      <c r="B3">
        <f>1.0125/16</f>
        <v>6.3281249999999997E-2</v>
      </c>
    </row>
    <row r="4" spans="1:4" x14ac:dyDescent="0.35">
      <c r="A4" t="s">
        <v>17</v>
      </c>
      <c r="B4">
        <f>2.5/16</f>
        <v>0.15625</v>
      </c>
      <c r="D4">
        <f>2760*B4</f>
        <v>431.25</v>
      </c>
    </row>
    <row r="5" spans="1:4" x14ac:dyDescent="0.35">
      <c r="C5">
        <f>118/B4</f>
        <v>755.2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4934E-D309-401A-9292-1FA851B88BE2}">
  <dimension ref="A1:A8"/>
  <sheetViews>
    <sheetView workbookViewId="0">
      <selection activeCell="A9" sqref="A9"/>
    </sheetView>
  </sheetViews>
  <sheetFormatPr defaultRowHeight="14.5" x14ac:dyDescent="0.35"/>
  <sheetData>
    <row r="1" spans="1:1" x14ac:dyDescent="0.35">
      <c r="A1" t="s">
        <v>0</v>
      </c>
    </row>
    <row r="2" spans="1:1" x14ac:dyDescent="0.35">
      <c r="A2" s="1">
        <v>46167</v>
      </c>
    </row>
    <row r="3" spans="1:1" x14ac:dyDescent="0.35">
      <c r="A3" s="1">
        <v>46205</v>
      </c>
    </row>
    <row r="4" spans="1:1" x14ac:dyDescent="0.35">
      <c r="A4" s="1">
        <v>46272</v>
      </c>
    </row>
    <row r="5" spans="1:1" x14ac:dyDescent="0.35">
      <c r="A5" s="1">
        <v>46352</v>
      </c>
    </row>
    <row r="6" spans="1:1" x14ac:dyDescent="0.35">
      <c r="A6" s="1">
        <v>46353</v>
      </c>
    </row>
    <row r="7" spans="1:1" x14ac:dyDescent="0.35">
      <c r="A7" s="1">
        <v>46380</v>
      </c>
    </row>
    <row r="8" spans="1:1" x14ac:dyDescent="0.35">
      <c r="A8" s="1">
        <v>46381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62F04-FDCD-453E-9355-86DB3DC01FA6}">
  <dimension ref="A1:W223"/>
  <sheetViews>
    <sheetView topLeftCell="A49" workbookViewId="0">
      <selection activeCell="L90" sqref="L90:L115"/>
    </sheetView>
  </sheetViews>
  <sheetFormatPr defaultColWidth="11.6328125" defaultRowHeight="14.5" x14ac:dyDescent="0.35"/>
  <cols>
    <col min="1" max="1" width="12.7265625" customWidth="1"/>
    <col min="2" max="2" width="12" style="93" bestFit="1" customWidth="1"/>
    <col min="3" max="3" width="12.7265625" style="11" bestFit="1" customWidth="1"/>
    <col min="4" max="4" width="11.6328125" style="11"/>
    <col min="5" max="5" width="14.54296875" style="11" customWidth="1"/>
    <col min="6" max="7" width="15.6328125" style="11" bestFit="1" customWidth="1"/>
    <col min="8" max="8" width="14.36328125" style="11" bestFit="1" customWidth="1"/>
    <col min="10" max="10" width="13.81640625" bestFit="1" customWidth="1"/>
    <col min="12" max="12" width="13.81640625" bestFit="1" customWidth="1"/>
    <col min="13" max="13" width="14.54296875" bestFit="1" customWidth="1"/>
    <col min="15" max="15" width="13.81640625" bestFit="1" customWidth="1"/>
    <col min="18" max="18" width="13.6328125" bestFit="1" customWidth="1"/>
    <col min="19" max="19" width="17.26953125" bestFit="1" customWidth="1"/>
    <col min="20" max="20" width="13.453125" bestFit="1" customWidth="1"/>
    <col min="21" max="21" width="15.6328125" style="61" bestFit="1" customWidth="1"/>
  </cols>
  <sheetData>
    <row r="1" spans="1:23" s="91" customFormat="1" ht="43.5" x14ac:dyDescent="0.35">
      <c r="A1" s="103" t="s">
        <v>208</v>
      </c>
      <c r="B1" s="87"/>
      <c r="C1" s="87" t="s">
        <v>188</v>
      </c>
      <c r="D1" s="88" t="s">
        <v>189</v>
      </c>
      <c r="E1" s="88" t="s">
        <v>190</v>
      </c>
      <c r="F1" s="88" t="s">
        <v>191</v>
      </c>
      <c r="G1" s="88" t="s">
        <v>192</v>
      </c>
      <c r="H1" s="89" t="s">
        <v>193</v>
      </c>
      <c r="I1" s="90" t="s">
        <v>194</v>
      </c>
      <c r="J1" s="91" t="s">
        <v>195</v>
      </c>
      <c r="K1" s="90" t="s">
        <v>196</v>
      </c>
      <c r="L1" s="91" t="s">
        <v>195</v>
      </c>
      <c r="M1" s="91" t="s">
        <v>197</v>
      </c>
      <c r="N1" s="90" t="s">
        <v>198</v>
      </c>
      <c r="O1" s="91" t="s">
        <v>195</v>
      </c>
      <c r="P1" s="90" t="s">
        <v>199</v>
      </c>
      <c r="Q1" s="90" t="s">
        <v>200</v>
      </c>
      <c r="R1" s="90" t="s">
        <v>201</v>
      </c>
      <c r="S1" s="90" t="s">
        <v>202</v>
      </c>
      <c r="T1" s="90" t="s">
        <v>203</v>
      </c>
      <c r="U1" s="92" t="s">
        <v>204</v>
      </c>
    </row>
    <row r="2" spans="1:23" x14ac:dyDescent="0.35">
      <c r="A2" s="1">
        <v>46111</v>
      </c>
      <c r="F2" s="11">
        <f>C2</f>
        <v>0</v>
      </c>
      <c r="G2" s="11">
        <f>D2</f>
        <v>0</v>
      </c>
      <c r="H2" s="11">
        <f>F2-G2</f>
        <v>0</v>
      </c>
      <c r="I2" s="62">
        <f>I3</f>
        <v>1.2349606808738591</v>
      </c>
      <c r="J2" s="61">
        <f>I2*C2</f>
        <v>0</v>
      </c>
      <c r="K2" s="94"/>
      <c r="L2" s="61">
        <f>K2*(D2)</f>
        <v>0</v>
      </c>
      <c r="M2" s="61">
        <f>J2-L2</f>
        <v>0</v>
      </c>
      <c r="N2" s="61">
        <f>N3</f>
        <v>0.61468977294585025</v>
      </c>
      <c r="O2" s="61">
        <f>N2*(E2)</f>
        <v>0</v>
      </c>
      <c r="P2" s="79">
        <f>(N2-K2)/N2</f>
        <v>1</v>
      </c>
      <c r="Q2" s="79">
        <f>(N2-I2)/N2</f>
        <v>-1.0090795962903556</v>
      </c>
      <c r="R2" s="95">
        <f>C2*N2</f>
        <v>0</v>
      </c>
      <c r="S2" s="95">
        <f>(D2+E2)*N2</f>
        <v>0</v>
      </c>
      <c r="T2" s="62">
        <f>N2-K2</f>
        <v>0.61468977294585025</v>
      </c>
      <c r="U2" s="61">
        <f>T2*(D2)</f>
        <v>0</v>
      </c>
      <c r="V2">
        <f>31.53/60*1.12</f>
        <v>0.58855999999999997</v>
      </c>
      <c r="W2">
        <f>21.9/60</f>
        <v>0.36499999999999999</v>
      </c>
    </row>
    <row r="3" spans="1:23" x14ac:dyDescent="0.35">
      <c r="A3" s="1">
        <f>A2+7</f>
        <v>46118</v>
      </c>
      <c r="C3" s="11">
        <f>'[1]Ramp Plan'!S94/4</f>
        <v>57600</v>
      </c>
      <c r="D3" s="11">
        <f>[1]Sold!D2*60</f>
        <v>196560</v>
      </c>
      <c r="E3" s="1">
        <v>46118</v>
      </c>
      <c r="F3" s="11">
        <f>C3+F2</f>
        <v>57600</v>
      </c>
      <c r="G3" s="11">
        <f>G2+D3</f>
        <v>196560</v>
      </c>
      <c r="H3" s="11">
        <f>F3-G3</f>
        <v>-138960</v>
      </c>
      <c r="I3" s="61">
        <f>'[1]Ramp Plan'!S255</f>
        <v>1.2349606808738591</v>
      </c>
      <c r="J3" s="61">
        <f>I3*C3</f>
        <v>71133.735218334288</v>
      </c>
      <c r="K3" s="94">
        <f>$V$2</f>
        <v>0.58855999999999997</v>
      </c>
      <c r="L3" s="61">
        <f t="shared" ref="L3:L20" si="0">K3*(D3)</f>
        <v>115687.35359999999</v>
      </c>
      <c r="M3" s="61">
        <f>J3-L3</f>
        <v>-44553.618381665699</v>
      </c>
      <c r="N3" s="61">
        <f>'[1]Ramp Plan'!A308/'[1]Ramp Plan'!B308</f>
        <v>0.61468977294585025</v>
      </c>
      <c r="O3" s="61">
        <f>N3*(D3)</f>
        <v>120823.42177023632</v>
      </c>
      <c r="P3" s="79">
        <f t="shared" ref="P3:P66" si="1">(N3-K3)/N3</f>
        <v>4.2508878617949816E-2</v>
      </c>
      <c r="Q3" s="79">
        <f t="shared" ref="Q3:Q66" si="2">(N3-I3)/N3</f>
        <v>-1.0090795962903556</v>
      </c>
      <c r="R3" s="95">
        <f>C3*N3</f>
        <v>35406.130921680975</v>
      </c>
      <c r="S3" s="95">
        <f>(D3+E3)*N3</f>
        <v>149171.68471895304</v>
      </c>
      <c r="T3" s="62">
        <f t="shared" ref="T3:T66" si="3">N3-K3</f>
        <v>2.6129772945850283E-2</v>
      </c>
      <c r="U3" s="61">
        <f t="shared" ref="U3:U18" si="4">T3*(D3)</f>
        <v>5136.0681702363318</v>
      </c>
    </row>
    <row r="4" spans="1:23" x14ac:dyDescent="0.35">
      <c r="A4" s="1">
        <f t="shared" ref="A4:A13" si="5">A3+7</f>
        <v>46125</v>
      </c>
      <c r="C4" s="11">
        <f>C3</f>
        <v>57600</v>
      </c>
      <c r="D4" s="11">
        <f>('[1]Inventory 0626'!B21+'[1]Inventory 0626'!B22+'[1]Inventory 0626'!B23+'[1]Inventory 0626'!B24+'[1]Inventory 0626'!B25+'[1]Inventory 0626'!B26+'[1]Inventory 0626'!B27+'[1]Inventory 0626'!B28)*60</f>
        <v>53220</v>
      </c>
      <c r="E4" s="1"/>
      <c r="F4" s="11">
        <f t="shared" ref="F4:F67" si="6">C4+F3</f>
        <v>115200</v>
      </c>
      <c r="G4" s="11">
        <f>G3+D4</f>
        <v>249780</v>
      </c>
      <c r="H4" s="11">
        <f t="shared" ref="H4:H67" si="7">F4-G4</f>
        <v>-134580</v>
      </c>
      <c r="I4" s="61">
        <f>I3</f>
        <v>1.2349606808738591</v>
      </c>
      <c r="J4" s="61">
        <f t="shared" ref="J4:J67" si="8">I4*C4</f>
        <v>71133.735218334288</v>
      </c>
      <c r="K4" s="94">
        <f>K3</f>
        <v>0.58855999999999997</v>
      </c>
      <c r="L4" s="61">
        <f t="shared" si="0"/>
        <v>31323.163199999999</v>
      </c>
      <c r="M4" s="61">
        <f t="shared" ref="M4:M67" si="9">J4-L4</f>
        <v>39810.572018334293</v>
      </c>
      <c r="N4" s="61">
        <f>N3</f>
        <v>0.61468977294585025</v>
      </c>
      <c r="O4" s="61">
        <f t="shared" ref="O4:O20" si="10">N4*(D4)</f>
        <v>32713.789716178151</v>
      </c>
      <c r="P4" s="79">
        <f t="shared" si="1"/>
        <v>4.2508878617949816E-2</v>
      </c>
      <c r="Q4" s="79">
        <f t="shared" si="2"/>
        <v>-1.0090795962903556</v>
      </c>
      <c r="R4" s="95">
        <f t="shared" ref="R4:R67" si="11">C4*N4</f>
        <v>35406.130921680975</v>
      </c>
      <c r="S4" s="95">
        <f>(D4+E4)*N4</f>
        <v>32713.789716178151</v>
      </c>
      <c r="T4" s="62">
        <f t="shared" si="3"/>
        <v>2.6129772945850283E-2</v>
      </c>
      <c r="U4" s="61">
        <f t="shared" si="4"/>
        <v>1390.6265161781521</v>
      </c>
    </row>
    <row r="5" spans="1:23" x14ac:dyDescent="0.35">
      <c r="A5" s="1">
        <f t="shared" si="5"/>
        <v>46132</v>
      </c>
      <c r="C5" s="11">
        <f>C4</f>
        <v>57600</v>
      </c>
      <c r="D5" s="11">
        <f>[1]Sold!D3*60</f>
        <v>211680</v>
      </c>
      <c r="E5" s="1">
        <v>46128</v>
      </c>
      <c r="F5" s="11">
        <f t="shared" si="6"/>
        <v>172800</v>
      </c>
      <c r="G5" s="11">
        <f t="shared" ref="G5:G25" si="12">G4+D5</f>
        <v>461460</v>
      </c>
      <c r="H5" s="11">
        <f t="shared" si="7"/>
        <v>-288660</v>
      </c>
      <c r="I5" s="61">
        <f>I4</f>
        <v>1.2349606808738591</v>
      </c>
      <c r="J5" s="61">
        <f t="shared" si="8"/>
        <v>71133.735218334288</v>
      </c>
      <c r="K5" s="94">
        <f t="shared" ref="K5:K13" si="13">K4</f>
        <v>0.58855999999999997</v>
      </c>
      <c r="L5" s="61">
        <f t="shared" si="0"/>
        <v>124586.3808</v>
      </c>
      <c r="M5" s="61">
        <f t="shared" si="9"/>
        <v>-53452.645581665711</v>
      </c>
      <c r="N5" s="61">
        <f t="shared" ref="N5:N68" si="14">N4</f>
        <v>0.61468977294585025</v>
      </c>
      <c r="O5" s="61">
        <f t="shared" si="10"/>
        <v>130117.53113717758</v>
      </c>
      <c r="P5" s="79">
        <f t="shared" si="1"/>
        <v>4.2508878617949816E-2</v>
      </c>
      <c r="Q5" s="79">
        <f t="shared" si="2"/>
        <v>-1.0090795962903556</v>
      </c>
      <c r="R5" s="95">
        <f t="shared" si="11"/>
        <v>35406.130921680975</v>
      </c>
      <c r="S5" s="95">
        <f t="shared" ref="S5:S68" si="15">(D5+E5)*N5</f>
        <v>158471.94098362376</v>
      </c>
      <c r="T5" s="62">
        <f t="shared" si="3"/>
        <v>2.6129772945850283E-2</v>
      </c>
      <c r="U5" s="61">
        <f t="shared" si="4"/>
        <v>5531.150337177588</v>
      </c>
    </row>
    <row r="6" spans="1:23" x14ac:dyDescent="0.35">
      <c r="A6" s="1">
        <f t="shared" si="5"/>
        <v>46139</v>
      </c>
      <c r="C6" s="11">
        <f>C5</f>
        <v>57600</v>
      </c>
      <c r="E6" s="1"/>
      <c r="F6" s="11">
        <f t="shared" si="6"/>
        <v>230400</v>
      </c>
      <c r="G6" s="11">
        <f t="shared" si="12"/>
        <v>461460</v>
      </c>
      <c r="H6" s="11">
        <f t="shared" si="7"/>
        <v>-231060</v>
      </c>
      <c r="I6" s="61">
        <f>I5</f>
        <v>1.2349606808738591</v>
      </c>
      <c r="J6" s="61">
        <f t="shared" si="8"/>
        <v>71133.735218334288</v>
      </c>
      <c r="K6" s="94">
        <f t="shared" si="13"/>
        <v>0.58855999999999997</v>
      </c>
      <c r="L6" s="61">
        <f t="shared" si="0"/>
        <v>0</v>
      </c>
      <c r="M6" s="61">
        <f t="shared" si="9"/>
        <v>71133.735218334288</v>
      </c>
      <c r="N6" s="61">
        <f t="shared" si="14"/>
        <v>0.61468977294585025</v>
      </c>
      <c r="O6" s="61">
        <f t="shared" si="10"/>
        <v>0</v>
      </c>
      <c r="P6" s="79">
        <f t="shared" si="1"/>
        <v>4.2508878617949816E-2</v>
      </c>
      <c r="Q6" s="79">
        <f t="shared" si="2"/>
        <v>-1.0090795962903556</v>
      </c>
      <c r="R6" s="95">
        <f t="shared" si="11"/>
        <v>35406.130921680975</v>
      </c>
      <c r="S6" s="95">
        <f t="shared" si="15"/>
        <v>0</v>
      </c>
      <c r="T6" s="62">
        <f t="shared" si="3"/>
        <v>2.6129772945850283E-2</v>
      </c>
      <c r="U6" s="61">
        <f t="shared" si="4"/>
        <v>0</v>
      </c>
    </row>
    <row r="7" spans="1:23" x14ac:dyDescent="0.35">
      <c r="A7" s="1">
        <f t="shared" si="5"/>
        <v>46146</v>
      </c>
      <c r="C7" s="11">
        <f>'[1]Ramp Plan'!T94/4</f>
        <v>144000</v>
      </c>
      <c r="D7" s="11">
        <f>[1]Sold!D4*60</f>
        <v>98280</v>
      </c>
      <c r="E7" s="1">
        <v>46155</v>
      </c>
      <c r="F7" s="11">
        <f t="shared" si="6"/>
        <v>374400</v>
      </c>
      <c r="G7" s="11">
        <f t="shared" si="12"/>
        <v>559740</v>
      </c>
      <c r="H7" s="11">
        <f t="shared" si="7"/>
        <v>-185340</v>
      </c>
      <c r="I7" s="61">
        <f>'[1]Ramp Plan'!T255</f>
        <v>0.5841950837435238</v>
      </c>
      <c r="J7" s="61">
        <f t="shared" si="8"/>
        <v>84124.092059067421</v>
      </c>
      <c r="K7" s="94">
        <f t="shared" si="13"/>
        <v>0.58855999999999997</v>
      </c>
      <c r="L7" s="61">
        <f t="shared" si="0"/>
        <v>57843.676799999994</v>
      </c>
      <c r="M7" s="61">
        <f t="shared" si="9"/>
        <v>26280.415259067428</v>
      </c>
      <c r="N7" s="61">
        <f t="shared" si="14"/>
        <v>0.61468977294585025</v>
      </c>
      <c r="O7" s="61">
        <f t="shared" si="10"/>
        <v>60411.710885118162</v>
      </c>
      <c r="P7" s="79">
        <f t="shared" si="1"/>
        <v>4.2508878617949816E-2</v>
      </c>
      <c r="Q7" s="79">
        <f>(N7-I7)/N7</f>
        <v>4.9609885416155797E-2</v>
      </c>
      <c r="R7" s="95">
        <f t="shared" si="11"/>
        <v>88515.327304202438</v>
      </c>
      <c r="S7" s="95">
        <f t="shared" si="15"/>
        <v>88782.717355433881</v>
      </c>
      <c r="T7" s="62">
        <f t="shared" si="3"/>
        <v>2.6129772945850283E-2</v>
      </c>
      <c r="U7" s="61">
        <f t="shared" si="4"/>
        <v>2568.0340851181659</v>
      </c>
    </row>
    <row r="8" spans="1:23" x14ac:dyDescent="0.35">
      <c r="A8" s="1">
        <f t="shared" si="5"/>
        <v>46153</v>
      </c>
      <c r="C8" s="11">
        <f>C7</f>
        <v>144000</v>
      </c>
      <c r="D8" s="11">
        <f>([1]Sold!D5*60)+('[1]Inventory 0626'!B3*60)</f>
        <v>204120</v>
      </c>
      <c r="E8" s="1">
        <v>46163</v>
      </c>
      <c r="F8" s="11">
        <f t="shared" si="6"/>
        <v>518400</v>
      </c>
      <c r="G8" s="11">
        <f t="shared" si="12"/>
        <v>763860</v>
      </c>
      <c r="H8" s="11">
        <f t="shared" si="7"/>
        <v>-245460</v>
      </c>
      <c r="I8" s="61">
        <f>I7</f>
        <v>0.5841950837435238</v>
      </c>
      <c r="J8" s="61">
        <f t="shared" si="8"/>
        <v>84124.092059067421</v>
      </c>
      <c r="K8" s="94">
        <f t="shared" si="13"/>
        <v>0.58855999999999997</v>
      </c>
      <c r="L8" s="61">
        <f t="shared" si="0"/>
        <v>120136.86719999999</v>
      </c>
      <c r="M8" s="61">
        <f t="shared" si="9"/>
        <v>-36012.775140932572</v>
      </c>
      <c r="N8" s="61">
        <f t="shared" si="14"/>
        <v>0.61468977294585025</v>
      </c>
      <c r="O8" s="61">
        <f t="shared" si="10"/>
        <v>125470.47645370696</v>
      </c>
      <c r="P8" s="79">
        <f t="shared" si="1"/>
        <v>4.2508878617949816E-2</v>
      </c>
      <c r="Q8" s="79">
        <f t="shared" si="2"/>
        <v>4.9609885416155797E-2</v>
      </c>
      <c r="R8" s="95">
        <f t="shared" si="11"/>
        <v>88515.327304202438</v>
      </c>
      <c r="S8" s="95">
        <f t="shared" si="15"/>
        <v>153846.40044220624</v>
      </c>
      <c r="T8" s="62">
        <f t="shared" si="3"/>
        <v>2.6129772945850283E-2</v>
      </c>
      <c r="U8" s="61">
        <f t="shared" si="4"/>
        <v>5333.6092537069599</v>
      </c>
    </row>
    <row r="9" spans="1:23" x14ac:dyDescent="0.35">
      <c r="A9" s="1">
        <f t="shared" si="5"/>
        <v>46160</v>
      </c>
      <c r="C9" s="11">
        <v>144000</v>
      </c>
      <c r="D9" s="11">
        <f>(([1]Sold!E6+[1]Sold!D7)*60)+('[1]Inventory 0626'!B4*60)+('[1]Inventory 0626'!B5*60)+('[1]Inventory 0626'!B6*60)</f>
        <v>514080</v>
      </c>
      <c r="E9" s="1">
        <v>46168</v>
      </c>
      <c r="F9" s="11">
        <f t="shared" si="6"/>
        <v>662400</v>
      </c>
      <c r="G9" s="11">
        <f t="shared" si="12"/>
        <v>1277940</v>
      </c>
      <c r="H9" s="11">
        <f t="shared" si="7"/>
        <v>-615540</v>
      </c>
      <c r="I9" s="61">
        <f>I8</f>
        <v>0.5841950837435238</v>
      </c>
      <c r="J9" s="61">
        <f t="shared" si="8"/>
        <v>84124.092059067421</v>
      </c>
      <c r="K9" s="94">
        <f t="shared" si="13"/>
        <v>0.58855999999999997</v>
      </c>
      <c r="L9" s="61">
        <f t="shared" si="0"/>
        <v>302566.92479999998</v>
      </c>
      <c r="M9" s="61">
        <f t="shared" si="9"/>
        <v>-218442.83274093256</v>
      </c>
      <c r="N9" s="61">
        <f t="shared" si="14"/>
        <v>0.61468977294585025</v>
      </c>
      <c r="O9" s="61">
        <f>N9*(D9)</f>
        <v>315999.71847600269</v>
      </c>
      <c r="P9" s="79">
        <f t="shared" si="1"/>
        <v>4.2508878617949816E-2</v>
      </c>
      <c r="Q9" s="79">
        <f t="shared" si="2"/>
        <v>4.9609885416155797E-2</v>
      </c>
      <c r="R9" s="95">
        <f t="shared" si="11"/>
        <v>88515.327304202438</v>
      </c>
      <c r="S9" s="95">
        <f t="shared" si="15"/>
        <v>344378.7159133667</v>
      </c>
      <c r="T9" s="62">
        <f t="shared" si="3"/>
        <v>2.6129772945850283E-2</v>
      </c>
      <c r="U9" s="61">
        <f>T9*(D9)</f>
        <v>13432.793676002713</v>
      </c>
    </row>
    <row r="10" spans="1:23" x14ac:dyDescent="0.35">
      <c r="A10" s="1">
        <f t="shared" si="5"/>
        <v>46167</v>
      </c>
      <c r="C10" s="11">
        <v>144000</v>
      </c>
      <c r="D10" s="11">
        <f>([1]Sold!E8*60)+('[1]Inventory 0626'!B7*60)+('[1]Inventory 0626'!B8*60)</f>
        <v>290220</v>
      </c>
      <c r="E10" s="1">
        <v>46169</v>
      </c>
      <c r="F10" s="11">
        <f t="shared" si="6"/>
        <v>806400</v>
      </c>
      <c r="G10" s="11">
        <f t="shared" si="12"/>
        <v>1568160</v>
      </c>
      <c r="H10" s="11">
        <f t="shared" si="7"/>
        <v>-761760</v>
      </c>
      <c r="I10" s="61">
        <f>I9</f>
        <v>0.5841950837435238</v>
      </c>
      <c r="J10" s="61">
        <f>I10*C10</f>
        <v>84124.092059067421</v>
      </c>
      <c r="K10" s="94">
        <f t="shared" si="13"/>
        <v>0.58855999999999997</v>
      </c>
      <c r="L10" s="61">
        <f t="shared" si="0"/>
        <v>170811.88319999998</v>
      </c>
      <c r="M10" s="61">
        <f t="shared" si="9"/>
        <v>-86687.791140932561</v>
      </c>
      <c r="N10" s="61">
        <f t="shared" si="14"/>
        <v>0.61468977294585025</v>
      </c>
      <c r="O10" s="61">
        <f t="shared" si="10"/>
        <v>178395.26590434465</v>
      </c>
      <c r="P10" s="79">
        <f t="shared" si="1"/>
        <v>4.2508878617949816E-2</v>
      </c>
      <c r="Q10" s="79">
        <f t="shared" si="2"/>
        <v>4.9609885416155797E-2</v>
      </c>
      <c r="R10" s="95">
        <f t="shared" si="11"/>
        <v>88515.327304202438</v>
      </c>
      <c r="S10" s="95">
        <f t="shared" si="15"/>
        <v>206774.87803148161</v>
      </c>
      <c r="T10" s="62">
        <f t="shared" si="3"/>
        <v>2.6129772945850283E-2</v>
      </c>
      <c r="U10" s="61">
        <f t="shared" si="4"/>
        <v>7583.382704344669</v>
      </c>
    </row>
    <row r="11" spans="1:23" x14ac:dyDescent="0.35">
      <c r="A11" s="1">
        <f t="shared" si="5"/>
        <v>46174</v>
      </c>
      <c r="C11" s="11">
        <f>'[1]Ramp Plan'!U94/4</f>
        <v>288000</v>
      </c>
      <c r="D11" s="11">
        <f>([1]Sold!D9*60)+('[1]Inventory 0626'!B9*60)+('[1]Inventory 0626'!B10*60)+('[1]Inventory 0626'!B11*60)+('[1]Inventory 0626'!B12*60)</f>
        <v>287520</v>
      </c>
      <c r="E11" s="1">
        <v>46169</v>
      </c>
      <c r="F11" s="11">
        <f t="shared" si="6"/>
        <v>1094400</v>
      </c>
      <c r="G11" s="11">
        <f t="shared" si="12"/>
        <v>1855680</v>
      </c>
      <c r="H11" s="11">
        <f t="shared" si="7"/>
        <v>-761280</v>
      </c>
      <c r="I11" s="61">
        <f>'[1]Ramp Plan'!U255</f>
        <v>0.37152201957415687</v>
      </c>
      <c r="J11" s="61">
        <f t="shared" si="8"/>
        <v>106998.34163735718</v>
      </c>
      <c r="K11" s="94">
        <f t="shared" si="13"/>
        <v>0.58855999999999997</v>
      </c>
      <c r="L11" s="61">
        <f t="shared" si="0"/>
        <v>169222.77119999999</v>
      </c>
      <c r="M11" s="61">
        <f t="shared" si="9"/>
        <v>-62224.429562642807</v>
      </c>
      <c r="N11" s="61">
        <f t="shared" si="14"/>
        <v>0.61468977294585025</v>
      </c>
      <c r="O11" s="61">
        <f t="shared" si="10"/>
        <v>176735.60351739087</v>
      </c>
      <c r="P11" s="79">
        <f t="shared" si="1"/>
        <v>4.2508878617949816E-2</v>
      </c>
      <c r="Q11" s="79">
        <f t="shared" si="2"/>
        <v>0.39559427222342075</v>
      </c>
      <c r="R11" s="95">
        <f t="shared" si="11"/>
        <v>177030.65460840488</v>
      </c>
      <c r="S11" s="95">
        <f t="shared" si="15"/>
        <v>205115.21564452784</v>
      </c>
      <c r="T11" s="62">
        <f>N11-K11</f>
        <v>2.6129772945850283E-2</v>
      </c>
      <c r="U11" s="61">
        <f t="shared" si="4"/>
        <v>7512.832317390873</v>
      </c>
    </row>
    <row r="12" spans="1:23" x14ac:dyDescent="0.35">
      <c r="A12" s="1">
        <f t="shared" si="5"/>
        <v>46181</v>
      </c>
      <c r="C12" s="11">
        <f>C11</f>
        <v>288000</v>
      </c>
      <c r="D12" s="11">
        <f>([1]Sold!E10*60)+('[1]Inventory 0626'!B13*60)+('[1]Inventory 0626'!B14*60)</f>
        <v>36000</v>
      </c>
      <c r="E12" s="1">
        <v>46169</v>
      </c>
      <c r="F12" s="11">
        <f t="shared" si="6"/>
        <v>1382400</v>
      </c>
      <c r="G12" s="11">
        <f t="shared" si="12"/>
        <v>1891680</v>
      </c>
      <c r="H12" s="11">
        <f t="shared" si="7"/>
        <v>-509280</v>
      </c>
      <c r="I12" s="61">
        <f t="shared" ref="I12:I28" si="16">I11</f>
        <v>0.37152201957415687</v>
      </c>
      <c r="J12" s="61">
        <f t="shared" si="8"/>
        <v>106998.34163735718</v>
      </c>
      <c r="K12" s="94">
        <f t="shared" si="13"/>
        <v>0.58855999999999997</v>
      </c>
      <c r="L12" s="61">
        <f t="shared" si="0"/>
        <v>21188.16</v>
      </c>
      <c r="M12" s="61">
        <f t="shared" si="9"/>
        <v>85810.181637357178</v>
      </c>
      <c r="N12" s="61">
        <f t="shared" si="14"/>
        <v>0.61468977294585025</v>
      </c>
      <c r="O12" s="61">
        <f t="shared" si="10"/>
        <v>22128.831826050609</v>
      </c>
      <c r="P12" s="79">
        <f t="shared" si="1"/>
        <v>4.2508878617949816E-2</v>
      </c>
      <c r="Q12" s="79">
        <f t="shared" si="2"/>
        <v>0.39559427222342075</v>
      </c>
      <c r="R12" s="95">
        <f t="shared" si="11"/>
        <v>177030.65460840488</v>
      </c>
      <c r="S12" s="95">
        <f t="shared" si="15"/>
        <v>50508.443953187569</v>
      </c>
      <c r="T12" s="62">
        <f t="shared" si="3"/>
        <v>2.6129772945850283E-2</v>
      </c>
      <c r="U12" s="61">
        <f t="shared" si="4"/>
        <v>940.67182605061021</v>
      </c>
    </row>
    <row r="13" spans="1:23" x14ac:dyDescent="0.35">
      <c r="A13" s="1">
        <f t="shared" si="5"/>
        <v>46188</v>
      </c>
      <c r="C13" s="11">
        <f>'[1]Ramp Plan'!U94/2/10</f>
        <v>57600</v>
      </c>
      <c r="D13" s="11">
        <f>[1]Sold!D11*60</f>
        <v>211680</v>
      </c>
      <c r="E13" s="1">
        <v>46188</v>
      </c>
      <c r="F13" s="11">
        <f t="shared" si="6"/>
        <v>1440000</v>
      </c>
      <c r="G13" s="11">
        <f t="shared" si="12"/>
        <v>2103360</v>
      </c>
      <c r="H13" s="11">
        <f t="shared" si="7"/>
        <v>-663360</v>
      </c>
      <c r="I13" s="61">
        <f t="shared" si="16"/>
        <v>0.37152201957415687</v>
      </c>
      <c r="J13" s="61">
        <f t="shared" si="8"/>
        <v>21399.668327471434</v>
      </c>
      <c r="K13" s="94">
        <f t="shared" si="13"/>
        <v>0.58855999999999997</v>
      </c>
      <c r="L13" s="61">
        <f t="shared" si="0"/>
        <v>124586.3808</v>
      </c>
      <c r="M13" s="61">
        <f t="shared" si="9"/>
        <v>-103186.71247252857</v>
      </c>
      <c r="N13" s="61">
        <f t="shared" si="14"/>
        <v>0.61468977294585025</v>
      </c>
      <c r="O13" s="61">
        <f t="shared" si="10"/>
        <v>130117.53113717758</v>
      </c>
      <c r="P13" s="79">
        <f>(N13-K13)/N13</f>
        <v>4.2508878617949816E-2</v>
      </c>
      <c r="Q13" s="79">
        <f t="shared" si="2"/>
        <v>0.39559427222342075</v>
      </c>
      <c r="R13" s="95">
        <f t="shared" si="11"/>
        <v>35406.130921680975</v>
      </c>
      <c r="S13" s="95">
        <f t="shared" si="15"/>
        <v>158508.8223700005</v>
      </c>
      <c r="T13" s="62">
        <f t="shared" si="3"/>
        <v>2.6129772945850283E-2</v>
      </c>
      <c r="U13" s="61">
        <f t="shared" si="4"/>
        <v>5531.150337177588</v>
      </c>
    </row>
    <row r="14" spans="1:23" x14ac:dyDescent="0.35">
      <c r="A14" s="1">
        <f>A13+1</f>
        <v>46189</v>
      </c>
      <c r="C14" s="11">
        <f>C13</f>
        <v>57600</v>
      </c>
      <c r="D14" s="11">
        <f>'[1]Inventory 0626'!B15*60</f>
        <v>30660</v>
      </c>
      <c r="E14" s="1"/>
      <c r="F14" s="11">
        <f t="shared" si="6"/>
        <v>1497600</v>
      </c>
      <c r="G14" s="11">
        <f t="shared" si="12"/>
        <v>2134020</v>
      </c>
      <c r="H14" s="11">
        <f t="shared" si="7"/>
        <v>-636420</v>
      </c>
      <c r="I14" s="61">
        <f t="shared" si="16"/>
        <v>0.37152201957415687</v>
      </c>
      <c r="J14" s="61">
        <f t="shared" si="8"/>
        <v>21399.668327471434</v>
      </c>
      <c r="K14" s="94">
        <f>K13</f>
        <v>0.58855999999999997</v>
      </c>
      <c r="L14" s="61">
        <f t="shared" si="0"/>
        <v>18045.249599999999</v>
      </c>
      <c r="M14" s="61">
        <f t="shared" si="9"/>
        <v>3354.418727471435</v>
      </c>
      <c r="N14" s="61">
        <f t="shared" si="14"/>
        <v>0.61468977294585025</v>
      </c>
      <c r="O14" s="61">
        <f t="shared" si="10"/>
        <v>18846.388438519767</v>
      </c>
      <c r="P14" s="79">
        <f t="shared" si="1"/>
        <v>4.2508878617949816E-2</v>
      </c>
      <c r="Q14" s="79">
        <f t="shared" si="2"/>
        <v>0.39559427222342075</v>
      </c>
      <c r="R14" s="95">
        <f t="shared" si="11"/>
        <v>35406.130921680975</v>
      </c>
      <c r="S14" s="95">
        <f t="shared" si="15"/>
        <v>18846.388438519767</v>
      </c>
      <c r="T14" s="62">
        <f t="shared" si="3"/>
        <v>2.6129772945850283E-2</v>
      </c>
      <c r="U14" s="61">
        <f t="shared" si="4"/>
        <v>801.13883851976971</v>
      </c>
    </row>
    <row r="15" spans="1:23" x14ac:dyDescent="0.35">
      <c r="A15" s="1">
        <f t="shared" ref="A15:A78" si="17">A14+1</f>
        <v>46190</v>
      </c>
      <c r="C15" s="11">
        <f>C14</f>
        <v>57600</v>
      </c>
      <c r="E15" s="1"/>
      <c r="F15" s="11">
        <f t="shared" si="6"/>
        <v>1555200</v>
      </c>
      <c r="G15" s="11">
        <f t="shared" si="12"/>
        <v>2134020</v>
      </c>
      <c r="H15" s="11">
        <f t="shared" si="7"/>
        <v>-578820</v>
      </c>
      <c r="I15" s="61">
        <f t="shared" si="16"/>
        <v>0.37152201957415687</v>
      </c>
      <c r="J15" s="61">
        <f t="shared" si="8"/>
        <v>21399.668327471434</v>
      </c>
      <c r="K15" s="94">
        <f t="shared" ref="K15:K26" si="18">K14</f>
        <v>0.58855999999999997</v>
      </c>
      <c r="L15" s="61">
        <f t="shared" si="0"/>
        <v>0</v>
      </c>
      <c r="M15" s="61">
        <f t="shared" si="9"/>
        <v>21399.668327471434</v>
      </c>
      <c r="N15" s="61">
        <f t="shared" si="14"/>
        <v>0.61468977294585025</v>
      </c>
      <c r="O15" s="61">
        <f t="shared" si="10"/>
        <v>0</v>
      </c>
      <c r="P15" s="79">
        <f t="shared" si="1"/>
        <v>4.2508878617949816E-2</v>
      </c>
      <c r="Q15" s="79">
        <f t="shared" si="2"/>
        <v>0.39559427222342075</v>
      </c>
      <c r="R15" s="95">
        <f t="shared" si="11"/>
        <v>35406.130921680975</v>
      </c>
      <c r="S15" s="95">
        <f t="shared" si="15"/>
        <v>0</v>
      </c>
      <c r="T15" s="62">
        <f t="shared" si="3"/>
        <v>2.6129772945850283E-2</v>
      </c>
      <c r="U15" s="61">
        <f t="shared" si="4"/>
        <v>0</v>
      </c>
    </row>
    <row r="16" spans="1:23" x14ac:dyDescent="0.35">
      <c r="A16" s="1">
        <f t="shared" si="17"/>
        <v>46191</v>
      </c>
      <c r="C16" s="11">
        <f>C15</f>
        <v>57600</v>
      </c>
      <c r="D16" s="11">
        <f>([1]Sold!F12*60)+('[1]Inventory 0626'!B16*60)</f>
        <v>234360</v>
      </c>
      <c r="E16" s="1">
        <v>46191</v>
      </c>
      <c r="F16" s="11">
        <f t="shared" si="6"/>
        <v>1612800</v>
      </c>
      <c r="G16" s="11">
        <f t="shared" si="12"/>
        <v>2368380</v>
      </c>
      <c r="H16" s="11">
        <f t="shared" si="7"/>
        <v>-755580</v>
      </c>
      <c r="I16" s="61">
        <f t="shared" si="16"/>
        <v>0.37152201957415687</v>
      </c>
      <c r="J16" s="61">
        <f t="shared" si="8"/>
        <v>21399.668327471434</v>
      </c>
      <c r="K16" s="94">
        <f t="shared" si="18"/>
        <v>0.58855999999999997</v>
      </c>
      <c r="L16" s="61">
        <f t="shared" si="0"/>
        <v>137934.9216</v>
      </c>
      <c r="M16" s="61">
        <f t="shared" si="9"/>
        <v>-116535.25327252857</v>
      </c>
      <c r="N16" s="61">
        <f t="shared" si="14"/>
        <v>0.61468977294585025</v>
      </c>
      <c r="O16" s="61">
        <f t="shared" si="10"/>
        <v>144058.69518758947</v>
      </c>
      <c r="P16" s="79">
        <f t="shared" si="1"/>
        <v>4.2508878617949816E-2</v>
      </c>
      <c r="Q16" s="79">
        <f t="shared" si="2"/>
        <v>0.39559427222342075</v>
      </c>
      <c r="R16" s="95">
        <f t="shared" si="11"/>
        <v>35406.130921680975</v>
      </c>
      <c r="S16" s="95">
        <f t="shared" si="15"/>
        <v>172451.83048973125</v>
      </c>
      <c r="T16" s="62">
        <f t="shared" si="3"/>
        <v>2.6129772945850283E-2</v>
      </c>
      <c r="U16" s="61">
        <f t="shared" si="4"/>
        <v>6123.7735875894723</v>
      </c>
    </row>
    <row r="17" spans="1:21" x14ac:dyDescent="0.35">
      <c r="A17" s="1">
        <f t="shared" si="17"/>
        <v>46192</v>
      </c>
      <c r="C17" s="11">
        <v>0</v>
      </c>
      <c r="E17" s="1"/>
      <c r="F17" s="11">
        <f t="shared" si="6"/>
        <v>1612800</v>
      </c>
      <c r="G17" s="11">
        <f t="shared" si="12"/>
        <v>2368380</v>
      </c>
      <c r="H17" s="11">
        <f t="shared" si="7"/>
        <v>-755580</v>
      </c>
      <c r="I17" s="61">
        <f t="shared" si="16"/>
        <v>0.37152201957415687</v>
      </c>
      <c r="J17" s="61">
        <f t="shared" si="8"/>
        <v>0</v>
      </c>
      <c r="K17" s="94">
        <f t="shared" si="18"/>
        <v>0.58855999999999997</v>
      </c>
      <c r="L17" s="61">
        <f t="shared" si="0"/>
        <v>0</v>
      </c>
      <c r="M17" s="61">
        <f t="shared" si="9"/>
        <v>0</v>
      </c>
      <c r="N17" s="61">
        <f t="shared" si="14"/>
        <v>0.61468977294585025</v>
      </c>
      <c r="O17" s="61">
        <f t="shared" si="10"/>
        <v>0</v>
      </c>
      <c r="P17" s="79">
        <f t="shared" si="1"/>
        <v>4.2508878617949816E-2</v>
      </c>
      <c r="Q17" s="79">
        <f t="shared" si="2"/>
        <v>0.39559427222342075</v>
      </c>
      <c r="R17" s="95">
        <f t="shared" si="11"/>
        <v>0</v>
      </c>
      <c r="S17" s="95">
        <f t="shared" si="15"/>
        <v>0</v>
      </c>
      <c r="T17" s="62">
        <f t="shared" si="3"/>
        <v>2.6129772945850283E-2</v>
      </c>
      <c r="U17" s="61">
        <f t="shared" si="4"/>
        <v>0</v>
      </c>
    </row>
    <row r="18" spans="1:21" x14ac:dyDescent="0.35">
      <c r="A18" s="1">
        <f t="shared" si="17"/>
        <v>46193</v>
      </c>
      <c r="C18" s="11">
        <f>B18</f>
        <v>0</v>
      </c>
      <c r="E18" s="1"/>
      <c r="F18" s="11">
        <f t="shared" si="6"/>
        <v>1612800</v>
      </c>
      <c r="G18" s="11">
        <f t="shared" si="12"/>
        <v>2368380</v>
      </c>
      <c r="H18" s="11">
        <f t="shared" si="7"/>
        <v>-755580</v>
      </c>
      <c r="I18" s="61">
        <f t="shared" si="16"/>
        <v>0.37152201957415687</v>
      </c>
      <c r="J18" s="61">
        <f t="shared" si="8"/>
        <v>0</v>
      </c>
      <c r="K18" s="94">
        <f t="shared" si="18"/>
        <v>0.58855999999999997</v>
      </c>
      <c r="L18" s="61">
        <f t="shared" si="0"/>
        <v>0</v>
      </c>
      <c r="M18" s="61">
        <f t="shared" si="9"/>
        <v>0</v>
      </c>
      <c r="N18" s="61">
        <f t="shared" si="14"/>
        <v>0.61468977294585025</v>
      </c>
      <c r="O18" s="61">
        <f t="shared" si="10"/>
        <v>0</v>
      </c>
      <c r="P18" s="79">
        <f t="shared" si="1"/>
        <v>4.2508878617949816E-2</v>
      </c>
      <c r="Q18" s="79">
        <f t="shared" si="2"/>
        <v>0.39559427222342075</v>
      </c>
      <c r="R18" s="95">
        <f t="shared" si="11"/>
        <v>0</v>
      </c>
      <c r="S18" s="95">
        <f t="shared" si="15"/>
        <v>0</v>
      </c>
      <c r="T18" s="62">
        <f t="shared" si="3"/>
        <v>2.6129772945850283E-2</v>
      </c>
      <c r="U18" s="61">
        <f t="shared" si="4"/>
        <v>0</v>
      </c>
    </row>
    <row r="19" spans="1:21" x14ac:dyDescent="0.35">
      <c r="A19" s="1">
        <f t="shared" si="17"/>
        <v>46194</v>
      </c>
      <c r="B19" s="93" t="s">
        <v>205</v>
      </c>
      <c r="C19" s="11">
        <v>0</v>
      </c>
      <c r="E19" s="1"/>
      <c r="F19" s="11">
        <f t="shared" si="6"/>
        <v>1612800</v>
      </c>
      <c r="G19" s="11">
        <f t="shared" si="12"/>
        <v>2368380</v>
      </c>
      <c r="H19" s="11">
        <f t="shared" si="7"/>
        <v>-755580</v>
      </c>
      <c r="I19" s="61">
        <f t="shared" si="16"/>
        <v>0.37152201957415687</v>
      </c>
      <c r="J19" s="61">
        <f t="shared" si="8"/>
        <v>0</v>
      </c>
      <c r="K19" s="94">
        <f t="shared" si="18"/>
        <v>0.58855999999999997</v>
      </c>
      <c r="L19" s="61">
        <f t="shared" si="0"/>
        <v>0</v>
      </c>
      <c r="M19" s="61">
        <f t="shared" si="9"/>
        <v>0</v>
      </c>
      <c r="N19" s="61">
        <f t="shared" si="14"/>
        <v>0.61468977294585025</v>
      </c>
      <c r="O19" s="61">
        <f t="shared" si="10"/>
        <v>0</v>
      </c>
      <c r="P19" s="79">
        <f t="shared" si="1"/>
        <v>4.2508878617949816E-2</v>
      </c>
      <c r="Q19" s="79">
        <f t="shared" si="2"/>
        <v>0.39559427222342075</v>
      </c>
      <c r="R19" s="95">
        <f t="shared" si="11"/>
        <v>0</v>
      </c>
      <c r="S19" s="95">
        <f t="shared" si="15"/>
        <v>0</v>
      </c>
      <c r="T19" s="62">
        <f t="shared" si="3"/>
        <v>2.6129772945850283E-2</v>
      </c>
      <c r="U19" s="61">
        <f t="shared" ref="U19:U82" si="19">T19*(D19+E19)</f>
        <v>0</v>
      </c>
    </row>
    <row r="20" spans="1:21" x14ac:dyDescent="0.35">
      <c r="A20" s="1">
        <f t="shared" si="17"/>
        <v>46195</v>
      </c>
      <c r="C20" s="11">
        <f>C16</f>
        <v>57600</v>
      </c>
      <c r="D20" s="11">
        <f>([1]Sold!D13*60)+('[1]Inventory 0626'!B17*60)</f>
        <v>294840</v>
      </c>
      <c r="E20" s="1">
        <v>46195</v>
      </c>
      <c r="F20" s="11">
        <f t="shared" si="6"/>
        <v>1670400</v>
      </c>
      <c r="G20" s="11">
        <f t="shared" si="12"/>
        <v>2663220</v>
      </c>
      <c r="H20" s="11">
        <f t="shared" si="7"/>
        <v>-992820</v>
      </c>
      <c r="I20" s="61">
        <f t="shared" si="16"/>
        <v>0.37152201957415687</v>
      </c>
      <c r="J20" s="61">
        <f t="shared" si="8"/>
        <v>21399.668327471434</v>
      </c>
      <c r="K20" s="94">
        <f t="shared" si="18"/>
        <v>0.58855999999999997</v>
      </c>
      <c r="L20" s="61">
        <f t="shared" si="0"/>
        <v>173531.03039999999</v>
      </c>
      <c r="M20" s="61">
        <f t="shared" si="9"/>
        <v>-152131.36207252854</v>
      </c>
      <c r="N20" s="61">
        <f t="shared" si="14"/>
        <v>0.61468977294585025</v>
      </c>
      <c r="O20" s="61">
        <f t="shared" si="10"/>
        <v>181235.13265535448</v>
      </c>
      <c r="P20" s="79">
        <f t="shared" si="1"/>
        <v>4.2508878617949816E-2</v>
      </c>
      <c r="Q20" s="79">
        <f t="shared" si="2"/>
        <v>0.39559427222342075</v>
      </c>
      <c r="R20" s="95">
        <f t="shared" si="11"/>
        <v>35406.130921680975</v>
      </c>
      <c r="S20" s="95">
        <f t="shared" si="15"/>
        <v>209630.72671658805</v>
      </c>
      <c r="T20" s="62">
        <f t="shared" si="3"/>
        <v>2.6129772945850283E-2</v>
      </c>
      <c r="U20" s="61">
        <f t="shared" si="19"/>
        <v>8911.1671165880507</v>
      </c>
    </row>
    <row r="21" spans="1:21" x14ac:dyDescent="0.35">
      <c r="A21" s="1">
        <f t="shared" si="17"/>
        <v>46196</v>
      </c>
      <c r="C21" s="11">
        <f>C20</f>
        <v>57600</v>
      </c>
      <c r="D21" s="11">
        <f>'[1]Inventory 0626'!B18*60</f>
        <v>55680</v>
      </c>
      <c r="F21" s="11">
        <f t="shared" si="6"/>
        <v>1728000</v>
      </c>
      <c r="G21" s="11">
        <f t="shared" si="12"/>
        <v>2718900</v>
      </c>
      <c r="H21" s="11">
        <f t="shared" si="7"/>
        <v>-990900</v>
      </c>
      <c r="I21" s="61">
        <f t="shared" si="16"/>
        <v>0.37152201957415687</v>
      </c>
      <c r="J21" s="61">
        <f t="shared" si="8"/>
        <v>21399.668327471434</v>
      </c>
      <c r="K21" s="94">
        <f t="shared" si="18"/>
        <v>0.58855999999999997</v>
      </c>
      <c r="L21" s="61">
        <f t="shared" ref="L21:L84" si="20">K21*(D21+E21)</f>
        <v>32771.020799999998</v>
      </c>
      <c r="M21" s="61">
        <f t="shared" si="9"/>
        <v>-11371.352472528564</v>
      </c>
      <c r="N21" s="61">
        <f t="shared" si="14"/>
        <v>0.61468977294585025</v>
      </c>
      <c r="O21" s="61">
        <f t="shared" ref="O21:O84" si="21">N21*(D21+E21)</f>
        <v>34225.926557624945</v>
      </c>
      <c r="P21" s="79">
        <f t="shared" si="1"/>
        <v>4.2508878617949816E-2</v>
      </c>
      <c r="Q21" s="79">
        <f t="shared" si="2"/>
        <v>0.39559427222342075</v>
      </c>
      <c r="R21" s="95">
        <f t="shared" si="11"/>
        <v>35406.130921680975</v>
      </c>
      <c r="S21" s="95">
        <f t="shared" si="15"/>
        <v>34225.926557624945</v>
      </c>
      <c r="T21" s="62">
        <f t="shared" si="3"/>
        <v>2.6129772945850283E-2</v>
      </c>
      <c r="U21" s="61">
        <f t="shared" si="19"/>
        <v>1454.9057576249438</v>
      </c>
    </row>
    <row r="22" spans="1:21" x14ac:dyDescent="0.35">
      <c r="A22" s="1">
        <f t="shared" si="17"/>
        <v>46197</v>
      </c>
      <c r="C22" s="11">
        <f>C21</f>
        <v>57600</v>
      </c>
      <c r="D22" s="11">
        <f>'[1]Inventory 0626'!B19*60</f>
        <v>77340</v>
      </c>
      <c r="F22" s="11">
        <f t="shared" si="6"/>
        <v>1785600</v>
      </c>
      <c r="G22" s="11">
        <f t="shared" si="12"/>
        <v>2796240</v>
      </c>
      <c r="H22" s="11">
        <f t="shared" si="7"/>
        <v>-1010640</v>
      </c>
      <c r="I22" s="61">
        <f t="shared" si="16"/>
        <v>0.37152201957415687</v>
      </c>
      <c r="J22" s="61">
        <f t="shared" si="8"/>
        <v>21399.668327471434</v>
      </c>
      <c r="K22" s="94">
        <f t="shared" si="18"/>
        <v>0.58855999999999997</v>
      </c>
      <c r="L22" s="61">
        <f t="shared" si="20"/>
        <v>45519.2304</v>
      </c>
      <c r="M22" s="61">
        <f t="shared" si="9"/>
        <v>-24119.562072528566</v>
      </c>
      <c r="N22" s="61">
        <f t="shared" si="14"/>
        <v>0.61468977294585025</v>
      </c>
      <c r="O22" s="61">
        <f t="shared" si="21"/>
        <v>47540.107039632057</v>
      </c>
      <c r="P22" s="79">
        <f t="shared" si="1"/>
        <v>4.2508878617949816E-2</v>
      </c>
      <c r="Q22" s="79">
        <f t="shared" si="2"/>
        <v>0.39559427222342075</v>
      </c>
      <c r="R22" s="95">
        <f t="shared" si="11"/>
        <v>35406.130921680975</v>
      </c>
      <c r="S22" s="95">
        <f t="shared" si="15"/>
        <v>47540.107039632057</v>
      </c>
      <c r="T22" s="62">
        <f t="shared" si="3"/>
        <v>2.6129772945850283E-2</v>
      </c>
      <c r="U22" s="61">
        <f t="shared" si="19"/>
        <v>2020.8766396320609</v>
      </c>
    </row>
    <row r="23" spans="1:21" x14ac:dyDescent="0.35">
      <c r="A23" s="1">
        <f t="shared" si="17"/>
        <v>46198</v>
      </c>
      <c r="C23" s="11">
        <f>C22</f>
        <v>57600</v>
      </c>
      <c r="D23" s="11">
        <f>'[1]Inventory 0626'!B20*60</f>
        <v>96960</v>
      </c>
      <c r="F23" s="11">
        <f t="shared" si="6"/>
        <v>1843200</v>
      </c>
      <c r="G23" s="11">
        <f t="shared" si="12"/>
        <v>2893200</v>
      </c>
      <c r="H23" s="11">
        <f t="shared" si="7"/>
        <v>-1050000</v>
      </c>
      <c r="I23" s="61">
        <f t="shared" si="16"/>
        <v>0.37152201957415687</v>
      </c>
      <c r="J23" s="61">
        <f t="shared" si="8"/>
        <v>21399.668327471434</v>
      </c>
      <c r="K23" s="94">
        <f t="shared" si="18"/>
        <v>0.58855999999999997</v>
      </c>
      <c r="L23" s="61">
        <f t="shared" si="20"/>
        <v>57066.777599999994</v>
      </c>
      <c r="M23" s="61">
        <f t="shared" si="9"/>
        <v>-35667.109272528556</v>
      </c>
      <c r="N23" s="61">
        <f t="shared" si="14"/>
        <v>0.61468977294585025</v>
      </c>
      <c r="O23" s="61">
        <f t="shared" si="21"/>
        <v>59600.32038482964</v>
      </c>
      <c r="P23" s="79">
        <f t="shared" si="1"/>
        <v>4.2508878617949816E-2</v>
      </c>
      <c r="Q23" s="79">
        <f t="shared" si="2"/>
        <v>0.39559427222342075</v>
      </c>
      <c r="R23" s="95">
        <f t="shared" si="11"/>
        <v>35406.130921680975</v>
      </c>
      <c r="S23" s="95">
        <f t="shared" si="15"/>
        <v>59600.32038482964</v>
      </c>
      <c r="T23" s="62">
        <f t="shared" si="3"/>
        <v>2.6129772945850283E-2</v>
      </c>
      <c r="U23" s="61">
        <f t="shared" si="19"/>
        <v>2533.5427848296436</v>
      </c>
    </row>
    <row r="24" spans="1:21" x14ac:dyDescent="0.35">
      <c r="A24" s="1">
        <f t="shared" si="17"/>
        <v>46199</v>
      </c>
      <c r="C24" s="11">
        <v>0</v>
      </c>
      <c r="F24" s="11">
        <f t="shared" si="6"/>
        <v>1843200</v>
      </c>
      <c r="G24" s="11">
        <f t="shared" si="12"/>
        <v>2893200</v>
      </c>
      <c r="H24" s="11">
        <f t="shared" si="7"/>
        <v>-1050000</v>
      </c>
      <c r="I24" s="61">
        <f t="shared" si="16"/>
        <v>0.37152201957415687</v>
      </c>
      <c r="J24" s="61">
        <f t="shared" si="8"/>
        <v>0</v>
      </c>
      <c r="K24" s="94">
        <f t="shared" si="18"/>
        <v>0.58855999999999997</v>
      </c>
      <c r="L24" s="61">
        <f t="shared" si="20"/>
        <v>0</v>
      </c>
      <c r="M24" s="61">
        <f t="shared" si="9"/>
        <v>0</v>
      </c>
      <c r="N24" s="61">
        <f t="shared" si="14"/>
        <v>0.61468977294585025</v>
      </c>
      <c r="O24" s="61">
        <f t="shared" si="21"/>
        <v>0</v>
      </c>
      <c r="P24" s="79">
        <f t="shared" si="1"/>
        <v>4.2508878617949816E-2</v>
      </c>
      <c r="Q24" s="79">
        <f t="shared" si="2"/>
        <v>0.39559427222342075</v>
      </c>
      <c r="R24" s="95">
        <f t="shared" si="11"/>
        <v>0</v>
      </c>
      <c r="S24" s="95">
        <f t="shared" si="15"/>
        <v>0</v>
      </c>
      <c r="T24" s="62">
        <f t="shared" si="3"/>
        <v>2.6129772945850283E-2</v>
      </c>
      <c r="U24" s="61">
        <f t="shared" si="19"/>
        <v>0</v>
      </c>
    </row>
    <row r="25" spans="1:21" x14ac:dyDescent="0.35">
      <c r="A25" s="1">
        <f t="shared" si="17"/>
        <v>46200</v>
      </c>
      <c r="C25" s="11">
        <f>B25</f>
        <v>0</v>
      </c>
      <c r="F25" s="11">
        <f t="shared" si="6"/>
        <v>1843200</v>
      </c>
      <c r="G25" s="11">
        <f t="shared" si="12"/>
        <v>2893200</v>
      </c>
      <c r="H25" s="11">
        <f t="shared" si="7"/>
        <v>-1050000</v>
      </c>
      <c r="I25" s="61">
        <f t="shared" si="16"/>
        <v>0.37152201957415687</v>
      </c>
      <c r="J25" s="61">
        <f t="shared" si="8"/>
        <v>0</v>
      </c>
      <c r="K25" s="94">
        <f t="shared" si="18"/>
        <v>0.58855999999999997</v>
      </c>
      <c r="L25" s="61">
        <f t="shared" si="20"/>
        <v>0</v>
      </c>
      <c r="M25" s="61">
        <f t="shared" si="9"/>
        <v>0</v>
      </c>
      <c r="N25" s="61">
        <f t="shared" si="14"/>
        <v>0.61468977294585025</v>
      </c>
      <c r="O25" s="61">
        <f t="shared" si="21"/>
        <v>0</v>
      </c>
      <c r="P25" s="79">
        <f t="shared" si="1"/>
        <v>4.2508878617949816E-2</v>
      </c>
      <c r="Q25" s="79">
        <f t="shared" si="2"/>
        <v>0.39559427222342075</v>
      </c>
      <c r="R25" s="95">
        <f t="shared" si="11"/>
        <v>0</v>
      </c>
      <c r="S25" s="95">
        <f t="shared" si="15"/>
        <v>0</v>
      </c>
      <c r="T25" s="62">
        <f t="shared" si="3"/>
        <v>2.6129772945850283E-2</v>
      </c>
      <c r="U25" s="61">
        <f t="shared" si="19"/>
        <v>0</v>
      </c>
    </row>
    <row r="26" spans="1:21" x14ac:dyDescent="0.35">
      <c r="A26" s="1">
        <f t="shared" si="17"/>
        <v>46201</v>
      </c>
      <c r="B26" s="93" t="s">
        <v>205</v>
      </c>
      <c r="C26" s="11">
        <v>0</v>
      </c>
      <c r="F26" s="11">
        <f t="shared" si="6"/>
        <v>1843200</v>
      </c>
      <c r="G26" s="11">
        <f>G25+D26</f>
        <v>2893200</v>
      </c>
      <c r="H26" s="11">
        <f t="shared" si="7"/>
        <v>-1050000</v>
      </c>
      <c r="I26" s="61">
        <f t="shared" si="16"/>
        <v>0.37152201957415687</v>
      </c>
      <c r="J26" s="61">
        <f t="shared" si="8"/>
        <v>0</v>
      </c>
      <c r="K26" s="94">
        <f t="shared" si="18"/>
        <v>0.58855999999999997</v>
      </c>
      <c r="L26" s="61">
        <f t="shared" si="20"/>
        <v>0</v>
      </c>
      <c r="M26" s="61">
        <f t="shared" si="9"/>
        <v>0</v>
      </c>
      <c r="N26" s="61">
        <f t="shared" si="14"/>
        <v>0.61468977294585025</v>
      </c>
      <c r="O26" s="61">
        <f t="shared" si="21"/>
        <v>0</v>
      </c>
      <c r="P26" s="79">
        <f t="shared" si="1"/>
        <v>4.2508878617949816E-2</v>
      </c>
      <c r="Q26" s="79">
        <f t="shared" si="2"/>
        <v>0.39559427222342075</v>
      </c>
      <c r="R26" s="95">
        <f t="shared" si="11"/>
        <v>0</v>
      </c>
      <c r="S26" s="95">
        <f t="shared" si="15"/>
        <v>0</v>
      </c>
      <c r="T26" s="62">
        <f t="shared" si="3"/>
        <v>2.6129772945850283E-2</v>
      </c>
      <c r="U26" s="61">
        <f t="shared" si="19"/>
        <v>0</v>
      </c>
    </row>
    <row r="27" spans="1:21" x14ac:dyDescent="0.35">
      <c r="A27" s="1">
        <f t="shared" si="17"/>
        <v>46202</v>
      </c>
      <c r="C27" s="11">
        <f>C23</f>
        <v>57600</v>
      </c>
      <c r="D27" s="11">
        <v>60480</v>
      </c>
      <c r="F27" s="11">
        <f t="shared" si="6"/>
        <v>1900800</v>
      </c>
      <c r="G27" s="11">
        <f t="shared" ref="G27:G90" si="22">G26+D27+E27</f>
        <v>2953680</v>
      </c>
      <c r="H27" s="11">
        <f t="shared" si="7"/>
        <v>-1052880</v>
      </c>
      <c r="I27" s="61">
        <f t="shared" si="16"/>
        <v>0.37152201957415687</v>
      </c>
      <c r="J27" s="61">
        <f t="shared" si="8"/>
        <v>21399.668327471434</v>
      </c>
      <c r="K27" s="94">
        <f>K26</f>
        <v>0.58855999999999997</v>
      </c>
      <c r="L27" s="61">
        <f t="shared" si="20"/>
        <v>35596.108800000002</v>
      </c>
      <c r="M27" s="61">
        <f t="shared" si="9"/>
        <v>-14196.440472528568</v>
      </c>
      <c r="N27" s="61">
        <f t="shared" si="14"/>
        <v>0.61468977294585025</v>
      </c>
      <c r="O27" s="61">
        <f t="shared" si="21"/>
        <v>37176.437467765027</v>
      </c>
      <c r="P27" s="79">
        <f t="shared" si="1"/>
        <v>4.2508878617949816E-2</v>
      </c>
      <c r="Q27" s="79">
        <f t="shared" si="2"/>
        <v>0.39559427222342075</v>
      </c>
      <c r="R27" s="95">
        <f t="shared" si="11"/>
        <v>35406.130921680975</v>
      </c>
      <c r="S27" s="95">
        <f t="shared" si="15"/>
        <v>37176.437467765027</v>
      </c>
      <c r="T27" s="62">
        <f t="shared" si="3"/>
        <v>2.6129772945850283E-2</v>
      </c>
      <c r="U27" s="61">
        <f t="shared" si="19"/>
        <v>1580.3286677650251</v>
      </c>
    </row>
    <row r="28" spans="1:21" x14ac:dyDescent="0.35">
      <c r="A28" s="1">
        <f t="shared" si="17"/>
        <v>46203</v>
      </c>
      <c r="C28" s="11">
        <f>C27</f>
        <v>57600</v>
      </c>
      <c r="D28" s="11">
        <v>90780</v>
      </c>
      <c r="F28" s="11">
        <f t="shared" si="6"/>
        <v>1958400</v>
      </c>
      <c r="G28" s="11">
        <f t="shared" si="22"/>
        <v>3044460</v>
      </c>
      <c r="H28" s="11">
        <f t="shared" si="7"/>
        <v>-1086060</v>
      </c>
      <c r="I28" s="61">
        <f t="shared" si="16"/>
        <v>0.37152201957415687</v>
      </c>
      <c r="J28" s="61">
        <f t="shared" si="8"/>
        <v>21399.668327471434</v>
      </c>
      <c r="K28" s="94">
        <f>K27</f>
        <v>0.58855999999999997</v>
      </c>
      <c r="L28" s="61">
        <f t="shared" si="20"/>
        <v>53429.476799999997</v>
      </c>
      <c r="M28" s="61">
        <f t="shared" si="9"/>
        <v>-32029.808472528563</v>
      </c>
      <c r="N28" s="61">
        <f t="shared" si="14"/>
        <v>0.61468977294585025</v>
      </c>
      <c r="O28" s="61">
        <f t="shared" si="21"/>
        <v>55801.537588024286</v>
      </c>
      <c r="P28" s="79">
        <f t="shared" si="1"/>
        <v>4.2508878617949816E-2</v>
      </c>
      <c r="Q28" s="79">
        <f t="shared" si="2"/>
        <v>0.39559427222342075</v>
      </c>
      <c r="R28" s="95">
        <f t="shared" si="11"/>
        <v>35406.130921680975</v>
      </c>
      <c r="S28" s="95">
        <f t="shared" si="15"/>
        <v>55801.537588024286</v>
      </c>
      <c r="T28" s="62">
        <f t="shared" si="3"/>
        <v>2.6129772945850283E-2</v>
      </c>
      <c r="U28" s="61">
        <f t="shared" si="19"/>
        <v>2372.0607880242887</v>
      </c>
    </row>
    <row r="29" spans="1:21" x14ac:dyDescent="0.35">
      <c r="A29" s="1">
        <f t="shared" si="17"/>
        <v>46204</v>
      </c>
      <c r="C29" s="11">
        <f>'[1]Ramp Plan'!V94/18</f>
        <v>92160</v>
      </c>
      <c r="D29" s="11">
        <v>68040</v>
      </c>
      <c r="F29" s="11">
        <f t="shared" si="6"/>
        <v>2050560</v>
      </c>
      <c r="G29" s="11">
        <f t="shared" si="22"/>
        <v>3112500</v>
      </c>
      <c r="H29" s="11">
        <f t="shared" si="7"/>
        <v>-1061940</v>
      </c>
      <c r="I29" s="61">
        <f>'[1]Ramp Plan'!V255</f>
        <v>0.32583115845251476</v>
      </c>
      <c r="J29" s="61">
        <f t="shared" si="8"/>
        <v>30028.59956298376</v>
      </c>
      <c r="K29" s="94">
        <v>0.47</v>
      </c>
      <c r="L29" s="61">
        <f t="shared" si="20"/>
        <v>31978.799999999999</v>
      </c>
      <c r="M29" s="61">
        <f t="shared" si="9"/>
        <v>-1950.2004370162394</v>
      </c>
      <c r="N29" s="61">
        <f t="shared" si="14"/>
        <v>0.61468977294585025</v>
      </c>
      <c r="O29" s="61">
        <f t="shared" si="21"/>
        <v>41823.492151235652</v>
      </c>
      <c r="P29" s="79">
        <f t="shared" si="1"/>
        <v>0.23538666057910224</v>
      </c>
      <c r="Q29" s="79">
        <f t="shared" si="2"/>
        <v>0.46992585074094256</v>
      </c>
      <c r="R29" s="95">
        <f t="shared" si="11"/>
        <v>56649.809474689559</v>
      </c>
      <c r="S29" s="95">
        <f t="shared" si="15"/>
        <v>41823.492151235652</v>
      </c>
      <c r="T29" s="62">
        <f t="shared" si="3"/>
        <v>0.14468977294585028</v>
      </c>
      <c r="U29" s="61">
        <f t="shared" si="19"/>
        <v>9844.692151235653</v>
      </c>
    </row>
    <row r="30" spans="1:21" x14ac:dyDescent="0.35">
      <c r="A30" s="1">
        <f t="shared" si="17"/>
        <v>46205</v>
      </c>
      <c r="C30" s="11">
        <f>C29</f>
        <v>92160</v>
      </c>
      <c r="D30" s="11">
        <v>90060</v>
      </c>
      <c r="F30" s="11">
        <f t="shared" si="6"/>
        <v>2142720</v>
      </c>
      <c r="G30" s="11">
        <f t="shared" si="22"/>
        <v>3202560</v>
      </c>
      <c r="H30" s="11">
        <f t="shared" si="7"/>
        <v>-1059840</v>
      </c>
      <c r="I30" s="61">
        <f t="shared" ref="I30:I59" si="23">I29</f>
        <v>0.32583115845251476</v>
      </c>
      <c r="J30" s="61">
        <f t="shared" si="8"/>
        <v>30028.59956298376</v>
      </c>
      <c r="K30" s="94">
        <f t="shared" ref="K30:K90" si="24">K29</f>
        <v>0.47</v>
      </c>
      <c r="L30" s="61">
        <f t="shared" si="20"/>
        <v>42328.2</v>
      </c>
      <c r="M30" s="61">
        <f t="shared" si="9"/>
        <v>-12299.600437016237</v>
      </c>
      <c r="N30" s="61">
        <f t="shared" si="14"/>
        <v>0.61468977294585025</v>
      </c>
      <c r="O30" s="61">
        <f t="shared" si="21"/>
        <v>55358.960951503272</v>
      </c>
      <c r="P30" s="79">
        <f t="shared" si="1"/>
        <v>0.23538666057910224</v>
      </c>
      <c r="Q30" s="79">
        <f t="shared" si="2"/>
        <v>0.46992585074094256</v>
      </c>
      <c r="R30" s="95">
        <f t="shared" si="11"/>
        <v>56649.809474689559</v>
      </c>
      <c r="S30" s="95">
        <f t="shared" si="15"/>
        <v>55358.960951503272</v>
      </c>
      <c r="T30" s="62">
        <f t="shared" si="3"/>
        <v>0.14468977294585028</v>
      </c>
      <c r="U30" s="61">
        <f t="shared" si="19"/>
        <v>13030.760951503276</v>
      </c>
    </row>
    <row r="31" spans="1:21" x14ac:dyDescent="0.35">
      <c r="A31" s="1">
        <f t="shared" si="17"/>
        <v>46206</v>
      </c>
      <c r="B31" s="93" t="s">
        <v>205</v>
      </c>
      <c r="C31" s="11">
        <v>0</v>
      </c>
      <c r="F31" s="11">
        <f t="shared" si="6"/>
        <v>2142720</v>
      </c>
      <c r="G31" s="11">
        <f t="shared" si="22"/>
        <v>3202560</v>
      </c>
      <c r="H31" s="11">
        <f t="shared" si="7"/>
        <v>-1059840</v>
      </c>
      <c r="I31" s="61">
        <f t="shared" si="23"/>
        <v>0.32583115845251476</v>
      </c>
      <c r="J31" s="61">
        <f t="shared" si="8"/>
        <v>0</v>
      </c>
      <c r="K31" s="94">
        <f t="shared" si="24"/>
        <v>0.47</v>
      </c>
      <c r="L31" s="61">
        <f t="shared" si="20"/>
        <v>0</v>
      </c>
      <c r="M31" s="61">
        <f t="shared" si="9"/>
        <v>0</v>
      </c>
      <c r="N31" s="61">
        <f t="shared" si="14"/>
        <v>0.61468977294585025</v>
      </c>
      <c r="O31" s="61">
        <f t="shared" si="21"/>
        <v>0</v>
      </c>
      <c r="P31" s="79">
        <f t="shared" si="1"/>
        <v>0.23538666057910224</v>
      </c>
      <c r="Q31" s="79">
        <f t="shared" si="2"/>
        <v>0.46992585074094256</v>
      </c>
      <c r="R31" s="95">
        <f t="shared" si="11"/>
        <v>0</v>
      </c>
      <c r="S31" s="95">
        <f t="shared" si="15"/>
        <v>0</v>
      </c>
      <c r="T31" s="62">
        <f t="shared" si="3"/>
        <v>0.14468977294585028</v>
      </c>
      <c r="U31" s="61">
        <f t="shared" si="19"/>
        <v>0</v>
      </c>
    </row>
    <row r="32" spans="1:21" x14ac:dyDescent="0.35">
      <c r="A32" s="1">
        <f t="shared" si="17"/>
        <v>46207</v>
      </c>
      <c r="B32" s="93" t="s">
        <v>205</v>
      </c>
      <c r="C32" s="11">
        <v>0</v>
      </c>
      <c r="F32" s="11">
        <f t="shared" si="6"/>
        <v>2142720</v>
      </c>
      <c r="G32" s="11">
        <f t="shared" si="22"/>
        <v>3202560</v>
      </c>
      <c r="H32" s="11">
        <f t="shared" si="7"/>
        <v>-1059840</v>
      </c>
      <c r="I32" s="61">
        <f t="shared" si="23"/>
        <v>0.32583115845251476</v>
      </c>
      <c r="J32" s="61">
        <f t="shared" si="8"/>
        <v>0</v>
      </c>
      <c r="K32" s="94">
        <f t="shared" si="24"/>
        <v>0.47</v>
      </c>
      <c r="L32" s="61">
        <f t="shared" si="20"/>
        <v>0</v>
      </c>
      <c r="M32" s="61">
        <f t="shared" si="9"/>
        <v>0</v>
      </c>
      <c r="N32" s="61">
        <f t="shared" si="14"/>
        <v>0.61468977294585025</v>
      </c>
      <c r="O32" s="61">
        <f t="shared" si="21"/>
        <v>0</v>
      </c>
      <c r="P32" s="79">
        <f t="shared" si="1"/>
        <v>0.23538666057910224</v>
      </c>
      <c r="Q32" s="79">
        <f t="shared" si="2"/>
        <v>0.46992585074094256</v>
      </c>
      <c r="R32" s="95">
        <f t="shared" si="11"/>
        <v>0</v>
      </c>
      <c r="S32" s="95">
        <f t="shared" si="15"/>
        <v>0</v>
      </c>
      <c r="T32" s="62">
        <f t="shared" si="3"/>
        <v>0.14468977294585028</v>
      </c>
      <c r="U32" s="61">
        <f t="shared" si="19"/>
        <v>0</v>
      </c>
    </row>
    <row r="33" spans="1:21" x14ac:dyDescent="0.35">
      <c r="A33" s="1">
        <f t="shared" si="17"/>
        <v>46208</v>
      </c>
      <c r="B33" s="93" t="s">
        <v>205</v>
      </c>
      <c r="C33" s="11">
        <v>0</v>
      </c>
      <c r="F33" s="11">
        <f t="shared" si="6"/>
        <v>2142720</v>
      </c>
      <c r="G33" s="11">
        <f t="shared" si="22"/>
        <v>3202560</v>
      </c>
      <c r="H33" s="11">
        <f t="shared" si="7"/>
        <v>-1059840</v>
      </c>
      <c r="I33" s="61">
        <f t="shared" si="23"/>
        <v>0.32583115845251476</v>
      </c>
      <c r="J33" s="61">
        <f t="shared" si="8"/>
        <v>0</v>
      </c>
      <c r="K33" s="94">
        <f t="shared" si="24"/>
        <v>0.47</v>
      </c>
      <c r="L33" s="61">
        <f t="shared" si="20"/>
        <v>0</v>
      </c>
      <c r="M33" s="61">
        <f t="shared" si="9"/>
        <v>0</v>
      </c>
      <c r="N33" s="61">
        <f t="shared" si="14"/>
        <v>0.61468977294585025</v>
      </c>
      <c r="O33" s="61">
        <f t="shared" si="21"/>
        <v>0</v>
      </c>
      <c r="P33" s="79">
        <f t="shared" si="1"/>
        <v>0.23538666057910224</v>
      </c>
      <c r="Q33" s="79">
        <f t="shared" si="2"/>
        <v>0.46992585074094256</v>
      </c>
      <c r="R33" s="95">
        <f t="shared" si="11"/>
        <v>0</v>
      </c>
      <c r="S33" s="95">
        <f t="shared" si="15"/>
        <v>0</v>
      </c>
      <c r="T33" s="62">
        <f t="shared" si="3"/>
        <v>0.14468977294585028</v>
      </c>
      <c r="U33" s="61">
        <f t="shared" si="19"/>
        <v>0</v>
      </c>
    </row>
    <row r="34" spans="1:21" x14ac:dyDescent="0.35">
      <c r="A34" s="1">
        <f t="shared" si="17"/>
        <v>46209</v>
      </c>
      <c r="C34" s="11">
        <f>C30</f>
        <v>92160</v>
      </c>
      <c r="D34" s="11">
        <v>44580</v>
      </c>
      <c r="F34" s="11">
        <f t="shared" si="6"/>
        <v>2234880</v>
      </c>
      <c r="G34" s="11">
        <f t="shared" si="22"/>
        <v>3247140</v>
      </c>
      <c r="H34" s="11">
        <f t="shared" si="7"/>
        <v>-1012260</v>
      </c>
      <c r="I34" s="61">
        <f t="shared" si="23"/>
        <v>0.32583115845251476</v>
      </c>
      <c r="J34" s="61">
        <f t="shared" si="8"/>
        <v>30028.59956298376</v>
      </c>
      <c r="K34" s="94">
        <f t="shared" si="24"/>
        <v>0.47</v>
      </c>
      <c r="L34" s="61">
        <f t="shared" si="20"/>
        <v>20952.599999999999</v>
      </c>
      <c r="M34" s="61">
        <f t="shared" si="9"/>
        <v>9075.9995629837613</v>
      </c>
      <c r="N34" s="61">
        <f t="shared" si="14"/>
        <v>0.61468977294585025</v>
      </c>
      <c r="O34" s="61">
        <f t="shared" si="21"/>
        <v>27402.870077926003</v>
      </c>
      <c r="P34" s="79">
        <f t="shared" si="1"/>
        <v>0.23538666057910224</v>
      </c>
      <c r="Q34" s="79">
        <f t="shared" si="2"/>
        <v>0.46992585074094256</v>
      </c>
      <c r="R34" s="95">
        <f t="shared" si="11"/>
        <v>56649.809474689559</v>
      </c>
      <c r="S34" s="95">
        <f t="shared" si="15"/>
        <v>27402.870077926003</v>
      </c>
      <c r="T34" s="62">
        <f t="shared" si="3"/>
        <v>0.14468977294585028</v>
      </c>
      <c r="U34" s="61">
        <f t="shared" si="19"/>
        <v>6450.2700779260058</v>
      </c>
    </row>
    <row r="35" spans="1:21" x14ac:dyDescent="0.35">
      <c r="A35" s="1">
        <f t="shared" si="17"/>
        <v>46210</v>
      </c>
      <c r="C35" s="11">
        <f>C34</f>
        <v>92160</v>
      </c>
      <c r="D35" s="11">
        <v>75600</v>
      </c>
      <c r="F35" s="11">
        <f t="shared" si="6"/>
        <v>2327040</v>
      </c>
      <c r="G35" s="11">
        <f t="shared" si="22"/>
        <v>3322740</v>
      </c>
      <c r="H35" s="11">
        <f t="shared" si="7"/>
        <v>-995700</v>
      </c>
      <c r="I35" s="61">
        <f t="shared" si="23"/>
        <v>0.32583115845251476</v>
      </c>
      <c r="J35" s="61">
        <f t="shared" si="8"/>
        <v>30028.59956298376</v>
      </c>
      <c r="K35" s="94">
        <f t="shared" si="24"/>
        <v>0.47</v>
      </c>
      <c r="L35" s="61">
        <f t="shared" si="20"/>
        <v>35532</v>
      </c>
      <c r="M35" s="61">
        <f t="shared" si="9"/>
        <v>-5503.4004370162402</v>
      </c>
      <c r="N35" s="61">
        <f t="shared" si="14"/>
        <v>0.61468977294585025</v>
      </c>
      <c r="O35" s="61">
        <f t="shared" si="21"/>
        <v>46470.546834706278</v>
      </c>
      <c r="P35" s="79">
        <f t="shared" si="1"/>
        <v>0.23538666057910224</v>
      </c>
      <c r="Q35" s="79">
        <f t="shared" si="2"/>
        <v>0.46992585074094256</v>
      </c>
      <c r="R35" s="95">
        <f t="shared" si="11"/>
        <v>56649.809474689559</v>
      </c>
      <c r="S35" s="95">
        <f t="shared" si="15"/>
        <v>46470.546834706278</v>
      </c>
      <c r="T35" s="62">
        <f t="shared" si="3"/>
        <v>0.14468977294585028</v>
      </c>
      <c r="U35" s="61">
        <f t="shared" si="19"/>
        <v>10938.546834706282</v>
      </c>
    </row>
    <row r="36" spans="1:21" x14ac:dyDescent="0.35">
      <c r="A36" s="1">
        <f t="shared" si="17"/>
        <v>46211</v>
      </c>
      <c r="C36" s="11">
        <f>C35</f>
        <v>92160</v>
      </c>
      <c r="D36" s="11">
        <v>30480</v>
      </c>
      <c r="F36" s="11">
        <f t="shared" si="6"/>
        <v>2419200</v>
      </c>
      <c r="G36" s="11">
        <f t="shared" si="22"/>
        <v>3353220</v>
      </c>
      <c r="H36" s="11">
        <f t="shared" si="7"/>
        <v>-934020</v>
      </c>
      <c r="I36" s="61">
        <f t="shared" si="23"/>
        <v>0.32583115845251476</v>
      </c>
      <c r="J36" s="61">
        <f t="shared" si="8"/>
        <v>30028.59956298376</v>
      </c>
      <c r="K36" s="94">
        <f t="shared" si="24"/>
        <v>0.47</v>
      </c>
      <c r="L36" s="61">
        <f t="shared" si="20"/>
        <v>14325.599999999999</v>
      </c>
      <c r="M36" s="61">
        <f t="shared" si="9"/>
        <v>15702.999562983761</v>
      </c>
      <c r="N36" s="61">
        <f t="shared" si="14"/>
        <v>0.61468977294585025</v>
      </c>
      <c r="O36" s="61">
        <f t="shared" si="21"/>
        <v>18735.744279389517</v>
      </c>
      <c r="P36" s="79">
        <f t="shared" si="1"/>
        <v>0.23538666057910224</v>
      </c>
      <c r="Q36" s="79">
        <f t="shared" si="2"/>
        <v>0.46992585074094256</v>
      </c>
      <c r="R36" s="95">
        <f t="shared" si="11"/>
        <v>56649.809474689559</v>
      </c>
      <c r="S36" s="95">
        <f t="shared" si="15"/>
        <v>18735.744279389517</v>
      </c>
      <c r="T36" s="62">
        <f t="shared" si="3"/>
        <v>0.14468977294585028</v>
      </c>
      <c r="U36" s="61">
        <f t="shared" si="19"/>
        <v>4410.1442793895167</v>
      </c>
    </row>
    <row r="37" spans="1:21" x14ac:dyDescent="0.35">
      <c r="A37" s="1">
        <f t="shared" si="17"/>
        <v>46212</v>
      </c>
      <c r="C37" s="11">
        <f>C36</f>
        <v>92160</v>
      </c>
      <c r="F37" s="11">
        <f t="shared" si="6"/>
        <v>2511360</v>
      </c>
      <c r="G37" s="11">
        <f t="shared" si="22"/>
        <v>3353220</v>
      </c>
      <c r="H37" s="11">
        <f t="shared" si="7"/>
        <v>-841860</v>
      </c>
      <c r="I37" s="61">
        <f t="shared" si="23"/>
        <v>0.32583115845251476</v>
      </c>
      <c r="J37" s="61">
        <f t="shared" si="8"/>
        <v>30028.59956298376</v>
      </c>
      <c r="K37" s="94">
        <f t="shared" si="24"/>
        <v>0.47</v>
      </c>
      <c r="L37" s="61">
        <f t="shared" si="20"/>
        <v>0</v>
      </c>
      <c r="M37" s="61">
        <f t="shared" si="9"/>
        <v>30028.59956298376</v>
      </c>
      <c r="N37" s="61">
        <f t="shared" si="14"/>
        <v>0.61468977294585025</v>
      </c>
      <c r="O37" s="61">
        <f t="shared" si="21"/>
        <v>0</v>
      </c>
      <c r="P37" s="79">
        <f t="shared" si="1"/>
        <v>0.23538666057910224</v>
      </c>
      <c r="Q37" s="79">
        <f t="shared" si="2"/>
        <v>0.46992585074094256</v>
      </c>
      <c r="R37" s="95">
        <f t="shared" si="11"/>
        <v>56649.809474689559</v>
      </c>
      <c r="S37" s="95">
        <f t="shared" si="15"/>
        <v>0</v>
      </c>
      <c r="T37" s="62">
        <f t="shared" si="3"/>
        <v>0.14468977294585028</v>
      </c>
      <c r="U37" s="61">
        <f t="shared" si="19"/>
        <v>0</v>
      </c>
    </row>
    <row r="38" spans="1:21" x14ac:dyDescent="0.35">
      <c r="A38" s="1">
        <f t="shared" si="17"/>
        <v>46213</v>
      </c>
      <c r="C38" s="11">
        <v>0</v>
      </c>
      <c r="E38" s="11">
        <v>0</v>
      </c>
      <c r="F38" s="11">
        <f t="shared" si="6"/>
        <v>2511360</v>
      </c>
      <c r="G38" s="11">
        <f t="shared" si="22"/>
        <v>3353220</v>
      </c>
      <c r="H38" s="11">
        <f t="shared" si="7"/>
        <v>-841860</v>
      </c>
      <c r="I38" s="61">
        <f t="shared" si="23"/>
        <v>0.32583115845251476</v>
      </c>
      <c r="J38" s="61">
        <f t="shared" si="8"/>
        <v>0</v>
      </c>
      <c r="K38" s="94">
        <f t="shared" si="24"/>
        <v>0.47</v>
      </c>
      <c r="L38" s="61">
        <f t="shared" si="20"/>
        <v>0</v>
      </c>
      <c r="M38" s="61">
        <f t="shared" si="9"/>
        <v>0</v>
      </c>
      <c r="N38" s="61">
        <f t="shared" si="14"/>
        <v>0.61468977294585025</v>
      </c>
      <c r="O38" s="61">
        <f t="shared" si="21"/>
        <v>0</v>
      </c>
      <c r="P38" s="79">
        <f t="shared" si="1"/>
        <v>0.23538666057910224</v>
      </c>
      <c r="Q38" s="79">
        <f t="shared" si="2"/>
        <v>0.46992585074094256</v>
      </c>
      <c r="R38" s="95">
        <f t="shared" si="11"/>
        <v>0</v>
      </c>
      <c r="S38" s="95">
        <f t="shared" si="15"/>
        <v>0</v>
      </c>
      <c r="T38" s="62">
        <f t="shared" si="3"/>
        <v>0.14468977294585028</v>
      </c>
      <c r="U38" s="61">
        <f t="shared" si="19"/>
        <v>0</v>
      </c>
    </row>
    <row r="39" spans="1:21" x14ac:dyDescent="0.35">
      <c r="A39" s="1">
        <f t="shared" si="17"/>
        <v>46214</v>
      </c>
      <c r="C39" s="11">
        <f>B39</f>
        <v>0</v>
      </c>
      <c r="F39" s="11">
        <f t="shared" si="6"/>
        <v>2511360</v>
      </c>
      <c r="G39" s="11">
        <f t="shared" si="22"/>
        <v>3353220</v>
      </c>
      <c r="H39" s="11">
        <f t="shared" si="7"/>
        <v>-841860</v>
      </c>
      <c r="I39" s="61">
        <f t="shared" si="23"/>
        <v>0.32583115845251476</v>
      </c>
      <c r="J39" s="61">
        <f t="shared" si="8"/>
        <v>0</v>
      </c>
      <c r="K39" s="94">
        <f t="shared" si="24"/>
        <v>0.47</v>
      </c>
      <c r="L39" s="61">
        <f t="shared" si="20"/>
        <v>0</v>
      </c>
      <c r="M39" s="61">
        <f t="shared" si="9"/>
        <v>0</v>
      </c>
      <c r="N39" s="61">
        <f t="shared" si="14"/>
        <v>0.61468977294585025</v>
      </c>
      <c r="O39" s="61">
        <f t="shared" si="21"/>
        <v>0</v>
      </c>
      <c r="P39" s="79">
        <f t="shared" si="1"/>
        <v>0.23538666057910224</v>
      </c>
      <c r="Q39" s="79">
        <f t="shared" si="2"/>
        <v>0.46992585074094256</v>
      </c>
      <c r="R39" s="95">
        <f t="shared" si="11"/>
        <v>0</v>
      </c>
      <c r="S39" s="95">
        <f t="shared" si="15"/>
        <v>0</v>
      </c>
      <c r="T39" s="62">
        <f t="shared" si="3"/>
        <v>0.14468977294585028</v>
      </c>
      <c r="U39" s="61">
        <f t="shared" si="19"/>
        <v>0</v>
      </c>
    </row>
    <row r="40" spans="1:21" x14ac:dyDescent="0.35">
      <c r="A40" s="1">
        <f t="shared" si="17"/>
        <v>46215</v>
      </c>
      <c r="B40" s="93" t="s">
        <v>205</v>
      </c>
      <c r="C40" s="11">
        <v>0</v>
      </c>
      <c r="F40" s="11">
        <f t="shared" si="6"/>
        <v>2511360</v>
      </c>
      <c r="G40" s="11">
        <f t="shared" si="22"/>
        <v>3353220</v>
      </c>
      <c r="H40" s="11">
        <f t="shared" si="7"/>
        <v>-841860</v>
      </c>
      <c r="I40" s="61">
        <f t="shared" si="23"/>
        <v>0.32583115845251476</v>
      </c>
      <c r="J40" s="61">
        <f t="shared" si="8"/>
        <v>0</v>
      </c>
      <c r="K40" s="94">
        <f t="shared" si="24"/>
        <v>0.47</v>
      </c>
      <c r="L40" s="61">
        <f t="shared" si="20"/>
        <v>0</v>
      </c>
      <c r="M40" s="61">
        <f t="shared" si="9"/>
        <v>0</v>
      </c>
      <c r="N40" s="61">
        <f t="shared" si="14"/>
        <v>0.61468977294585025</v>
      </c>
      <c r="O40" s="61">
        <f t="shared" si="21"/>
        <v>0</v>
      </c>
      <c r="P40" s="79">
        <f t="shared" si="1"/>
        <v>0.23538666057910224</v>
      </c>
      <c r="Q40" s="79">
        <f t="shared" si="2"/>
        <v>0.46992585074094256</v>
      </c>
      <c r="R40" s="95">
        <f t="shared" si="11"/>
        <v>0</v>
      </c>
      <c r="S40" s="95">
        <f t="shared" si="15"/>
        <v>0</v>
      </c>
      <c r="T40" s="62">
        <f t="shared" si="3"/>
        <v>0.14468977294585028</v>
      </c>
      <c r="U40" s="61">
        <f t="shared" si="19"/>
        <v>0</v>
      </c>
    </row>
    <row r="41" spans="1:21" x14ac:dyDescent="0.35">
      <c r="A41" s="1">
        <f t="shared" si="17"/>
        <v>46216</v>
      </c>
      <c r="C41" s="11">
        <f>C37</f>
        <v>92160</v>
      </c>
      <c r="D41" s="11">
        <v>83250</v>
      </c>
      <c r="F41" s="11">
        <f t="shared" si="6"/>
        <v>2603520</v>
      </c>
      <c r="G41" s="11">
        <f t="shared" si="22"/>
        <v>3436470</v>
      </c>
      <c r="H41" s="11">
        <f t="shared" si="7"/>
        <v>-832950</v>
      </c>
      <c r="I41" s="61">
        <f t="shared" si="23"/>
        <v>0.32583115845251476</v>
      </c>
      <c r="J41" s="61">
        <f t="shared" si="8"/>
        <v>30028.59956298376</v>
      </c>
      <c r="K41" s="94">
        <f t="shared" si="24"/>
        <v>0.47</v>
      </c>
      <c r="L41" s="61">
        <f t="shared" si="20"/>
        <v>39127.5</v>
      </c>
      <c r="M41" s="61">
        <f t="shared" si="9"/>
        <v>-9098.9004370162402</v>
      </c>
      <c r="N41" s="61">
        <f t="shared" si="14"/>
        <v>0.61468977294585025</v>
      </c>
      <c r="O41" s="61">
        <f t="shared" si="21"/>
        <v>51172.923597742032</v>
      </c>
      <c r="P41" s="79">
        <f t="shared" si="1"/>
        <v>0.23538666057910224</v>
      </c>
      <c r="Q41" s="79">
        <f t="shared" si="2"/>
        <v>0.46992585074094256</v>
      </c>
      <c r="R41" s="95">
        <f t="shared" si="11"/>
        <v>56649.809474689559</v>
      </c>
      <c r="S41" s="95">
        <f t="shared" si="15"/>
        <v>51172.923597742032</v>
      </c>
      <c r="T41" s="62">
        <f t="shared" si="3"/>
        <v>0.14468977294585028</v>
      </c>
      <c r="U41" s="61">
        <f t="shared" si="19"/>
        <v>12045.423597742036</v>
      </c>
    </row>
    <row r="42" spans="1:21" x14ac:dyDescent="0.35">
      <c r="A42" s="1">
        <f t="shared" si="17"/>
        <v>46217</v>
      </c>
      <c r="C42" s="11">
        <f>C41</f>
        <v>92160</v>
      </c>
      <c r="F42" s="11">
        <f t="shared" si="6"/>
        <v>2695680</v>
      </c>
      <c r="G42" s="11">
        <f t="shared" si="22"/>
        <v>3436470</v>
      </c>
      <c r="H42" s="11">
        <f t="shared" si="7"/>
        <v>-740790</v>
      </c>
      <c r="I42" s="61">
        <f t="shared" si="23"/>
        <v>0.32583115845251476</v>
      </c>
      <c r="J42" s="61">
        <f t="shared" si="8"/>
        <v>30028.59956298376</v>
      </c>
      <c r="K42" s="94">
        <f t="shared" si="24"/>
        <v>0.47</v>
      </c>
      <c r="L42" s="61">
        <f t="shared" si="20"/>
        <v>0</v>
      </c>
      <c r="M42" s="61">
        <f t="shared" si="9"/>
        <v>30028.59956298376</v>
      </c>
      <c r="N42" s="61">
        <f t="shared" si="14"/>
        <v>0.61468977294585025</v>
      </c>
      <c r="O42" s="61">
        <f t="shared" si="21"/>
        <v>0</v>
      </c>
      <c r="P42" s="79">
        <f t="shared" si="1"/>
        <v>0.23538666057910224</v>
      </c>
      <c r="Q42" s="79">
        <f t="shared" si="2"/>
        <v>0.46992585074094256</v>
      </c>
      <c r="R42" s="95">
        <f t="shared" si="11"/>
        <v>56649.809474689559</v>
      </c>
      <c r="S42" s="95">
        <f t="shared" si="15"/>
        <v>0</v>
      </c>
      <c r="T42" s="62">
        <f t="shared" si="3"/>
        <v>0.14468977294585028</v>
      </c>
      <c r="U42" s="61">
        <f t="shared" si="19"/>
        <v>0</v>
      </c>
    </row>
    <row r="43" spans="1:21" x14ac:dyDescent="0.35">
      <c r="A43" s="1">
        <f t="shared" si="17"/>
        <v>46218</v>
      </c>
      <c r="C43" s="11">
        <f>C42</f>
        <v>92160</v>
      </c>
      <c r="F43" s="11">
        <f t="shared" si="6"/>
        <v>2787840</v>
      </c>
      <c r="G43" s="11">
        <f t="shared" si="22"/>
        <v>3436470</v>
      </c>
      <c r="H43" s="11">
        <f t="shared" si="7"/>
        <v>-648630</v>
      </c>
      <c r="I43" s="61">
        <f t="shared" si="23"/>
        <v>0.32583115845251476</v>
      </c>
      <c r="J43" s="61">
        <f t="shared" si="8"/>
        <v>30028.59956298376</v>
      </c>
      <c r="K43" s="94">
        <f t="shared" si="24"/>
        <v>0.47</v>
      </c>
      <c r="L43" s="61">
        <f t="shared" si="20"/>
        <v>0</v>
      </c>
      <c r="M43" s="61">
        <f t="shared" si="9"/>
        <v>30028.59956298376</v>
      </c>
      <c r="N43" s="61">
        <f t="shared" si="14"/>
        <v>0.61468977294585025</v>
      </c>
      <c r="O43" s="61">
        <f t="shared" si="21"/>
        <v>0</v>
      </c>
      <c r="P43" s="79">
        <f t="shared" si="1"/>
        <v>0.23538666057910224</v>
      </c>
      <c r="Q43" s="79">
        <f t="shared" si="2"/>
        <v>0.46992585074094256</v>
      </c>
      <c r="R43" s="95">
        <f t="shared" si="11"/>
        <v>56649.809474689559</v>
      </c>
      <c r="S43" s="95">
        <f t="shared" si="15"/>
        <v>0</v>
      </c>
      <c r="T43" s="62">
        <f t="shared" si="3"/>
        <v>0.14468977294585028</v>
      </c>
      <c r="U43" s="61">
        <f t="shared" si="19"/>
        <v>0</v>
      </c>
    </row>
    <row r="44" spans="1:21" x14ac:dyDescent="0.35">
      <c r="A44" s="1">
        <f t="shared" si="17"/>
        <v>46219</v>
      </c>
      <c r="C44" s="11">
        <f>C43</f>
        <v>92160</v>
      </c>
      <c r="F44" s="11">
        <f t="shared" si="6"/>
        <v>2880000</v>
      </c>
      <c r="G44" s="11">
        <f t="shared" si="22"/>
        <v>3436470</v>
      </c>
      <c r="H44" s="11">
        <f t="shared" si="7"/>
        <v>-556470</v>
      </c>
      <c r="I44" s="61">
        <f t="shared" si="23"/>
        <v>0.32583115845251476</v>
      </c>
      <c r="J44" s="61">
        <f t="shared" si="8"/>
        <v>30028.59956298376</v>
      </c>
      <c r="K44" s="94">
        <f t="shared" si="24"/>
        <v>0.47</v>
      </c>
      <c r="L44" s="61">
        <f t="shared" si="20"/>
        <v>0</v>
      </c>
      <c r="M44" s="61">
        <f t="shared" si="9"/>
        <v>30028.59956298376</v>
      </c>
      <c r="N44" s="61">
        <f t="shared" si="14"/>
        <v>0.61468977294585025</v>
      </c>
      <c r="O44" s="61">
        <f t="shared" si="21"/>
        <v>0</v>
      </c>
      <c r="P44" s="79">
        <f t="shared" si="1"/>
        <v>0.23538666057910224</v>
      </c>
      <c r="Q44" s="79">
        <f t="shared" si="2"/>
        <v>0.46992585074094256</v>
      </c>
      <c r="R44" s="95">
        <f t="shared" si="11"/>
        <v>56649.809474689559</v>
      </c>
      <c r="S44" s="95">
        <f t="shared" si="15"/>
        <v>0</v>
      </c>
      <c r="T44" s="62">
        <f t="shared" si="3"/>
        <v>0.14468977294585028</v>
      </c>
      <c r="U44" s="61">
        <f t="shared" si="19"/>
        <v>0</v>
      </c>
    </row>
    <row r="45" spans="1:21" x14ac:dyDescent="0.35">
      <c r="A45" s="1">
        <f t="shared" si="17"/>
        <v>46220</v>
      </c>
      <c r="C45" s="11">
        <v>0</v>
      </c>
      <c r="E45" s="11">
        <v>0</v>
      </c>
      <c r="F45" s="11">
        <f t="shared" si="6"/>
        <v>2880000</v>
      </c>
      <c r="G45" s="11">
        <f t="shared" si="22"/>
        <v>3436470</v>
      </c>
      <c r="H45" s="11">
        <f t="shared" si="7"/>
        <v>-556470</v>
      </c>
      <c r="I45" s="61">
        <f t="shared" si="23"/>
        <v>0.32583115845251476</v>
      </c>
      <c r="J45" s="61">
        <f t="shared" si="8"/>
        <v>0</v>
      </c>
      <c r="K45" s="94">
        <f t="shared" si="24"/>
        <v>0.47</v>
      </c>
      <c r="L45" s="61">
        <f t="shared" si="20"/>
        <v>0</v>
      </c>
      <c r="M45" s="61">
        <f t="shared" si="9"/>
        <v>0</v>
      </c>
      <c r="N45" s="61">
        <f t="shared" si="14"/>
        <v>0.61468977294585025</v>
      </c>
      <c r="O45" s="61">
        <f t="shared" si="21"/>
        <v>0</v>
      </c>
      <c r="P45" s="79">
        <f t="shared" si="1"/>
        <v>0.23538666057910224</v>
      </c>
      <c r="Q45" s="79">
        <f t="shared" si="2"/>
        <v>0.46992585074094256</v>
      </c>
      <c r="R45" s="95">
        <f t="shared" si="11"/>
        <v>0</v>
      </c>
      <c r="S45" s="95">
        <f t="shared" si="15"/>
        <v>0</v>
      </c>
      <c r="T45" s="62">
        <f t="shared" si="3"/>
        <v>0.14468977294585028</v>
      </c>
      <c r="U45" s="61">
        <f t="shared" si="19"/>
        <v>0</v>
      </c>
    </row>
    <row r="46" spans="1:21" x14ac:dyDescent="0.35">
      <c r="A46" s="1">
        <f t="shared" si="17"/>
        <v>46221</v>
      </c>
      <c r="C46" s="11">
        <f>B46</f>
        <v>0</v>
      </c>
      <c r="F46" s="11">
        <f t="shared" si="6"/>
        <v>2880000</v>
      </c>
      <c r="G46" s="11">
        <f t="shared" si="22"/>
        <v>3436470</v>
      </c>
      <c r="H46" s="11">
        <f t="shared" si="7"/>
        <v>-556470</v>
      </c>
      <c r="I46" s="61">
        <f t="shared" si="23"/>
        <v>0.32583115845251476</v>
      </c>
      <c r="J46" s="61">
        <f t="shared" si="8"/>
        <v>0</v>
      </c>
      <c r="K46" s="94">
        <f t="shared" si="24"/>
        <v>0.47</v>
      </c>
      <c r="L46" s="61">
        <f t="shared" si="20"/>
        <v>0</v>
      </c>
      <c r="M46" s="61">
        <f t="shared" si="9"/>
        <v>0</v>
      </c>
      <c r="N46" s="61">
        <f t="shared" si="14"/>
        <v>0.61468977294585025</v>
      </c>
      <c r="O46" s="61">
        <f t="shared" si="21"/>
        <v>0</v>
      </c>
      <c r="P46" s="79">
        <f t="shared" si="1"/>
        <v>0.23538666057910224</v>
      </c>
      <c r="Q46" s="79">
        <f t="shared" si="2"/>
        <v>0.46992585074094256</v>
      </c>
      <c r="R46" s="95">
        <f t="shared" si="11"/>
        <v>0</v>
      </c>
      <c r="S46" s="95">
        <f t="shared" si="15"/>
        <v>0</v>
      </c>
      <c r="T46" s="62">
        <f t="shared" si="3"/>
        <v>0.14468977294585028</v>
      </c>
      <c r="U46" s="61">
        <f t="shared" si="19"/>
        <v>0</v>
      </c>
    </row>
    <row r="47" spans="1:21" x14ac:dyDescent="0.35">
      <c r="A47" s="1">
        <f t="shared" si="17"/>
        <v>46222</v>
      </c>
      <c r="B47" s="93" t="s">
        <v>205</v>
      </c>
      <c r="C47" s="11">
        <v>0</v>
      </c>
      <c r="F47" s="11">
        <f t="shared" si="6"/>
        <v>2880000</v>
      </c>
      <c r="G47" s="11">
        <f t="shared" si="22"/>
        <v>3436470</v>
      </c>
      <c r="H47" s="11">
        <f t="shared" si="7"/>
        <v>-556470</v>
      </c>
      <c r="I47" s="61">
        <f t="shared" si="23"/>
        <v>0.32583115845251476</v>
      </c>
      <c r="J47" s="61">
        <f t="shared" si="8"/>
        <v>0</v>
      </c>
      <c r="K47" s="94">
        <f t="shared" si="24"/>
        <v>0.47</v>
      </c>
      <c r="L47" s="61">
        <f t="shared" si="20"/>
        <v>0</v>
      </c>
      <c r="M47" s="61">
        <f t="shared" si="9"/>
        <v>0</v>
      </c>
      <c r="N47" s="61">
        <f t="shared" si="14"/>
        <v>0.61468977294585025</v>
      </c>
      <c r="O47" s="61">
        <f t="shared" si="21"/>
        <v>0</v>
      </c>
      <c r="P47" s="79">
        <f t="shared" si="1"/>
        <v>0.23538666057910224</v>
      </c>
      <c r="Q47" s="79">
        <f t="shared" si="2"/>
        <v>0.46992585074094256</v>
      </c>
      <c r="R47" s="95">
        <f t="shared" si="11"/>
        <v>0</v>
      </c>
      <c r="S47" s="95">
        <f t="shared" si="15"/>
        <v>0</v>
      </c>
      <c r="T47" s="62">
        <f t="shared" si="3"/>
        <v>0.14468977294585028</v>
      </c>
      <c r="U47" s="61">
        <f t="shared" si="19"/>
        <v>0</v>
      </c>
    </row>
    <row r="48" spans="1:21" x14ac:dyDescent="0.35">
      <c r="A48" s="1">
        <f t="shared" si="17"/>
        <v>46223</v>
      </c>
      <c r="C48" s="11">
        <f>C44</f>
        <v>92160</v>
      </c>
      <c r="F48" s="11">
        <f t="shared" si="6"/>
        <v>2972160</v>
      </c>
      <c r="G48" s="11">
        <f t="shared" si="22"/>
        <v>3436470</v>
      </c>
      <c r="H48" s="11">
        <f t="shared" si="7"/>
        <v>-464310</v>
      </c>
      <c r="I48" s="61">
        <f t="shared" si="23"/>
        <v>0.32583115845251476</v>
      </c>
      <c r="J48" s="61">
        <f t="shared" si="8"/>
        <v>30028.59956298376</v>
      </c>
      <c r="K48" s="94">
        <f t="shared" si="24"/>
        <v>0.47</v>
      </c>
      <c r="L48" s="61">
        <f t="shared" si="20"/>
        <v>0</v>
      </c>
      <c r="M48" s="61">
        <f t="shared" si="9"/>
        <v>30028.59956298376</v>
      </c>
      <c r="N48" s="61">
        <f t="shared" si="14"/>
        <v>0.61468977294585025</v>
      </c>
      <c r="O48" s="61">
        <f t="shared" si="21"/>
        <v>0</v>
      </c>
      <c r="P48" s="79">
        <f t="shared" si="1"/>
        <v>0.23538666057910224</v>
      </c>
      <c r="Q48" s="79">
        <f t="shared" si="2"/>
        <v>0.46992585074094256</v>
      </c>
      <c r="R48" s="95">
        <f t="shared" si="11"/>
        <v>56649.809474689559</v>
      </c>
      <c r="S48" s="95">
        <f t="shared" si="15"/>
        <v>0</v>
      </c>
      <c r="T48" s="62">
        <f t="shared" si="3"/>
        <v>0.14468977294585028</v>
      </c>
      <c r="U48" s="61">
        <f t="shared" si="19"/>
        <v>0</v>
      </c>
    </row>
    <row r="49" spans="1:21" x14ac:dyDescent="0.35">
      <c r="A49" s="1">
        <f t="shared" si="17"/>
        <v>46224</v>
      </c>
      <c r="C49" s="11">
        <f>C48</f>
        <v>92160</v>
      </c>
      <c r="F49" s="11">
        <f t="shared" si="6"/>
        <v>3064320</v>
      </c>
      <c r="G49" s="11">
        <f t="shared" si="22"/>
        <v>3436470</v>
      </c>
      <c r="H49" s="11">
        <f t="shared" si="7"/>
        <v>-372150</v>
      </c>
      <c r="I49" s="61">
        <f t="shared" si="23"/>
        <v>0.32583115845251476</v>
      </c>
      <c r="J49" s="61">
        <f t="shared" si="8"/>
        <v>30028.59956298376</v>
      </c>
      <c r="K49" s="94">
        <f t="shared" si="24"/>
        <v>0.47</v>
      </c>
      <c r="L49" s="61">
        <f t="shared" si="20"/>
        <v>0</v>
      </c>
      <c r="M49" s="61">
        <f t="shared" si="9"/>
        <v>30028.59956298376</v>
      </c>
      <c r="N49" s="61">
        <f t="shared" si="14"/>
        <v>0.61468977294585025</v>
      </c>
      <c r="O49" s="61">
        <f t="shared" si="21"/>
        <v>0</v>
      </c>
      <c r="P49" s="79">
        <f t="shared" si="1"/>
        <v>0.23538666057910224</v>
      </c>
      <c r="Q49" s="79">
        <f t="shared" si="2"/>
        <v>0.46992585074094256</v>
      </c>
      <c r="R49" s="95">
        <f t="shared" si="11"/>
        <v>56649.809474689559</v>
      </c>
      <c r="S49" s="95">
        <f t="shared" si="15"/>
        <v>0</v>
      </c>
      <c r="T49" s="62">
        <f t="shared" si="3"/>
        <v>0.14468977294585028</v>
      </c>
      <c r="U49" s="61">
        <f t="shared" si="19"/>
        <v>0</v>
      </c>
    </row>
    <row r="50" spans="1:21" x14ac:dyDescent="0.35">
      <c r="A50" s="1">
        <f t="shared" si="17"/>
        <v>46225</v>
      </c>
      <c r="C50" s="11">
        <f>C49</f>
        <v>92160</v>
      </c>
      <c r="D50" s="11">
        <v>37800</v>
      </c>
      <c r="F50" s="11">
        <f t="shared" si="6"/>
        <v>3156480</v>
      </c>
      <c r="G50" s="11">
        <f t="shared" si="22"/>
        <v>3474270</v>
      </c>
      <c r="H50" s="11">
        <f t="shared" si="7"/>
        <v>-317790</v>
      </c>
      <c r="I50" s="61">
        <f t="shared" si="23"/>
        <v>0.32583115845251476</v>
      </c>
      <c r="J50" s="61">
        <f t="shared" si="8"/>
        <v>30028.59956298376</v>
      </c>
      <c r="K50" s="94">
        <f t="shared" si="24"/>
        <v>0.47</v>
      </c>
      <c r="L50" s="61">
        <f t="shared" si="20"/>
        <v>17766</v>
      </c>
      <c r="M50" s="61">
        <f t="shared" si="9"/>
        <v>12262.59956298376</v>
      </c>
      <c r="N50" s="61">
        <f t="shared" si="14"/>
        <v>0.61468977294585025</v>
      </c>
      <c r="O50" s="61">
        <f t="shared" si="21"/>
        <v>23235.273417353139</v>
      </c>
      <c r="P50" s="79">
        <f t="shared" si="1"/>
        <v>0.23538666057910224</v>
      </c>
      <c r="Q50" s="79">
        <f t="shared" si="2"/>
        <v>0.46992585074094256</v>
      </c>
      <c r="R50" s="95">
        <f t="shared" si="11"/>
        <v>56649.809474689559</v>
      </c>
      <c r="S50" s="95">
        <f t="shared" si="15"/>
        <v>23235.273417353139</v>
      </c>
      <c r="T50" s="62">
        <f t="shared" si="3"/>
        <v>0.14468977294585028</v>
      </c>
      <c r="U50" s="61">
        <f t="shared" si="19"/>
        <v>5469.2734173531408</v>
      </c>
    </row>
    <row r="51" spans="1:21" x14ac:dyDescent="0.35">
      <c r="A51" s="1">
        <f t="shared" si="17"/>
        <v>46226</v>
      </c>
      <c r="C51" s="11">
        <f>C50</f>
        <v>92160</v>
      </c>
      <c r="D51" s="11">
        <v>60480</v>
      </c>
      <c r="F51" s="11">
        <f t="shared" si="6"/>
        <v>3248640</v>
      </c>
      <c r="G51" s="11">
        <f t="shared" si="22"/>
        <v>3534750</v>
      </c>
      <c r="H51" s="11">
        <f t="shared" si="7"/>
        <v>-286110</v>
      </c>
      <c r="I51" s="61">
        <f t="shared" si="23"/>
        <v>0.32583115845251476</v>
      </c>
      <c r="J51" s="61">
        <f t="shared" si="8"/>
        <v>30028.59956298376</v>
      </c>
      <c r="K51" s="94">
        <f t="shared" si="24"/>
        <v>0.47</v>
      </c>
      <c r="L51" s="61">
        <f t="shared" si="20"/>
        <v>28425.599999999999</v>
      </c>
      <c r="M51" s="61">
        <f t="shared" si="9"/>
        <v>1602.9995629837613</v>
      </c>
      <c r="N51" s="61">
        <f t="shared" si="14"/>
        <v>0.61468977294585025</v>
      </c>
      <c r="O51" s="61">
        <f t="shared" si="21"/>
        <v>37176.437467765027</v>
      </c>
      <c r="P51" s="79">
        <f t="shared" si="1"/>
        <v>0.23538666057910224</v>
      </c>
      <c r="Q51" s="79">
        <f t="shared" si="2"/>
        <v>0.46992585074094256</v>
      </c>
      <c r="R51" s="95">
        <f t="shared" si="11"/>
        <v>56649.809474689559</v>
      </c>
      <c r="S51" s="95">
        <f t="shared" si="15"/>
        <v>37176.437467765027</v>
      </c>
      <c r="T51" s="62">
        <f t="shared" si="3"/>
        <v>0.14468977294585028</v>
      </c>
      <c r="U51" s="61">
        <f t="shared" si="19"/>
        <v>8750.8374677650245</v>
      </c>
    </row>
    <row r="52" spans="1:21" x14ac:dyDescent="0.35">
      <c r="A52" s="1">
        <f t="shared" si="17"/>
        <v>46227</v>
      </c>
      <c r="C52" s="11">
        <v>0</v>
      </c>
      <c r="D52" s="11">
        <v>87135</v>
      </c>
      <c r="E52" s="11">
        <v>0</v>
      </c>
      <c r="F52" s="11">
        <f t="shared" si="6"/>
        <v>3248640</v>
      </c>
      <c r="G52" s="11">
        <f t="shared" si="22"/>
        <v>3621885</v>
      </c>
      <c r="H52" s="11">
        <f t="shared" si="7"/>
        <v>-373245</v>
      </c>
      <c r="I52" s="61">
        <f t="shared" si="23"/>
        <v>0.32583115845251476</v>
      </c>
      <c r="J52" s="61">
        <f t="shared" si="8"/>
        <v>0</v>
      </c>
      <c r="K52" s="94">
        <f t="shared" si="24"/>
        <v>0.47</v>
      </c>
      <c r="L52" s="61">
        <f t="shared" si="20"/>
        <v>40953.449999999997</v>
      </c>
      <c r="M52" s="61">
        <f t="shared" si="9"/>
        <v>-40953.449999999997</v>
      </c>
      <c r="N52" s="61">
        <f t="shared" si="14"/>
        <v>0.61468977294585025</v>
      </c>
      <c r="O52" s="61">
        <f t="shared" si="21"/>
        <v>53560.993365636663</v>
      </c>
      <c r="P52" s="79">
        <f t="shared" si="1"/>
        <v>0.23538666057910224</v>
      </c>
      <c r="Q52" s="79">
        <f t="shared" si="2"/>
        <v>0.46992585074094256</v>
      </c>
      <c r="R52" s="95">
        <f t="shared" si="11"/>
        <v>0</v>
      </c>
      <c r="S52" s="95">
        <f t="shared" si="15"/>
        <v>53560.993365636663</v>
      </c>
      <c r="T52" s="62">
        <f t="shared" si="3"/>
        <v>0.14468977294585028</v>
      </c>
      <c r="U52" s="61">
        <f t="shared" si="19"/>
        <v>12607.543365636664</v>
      </c>
    </row>
    <row r="53" spans="1:21" x14ac:dyDescent="0.35">
      <c r="A53" s="1">
        <f t="shared" si="17"/>
        <v>46228</v>
      </c>
      <c r="C53" s="11">
        <f>B53</f>
        <v>0</v>
      </c>
      <c r="F53" s="11">
        <f t="shared" si="6"/>
        <v>3248640</v>
      </c>
      <c r="G53" s="11">
        <f t="shared" si="22"/>
        <v>3621885</v>
      </c>
      <c r="H53" s="11">
        <f t="shared" si="7"/>
        <v>-373245</v>
      </c>
      <c r="I53" s="61">
        <f t="shared" si="23"/>
        <v>0.32583115845251476</v>
      </c>
      <c r="J53" s="61">
        <f t="shared" si="8"/>
        <v>0</v>
      </c>
      <c r="K53" s="94">
        <f t="shared" si="24"/>
        <v>0.47</v>
      </c>
      <c r="L53" s="61">
        <f t="shared" si="20"/>
        <v>0</v>
      </c>
      <c r="M53" s="61">
        <f t="shared" si="9"/>
        <v>0</v>
      </c>
      <c r="N53" s="61">
        <f t="shared" si="14"/>
        <v>0.61468977294585025</v>
      </c>
      <c r="O53" s="61">
        <f t="shared" si="21"/>
        <v>0</v>
      </c>
      <c r="P53" s="79">
        <f t="shared" si="1"/>
        <v>0.23538666057910224</v>
      </c>
      <c r="Q53" s="79">
        <f t="shared" si="2"/>
        <v>0.46992585074094256</v>
      </c>
      <c r="R53" s="95">
        <f t="shared" si="11"/>
        <v>0</v>
      </c>
      <c r="S53" s="95">
        <f t="shared" si="15"/>
        <v>0</v>
      </c>
      <c r="T53" s="62">
        <f t="shared" si="3"/>
        <v>0.14468977294585028</v>
      </c>
      <c r="U53" s="61">
        <f t="shared" si="19"/>
        <v>0</v>
      </c>
    </row>
    <row r="54" spans="1:21" x14ac:dyDescent="0.35">
      <c r="A54" s="1">
        <f t="shared" si="17"/>
        <v>46229</v>
      </c>
      <c r="B54" s="93" t="s">
        <v>205</v>
      </c>
      <c r="C54" s="11">
        <v>0</v>
      </c>
      <c r="F54" s="11">
        <f t="shared" si="6"/>
        <v>3248640</v>
      </c>
      <c r="G54" s="11">
        <f t="shared" si="22"/>
        <v>3621885</v>
      </c>
      <c r="H54" s="11">
        <f t="shared" si="7"/>
        <v>-373245</v>
      </c>
      <c r="I54" s="61">
        <f t="shared" si="23"/>
        <v>0.32583115845251476</v>
      </c>
      <c r="J54" s="61">
        <f t="shared" si="8"/>
        <v>0</v>
      </c>
      <c r="K54" s="94">
        <f t="shared" si="24"/>
        <v>0.47</v>
      </c>
      <c r="L54" s="61">
        <f t="shared" si="20"/>
        <v>0</v>
      </c>
      <c r="M54" s="61">
        <f t="shared" si="9"/>
        <v>0</v>
      </c>
      <c r="N54" s="61">
        <f t="shared" si="14"/>
        <v>0.61468977294585025</v>
      </c>
      <c r="O54" s="61">
        <f t="shared" si="21"/>
        <v>0</v>
      </c>
      <c r="P54" s="79">
        <f t="shared" si="1"/>
        <v>0.23538666057910224</v>
      </c>
      <c r="Q54" s="79">
        <f t="shared" si="2"/>
        <v>0.46992585074094256</v>
      </c>
      <c r="R54" s="95">
        <f t="shared" si="11"/>
        <v>0</v>
      </c>
      <c r="S54" s="95">
        <f t="shared" si="15"/>
        <v>0</v>
      </c>
      <c r="T54" s="62">
        <f t="shared" si="3"/>
        <v>0.14468977294585028</v>
      </c>
      <c r="U54" s="61">
        <f t="shared" si="19"/>
        <v>0</v>
      </c>
    </row>
    <row r="55" spans="1:21" x14ac:dyDescent="0.35">
      <c r="A55" s="1">
        <f t="shared" si="17"/>
        <v>46230</v>
      </c>
      <c r="C55" s="11">
        <f>C51</f>
        <v>92160</v>
      </c>
      <c r="D55" s="11">
        <v>62490</v>
      </c>
      <c r="F55" s="11">
        <f t="shared" si="6"/>
        <v>3340800</v>
      </c>
      <c r="G55" s="11">
        <f t="shared" si="22"/>
        <v>3684375</v>
      </c>
      <c r="H55" s="11">
        <f t="shared" si="7"/>
        <v>-343575</v>
      </c>
      <c r="I55" s="61">
        <f t="shared" si="23"/>
        <v>0.32583115845251476</v>
      </c>
      <c r="J55" s="61">
        <f t="shared" si="8"/>
        <v>30028.59956298376</v>
      </c>
      <c r="K55" s="94">
        <f t="shared" si="24"/>
        <v>0.47</v>
      </c>
      <c r="L55" s="61">
        <f t="shared" si="20"/>
        <v>29370.3</v>
      </c>
      <c r="M55" s="61">
        <f t="shared" si="9"/>
        <v>658.29956298376055</v>
      </c>
      <c r="N55" s="61">
        <f t="shared" si="14"/>
        <v>0.61468977294585025</v>
      </c>
      <c r="O55" s="61">
        <f t="shared" si="21"/>
        <v>38411.963911386185</v>
      </c>
      <c r="P55" s="79">
        <f t="shared" si="1"/>
        <v>0.23538666057910224</v>
      </c>
      <c r="Q55" s="79">
        <f t="shared" si="2"/>
        <v>0.46992585074094256</v>
      </c>
      <c r="R55" s="95">
        <f t="shared" si="11"/>
        <v>56649.809474689559</v>
      </c>
      <c r="S55" s="95">
        <f t="shared" si="15"/>
        <v>38411.963911386185</v>
      </c>
      <c r="T55" s="62">
        <f t="shared" si="3"/>
        <v>0.14468977294585028</v>
      </c>
      <c r="U55" s="61">
        <f t="shared" si="19"/>
        <v>9041.6639113861838</v>
      </c>
    </row>
    <row r="56" spans="1:21" x14ac:dyDescent="0.35">
      <c r="A56" s="1">
        <f t="shared" si="17"/>
        <v>46231</v>
      </c>
      <c r="C56" s="11">
        <f>C55</f>
        <v>92160</v>
      </c>
      <c r="D56" s="11">
        <v>104775</v>
      </c>
      <c r="F56" s="11">
        <f t="shared" si="6"/>
        <v>3432960</v>
      </c>
      <c r="G56" s="11">
        <f>G55+D56+E56</f>
        <v>3789150</v>
      </c>
      <c r="H56" s="11">
        <f t="shared" si="7"/>
        <v>-356190</v>
      </c>
      <c r="I56" s="61">
        <f t="shared" si="23"/>
        <v>0.32583115845251476</v>
      </c>
      <c r="J56" s="61">
        <f t="shared" si="8"/>
        <v>30028.59956298376</v>
      </c>
      <c r="K56" s="94">
        <f t="shared" si="24"/>
        <v>0.47</v>
      </c>
      <c r="L56" s="61">
        <f t="shared" si="20"/>
        <v>49244.25</v>
      </c>
      <c r="M56" s="61">
        <f t="shared" si="9"/>
        <v>-19215.65043701624</v>
      </c>
      <c r="N56" s="61">
        <f t="shared" si="14"/>
        <v>0.61468977294585025</v>
      </c>
      <c r="O56" s="61">
        <f t="shared" si="21"/>
        <v>64404.120960401458</v>
      </c>
      <c r="P56" s="79">
        <f t="shared" si="1"/>
        <v>0.23538666057910224</v>
      </c>
      <c r="Q56" s="79">
        <f t="shared" si="2"/>
        <v>0.46992585074094256</v>
      </c>
      <c r="R56" s="95">
        <f t="shared" si="11"/>
        <v>56649.809474689559</v>
      </c>
      <c r="S56" s="95">
        <f t="shared" si="15"/>
        <v>64404.120960401458</v>
      </c>
      <c r="T56" s="62">
        <f t="shared" si="3"/>
        <v>0.14468977294585028</v>
      </c>
      <c r="U56" s="61">
        <f t="shared" si="19"/>
        <v>15159.870960401464</v>
      </c>
    </row>
    <row r="57" spans="1:21" x14ac:dyDescent="0.35">
      <c r="A57" s="1">
        <f t="shared" si="17"/>
        <v>46232</v>
      </c>
      <c r="C57" s="11">
        <f>C56</f>
        <v>92160</v>
      </c>
      <c r="D57" s="11">
        <v>58320</v>
      </c>
      <c r="E57" s="11">
        <v>80000</v>
      </c>
      <c r="F57" s="11">
        <f t="shared" si="6"/>
        <v>3525120</v>
      </c>
      <c r="G57" s="11">
        <f>G56+D57</f>
        <v>3847470</v>
      </c>
      <c r="H57" s="11">
        <f t="shared" si="7"/>
        <v>-322350</v>
      </c>
      <c r="I57" s="61">
        <f t="shared" si="23"/>
        <v>0.32583115845251476</v>
      </c>
      <c r="J57" s="61">
        <f t="shared" si="8"/>
        <v>30028.59956298376</v>
      </c>
      <c r="K57" s="94">
        <f t="shared" si="24"/>
        <v>0.47</v>
      </c>
      <c r="L57" s="61">
        <f t="shared" si="20"/>
        <v>65010.399999999994</v>
      </c>
      <c r="M57" s="61">
        <f t="shared" si="9"/>
        <v>-34981.800437016238</v>
      </c>
      <c r="N57" s="61">
        <f t="shared" si="14"/>
        <v>0.61468977294585025</v>
      </c>
      <c r="O57" s="61">
        <f t="shared" si="21"/>
        <v>85023.889393870006</v>
      </c>
      <c r="P57" s="79">
        <f t="shared" si="1"/>
        <v>0.23538666057910224</v>
      </c>
      <c r="Q57" s="79">
        <f t="shared" si="2"/>
        <v>0.46992585074094256</v>
      </c>
      <c r="R57" s="95">
        <f t="shared" si="11"/>
        <v>56649.809474689559</v>
      </c>
      <c r="S57" s="95">
        <f t="shared" si="15"/>
        <v>85023.889393870006</v>
      </c>
      <c r="T57" s="62">
        <f t="shared" si="3"/>
        <v>0.14468977294585028</v>
      </c>
      <c r="U57" s="61">
        <f t="shared" si="19"/>
        <v>20013.489393870012</v>
      </c>
    </row>
    <row r="58" spans="1:21" x14ac:dyDescent="0.35">
      <c r="A58" s="1">
        <f t="shared" si="17"/>
        <v>46233</v>
      </c>
      <c r="C58" s="11">
        <f>C57</f>
        <v>92160</v>
      </c>
      <c r="D58" s="11">
        <v>45360</v>
      </c>
      <c r="E58" s="11">
        <v>80000</v>
      </c>
      <c r="F58" s="11">
        <f t="shared" si="6"/>
        <v>3617280</v>
      </c>
      <c r="G58" s="11">
        <f>G57+D58</f>
        <v>3892830</v>
      </c>
      <c r="H58" s="11">
        <f t="shared" si="7"/>
        <v>-275550</v>
      </c>
      <c r="I58" s="61">
        <f t="shared" si="23"/>
        <v>0.32583115845251476</v>
      </c>
      <c r="J58" s="61">
        <f t="shared" si="8"/>
        <v>30028.59956298376</v>
      </c>
      <c r="K58" s="94">
        <f t="shared" si="24"/>
        <v>0.47</v>
      </c>
      <c r="L58" s="61">
        <f t="shared" si="20"/>
        <v>58919.199999999997</v>
      </c>
      <c r="M58" s="61">
        <f t="shared" si="9"/>
        <v>-28890.600437016237</v>
      </c>
      <c r="N58" s="61">
        <f t="shared" si="14"/>
        <v>0.61468977294585025</v>
      </c>
      <c r="O58" s="61">
        <f t="shared" si="21"/>
        <v>77057.509936491784</v>
      </c>
      <c r="P58" s="79">
        <f t="shared" si="1"/>
        <v>0.23538666057910224</v>
      </c>
      <c r="Q58" s="79">
        <f t="shared" si="2"/>
        <v>0.46992585074094256</v>
      </c>
      <c r="R58" s="95">
        <f t="shared" si="11"/>
        <v>56649.809474689559</v>
      </c>
      <c r="S58" s="95">
        <f t="shared" si="15"/>
        <v>77057.509936491784</v>
      </c>
      <c r="T58" s="62">
        <f t="shared" si="3"/>
        <v>0.14468977294585028</v>
      </c>
      <c r="U58" s="61">
        <f t="shared" si="19"/>
        <v>18138.309936491791</v>
      </c>
    </row>
    <row r="59" spans="1:21" x14ac:dyDescent="0.35">
      <c r="A59" s="1">
        <f t="shared" si="17"/>
        <v>46234</v>
      </c>
      <c r="C59" s="11">
        <v>0</v>
      </c>
      <c r="E59" s="11">
        <v>0</v>
      </c>
      <c r="F59" s="11">
        <f t="shared" si="6"/>
        <v>3617280</v>
      </c>
      <c r="G59" s="11">
        <f t="shared" ref="G59:G69" si="25">G58+D59</f>
        <v>3892830</v>
      </c>
      <c r="H59" s="11">
        <f t="shared" si="7"/>
        <v>-275550</v>
      </c>
      <c r="I59" s="61">
        <f t="shared" si="23"/>
        <v>0.32583115845251476</v>
      </c>
      <c r="J59" s="61">
        <f t="shared" si="8"/>
        <v>0</v>
      </c>
      <c r="K59" s="94">
        <f t="shared" si="24"/>
        <v>0.47</v>
      </c>
      <c r="L59" s="61">
        <f t="shared" si="20"/>
        <v>0</v>
      </c>
      <c r="M59" s="61">
        <f t="shared" si="9"/>
        <v>0</v>
      </c>
      <c r="N59" s="61">
        <f t="shared" si="14"/>
        <v>0.61468977294585025</v>
      </c>
      <c r="O59" s="61">
        <f t="shared" si="21"/>
        <v>0</v>
      </c>
      <c r="P59" s="79">
        <f t="shared" si="1"/>
        <v>0.23538666057910224</v>
      </c>
      <c r="Q59" s="79">
        <f t="shared" si="2"/>
        <v>0.46992585074094256</v>
      </c>
      <c r="R59" s="95">
        <f t="shared" si="11"/>
        <v>0</v>
      </c>
      <c r="S59" s="95">
        <f t="shared" si="15"/>
        <v>0</v>
      </c>
      <c r="T59" s="62">
        <f t="shared" si="3"/>
        <v>0.14468977294585028</v>
      </c>
      <c r="U59" s="61">
        <f t="shared" si="19"/>
        <v>0</v>
      </c>
    </row>
    <row r="60" spans="1:21" x14ac:dyDescent="0.35">
      <c r="A60" s="1">
        <f t="shared" si="17"/>
        <v>46235</v>
      </c>
      <c r="C60" s="11">
        <f>B60</f>
        <v>0</v>
      </c>
      <c r="F60" s="11">
        <f t="shared" si="6"/>
        <v>3617280</v>
      </c>
      <c r="G60" s="11">
        <f t="shared" si="25"/>
        <v>3892830</v>
      </c>
      <c r="H60" s="11">
        <f t="shared" si="7"/>
        <v>-275550</v>
      </c>
      <c r="I60" s="61">
        <f>'[1]Ramp Plan'!W255</f>
        <v>0.29672799610836931</v>
      </c>
      <c r="J60" s="61">
        <f t="shared" si="8"/>
        <v>0</v>
      </c>
      <c r="K60" s="94">
        <f t="shared" si="24"/>
        <v>0.47</v>
      </c>
      <c r="L60" s="61">
        <f t="shared" si="20"/>
        <v>0</v>
      </c>
      <c r="M60" s="61">
        <f t="shared" si="9"/>
        <v>0</v>
      </c>
      <c r="N60" s="61">
        <f t="shared" si="14"/>
        <v>0.61468977294585025</v>
      </c>
      <c r="O60" s="61">
        <f t="shared" si="21"/>
        <v>0</v>
      </c>
      <c r="P60" s="79">
        <f t="shared" si="1"/>
        <v>0.23538666057910224</v>
      </c>
      <c r="Q60" s="79">
        <f t="shared" si="2"/>
        <v>0.51727194892746509</v>
      </c>
      <c r="R60" s="95">
        <f t="shared" si="11"/>
        <v>0</v>
      </c>
      <c r="S60" s="95">
        <f t="shared" si="15"/>
        <v>0</v>
      </c>
      <c r="T60" s="62">
        <f t="shared" si="3"/>
        <v>0.14468977294585028</v>
      </c>
      <c r="U60" s="61">
        <f t="shared" si="19"/>
        <v>0</v>
      </c>
    </row>
    <row r="61" spans="1:21" x14ac:dyDescent="0.35">
      <c r="A61" s="1">
        <f t="shared" si="17"/>
        <v>46236</v>
      </c>
      <c r="B61" s="93" t="s">
        <v>205</v>
      </c>
      <c r="C61" s="11">
        <v>0</v>
      </c>
      <c r="F61" s="11">
        <f t="shared" si="6"/>
        <v>3617280</v>
      </c>
      <c r="G61" s="11">
        <f t="shared" si="25"/>
        <v>3892830</v>
      </c>
      <c r="H61" s="11">
        <f t="shared" si="7"/>
        <v>-275550</v>
      </c>
      <c r="I61" s="61">
        <f>$I$60</f>
        <v>0.29672799610836931</v>
      </c>
      <c r="J61" s="61">
        <f t="shared" si="8"/>
        <v>0</v>
      </c>
      <c r="K61" s="94">
        <f t="shared" si="24"/>
        <v>0.47</v>
      </c>
      <c r="L61" s="61">
        <f t="shared" si="20"/>
        <v>0</v>
      </c>
      <c r="M61" s="61">
        <f t="shared" si="9"/>
        <v>0</v>
      </c>
      <c r="N61" s="61">
        <f t="shared" si="14"/>
        <v>0.61468977294585025</v>
      </c>
      <c r="O61" s="61">
        <f t="shared" si="21"/>
        <v>0</v>
      </c>
      <c r="P61" s="79">
        <f t="shared" si="1"/>
        <v>0.23538666057910224</v>
      </c>
      <c r="Q61" s="79">
        <f t="shared" si="2"/>
        <v>0.51727194892746509</v>
      </c>
      <c r="R61" s="95">
        <f t="shared" si="11"/>
        <v>0</v>
      </c>
      <c r="S61" s="95">
        <f t="shared" si="15"/>
        <v>0</v>
      </c>
      <c r="T61" s="62">
        <f t="shared" si="3"/>
        <v>0.14468977294585028</v>
      </c>
      <c r="U61" s="61">
        <f t="shared" si="19"/>
        <v>0</v>
      </c>
    </row>
    <row r="62" spans="1:21" x14ac:dyDescent="0.35">
      <c r="A62" s="1">
        <f t="shared" si="17"/>
        <v>46237</v>
      </c>
      <c r="C62" s="11">
        <f>'[1]Ramp Plan'!W94/15</f>
        <v>115200</v>
      </c>
      <c r="D62" s="11">
        <v>59940</v>
      </c>
      <c r="E62" s="11">
        <v>80000</v>
      </c>
      <c r="F62" s="11">
        <f t="shared" si="6"/>
        <v>3732480</v>
      </c>
      <c r="G62" s="11">
        <f>G61+D62</f>
        <v>3952770</v>
      </c>
      <c r="H62" s="11">
        <f t="shared" si="7"/>
        <v>-220290</v>
      </c>
      <c r="I62" s="61">
        <f t="shared" ref="I62:I90" si="26">$I$60</f>
        <v>0.29672799610836931</v>
      </c>
      <c r="J62" s="61">
        <f t="shared" si="8"/>
        <v>34183.065151684146</v>
      </c>
      <c r="K62" s="94">
        <f t="shared" si="24"/>
        <v>0.47</v>
      </c>
      <c r="L62" s="61">
        <f>K62*(E62)</f>
        <v>37600</v>
      </c>
      <c r="M62" s="61">
        <f t="shared" si="9"/>
        <v>-3416.9348483158537</v>
      </c>
      <c r="N62" s="61">
        <f t="shared" si="14"/>
        <v>0.61468977294585025</v>
      </c>
      <c r="O62" s="61">
        <f>N62*(E62)</f>
        <v>49175.181835668023</v>
      </c>
      <c r="P62" s="79">
        <f t="shared" si="1"/>
        <v>0.23538666057910224</v>
      </c>
      <c r="Q62" s="79">
        <f t="shared" si="2"/>
        <v>0.51727194892746509</v>
      </c>
      <c r="R62" s="95">
        <f t="shared" si="11"/>
        <v>70812.26184336195</v>
      </c>
      <c r="S62" s="95">
        <f>(E62)*N62</f>
        <v>49175.181835668023</v>
      </c>
      <c r="T62" s="62">
        <f t="shared" si="3"/>
        <v>0.14468977294585028</v>
      </c>
      <c r="U62" s="61">
        <f t="shared" si="19"/>
        <v>20247.88682604229</v>
      </c>
    </row>
    <row r="63" spans="1:21" x14ac:dyDescent="0.35">
      <c r="A63" s="1">
        <f t="shared" si="17"/>
        <v>46238</v>
      </c>
      <c r="C63" s="11">
        <f>C62</f>
        <v>115200</v>
      </c>
      <c r="D63" s="11">
        <v>78780</v>
      </c>
      <c r="E63" s="11">
        <f>E62</f>
        <v>80000</v>
      </c>
      <c r="F63" s="11">
        <f t="shared" si="6"/>
        <v>3847680</v>
      </c>
      <c r="G63" s="11">
        <f t="shared" si="25"/>
        <v>4031550</v>
      </c>
      <c r="H63" s="11">
        <f t="shared" si="7"/>
        <v>-183870</v>
      </c>
      <c r="I63" s="61">
        <f t="shared" si="26"/>
        <v>0.29672799610836931</v>
      </c>
      <c r="J63" s="61">
        <f t="shared" si="8"/>
        <v>34183.065151684146</v>
      </c>
      <c r="K63" s="94">
        <f t="shared" si="24"/>
        <v>0.47</v>
      </c>
      <c r="L63" s="61">
        <f t="shared" si="20"/>
        <v>74626.599999999991</v>
      </c>
      <c r="M63" s="61">
        <f t="shared" si="9"/>
        <v>-40443.534848315845</v>
      </c>
      <c r="N63" s="61">
        <f t="shared" si="14"/>
        <v>0.61468977294585025</v>
      </c>
      <c r="O63" s="61">
        <f t="shared" si="21"/>
        <v>97600.442148342103</v>
      </c>
      <c r="P63" s="79">
        <f t="shared" si="1"/>
        <v>0.23538666057910224</v>
      </c>
      <c r="Q63" s="79">
        <f t="shared" si="2"/>
        <v>0.51727194892746509</v>
      </c>
      <c r="R63" s="95">
        <f t="shared" si="11"/>
        <v>70812.26184336195</v>
      </c>
      <c r="S63" s="95">
        <f t="shared" si="15"/>
        <v>97600.442148342103</v>
      </c>
      <c r="T63" s="62">
        <f t="shared" si="3"/>
        <v>0.14468977294585028</v>
      </c>
      <c r="U63" s="61">
        <f t="shared" si="19"/>
        <v>22973.842148342108</v>
      </c>
    </row>
    <row r="64" spans="1:21" x14ac:dyDescent="0.35">
      <c r="A64" s="1">
        <f t="shared" si="17"/>
        <v>46239</v>
      </c>
      <c r="C64" s="11">
        <f>C63</f>
        <v>115200</v>
      </c>
      <c r="D64" s="11">
        <v>52920</v>
      </c>
      <c r="E64" s="11">
        <f>E63</f>
        <v>80000</v>
      </c>
      <c r="F64" s="11">
        <f t="shared" si="6"/>
        <v>3962880</v>
      </c>
      <c r="G64" s="11">
        <f t="shared" si="25"/>
        <v>4084470</v>
      </c>
      <c r="H64" s="11">
        <f t="shared" si="7"/>
        <v>-121590</v>
      </c>
      <c r="I64" s="61">
        <f t="shared" si="26"/>
        <v>0.29672799610836931</v>
      </c>
      <c r="J64" s="61">
        <f t="shared" si="8"/>
        <v>34183.065151684146</v>
      </c>
      <c r="K64" s="94">
        <f t="shared" si="24"/>
        <v>0.47</v>
      </c>
      <c r="L64" s="61">
        <f t="shared" si="20"/>
        <v>62472.399999999994</v>
      </c>
      <c r="M64" s="61">
        <f t="shared" si="9"/>
        <v>-28289.334848315848</v>
      </c>
      <c r="N64" s="61">
        <f t="shared" si="14"/>
        <v>0.61468977294585025</v>
      </c>
      <c r="O64" s="61">
        <f t="shared" si="21"/>
        <v>81704.564619962417</v>
      </c>
      <c r="P64" s="79">
        <f t="shared" si="1"/>
        <v>0.23538666057910224</v>
      </c>
      <c r="Q64" s="79">
        <f t="shared" si="2"/>
        <v>0.51727194892746509</v>
      </c>
      <c r="R64" s="95">
        <f t="shared" si="11"/>
        <v>70812.26184336195</v>
      </c>
      <c r="S64" s="95">
        <f t="shared" si="15"/>
        <v>81704.564619962417</v>
      </c>
      <c r="T64" s="62">
        <f t="shared" si="3"/>
        <v>0.14468977294585028</v>
      </c>
      <c r="U64" s="61">
        <f t="shared" si="19"/>
        <v>19232.164619962419</v>
      </c>
    </row>
    <row r="65" spans="1:21" x14ac:dyDescent="0.35">
      <c r="A65" s="1">
        <f t="shared" si="17"/>
        <v>46240</v>
      </c>
      <c r="C65" s="11">
        <f>C64</f>
        <v>115200</v>
      </c>
      <c r="D65" s="11">
        <v>43560</v>
      </c>
      <c r="E65" s="11">
        <f>E64</f>
        <v>80000</v>
      </c>
      <c r="F65" s="11">
        <f t="shared" si="6"/>
        <v>4078080</v>
      </c>
      <c r="G65" s="11">
        <f t="shared" si="25"/>
        <v>4128030</v>
      </c>
      <c r="H65" s="11">
        <f t="shared" si="7"/>
        <v>-49950</v>
      </c>
      <c r="I65" s="61">
        <f t="shared" si="26"/>
        <v>0.29672799610836931</v>
      </c>
      <c r="J65" s="61">
        <f t="shared" si="8"/>
        <v>34183.065151684146</v>
      </c>
      <c r="K65" s="94">
        <f t="shared" si="24"/>
        <v>0.47</v>
      </c>
      <c r="L65" s="61">
        <f t="shared" si="20"/>
        <v>58073.2</v>
      </c>
      <c r="M65" s="61">
        <f t="shared" si="9"/>
        <v>-23890.134848315851</v>
      </c>
      <c r="N65" s="61">
        <f t="shared" si="14"/>
        <v>0.61468977294585025</v>
      </c>
      <c r="O65" s="61">
        <f t="shared" si="21"/>
        <v>75951.068345189255</v>
      </c>
      <c r="P65" s="79">
        <f t="shared" si="1"/>
        <v>0.23538666057910224</v>
      </c>
      <c r="Q65" s="79">
        <f t="shared" si="2"/>
        <v>0.51727194892746509</v>
      </c>
      <c r="R65" s="95">
        <f t="shared" si="11"/>
        <v>70812.26184336195</v>
      </c>
      <c r="S65" s="95">
        <f t="shared" si="15"/>
        <v>75951.068345189255</v>
      </c>
      <c r="T65" s="62">
        <f t="shared" si="3"/>
        <v>0.14468977294585028</v>
      </c>
      <c r="U65" s="61">
        <f t="shared" si="19"/>
        <v>17877.868345189261</v>
      </c>
    </row>
    <row r="66" spans="1:21" x14ac:dyDescent="0.35">
      <c r="A66" s="1">
        <f t="shared" si="17"/>
        <v>46241</v>
      </c>
      <c r="C66" s="11">
        <v>0</v>
      </c>
      <c r="E66" s="11">
        <v>0</v>
      </c>
      <c r="F66" s="11">
        <f t="shared" si="6"/>
        <v>4078080</v>
      </c>
      <c r="G66" s="11">
        <f t="shared" si="25"/>
        <v>4128030</v>
      </c>
      <c r="H66" s="11">
        <f t="shared" si="7"/>
        <v>-49950</v>
      </c>
      <c r="I66" s="61">
        <f t="shared" si="26"/>
        <v>0.29672799610836931</v>
      </c>
      <c r="J66" s="61">
        <f t="shared" si="8"/>
        <v>0</v>
      </c>
      <c r="K66" s="94">
        <f t="shared" si="24"/>
        <v>0.47</v>
      </c>
      <c r="L66" s="61">
        <f t="shared" si="20"/>
        <v>0</v>
      </c>
      <c r="M66" s="61">
        <f t="shared" si="9"/>
        <v>0</v>
      </c>
      <c r="N66" s="61">
        <f t="shared" si="14"/>
        <v>0.61468977294585025</v>
      </c>
      <c r="O66" s="61">
        <f t="shared" si="21"/>
        <v>0</v>
      </c>
      <c r="P66" s="79">
        <f t="shared" si="1"/>
        <v>0.23538666057910224</v>
      </c>
      <c r="Q66" s="79">
        <f t="shared" si="2"/>
        <v>0.51727194892746509</v>
      </c>
      <c r="R66" s="95">
        <f t="shared" si="11"/>
        <v>0</v>
      </c>
      <c r="S66" s="95">
        <f t="shared" si="15"/>
        <v>0</v>
      </c>
      <c r="T66" s="62">
        <f t="shared" si="3"/>
        <v>0.14468977294585028</v>
      </c>
      <c r="U66" s="61">
        <f t="shared" si="19"/>
        <v>0</v>
      </c>
    </row>
    <row r="67" spans="1:21" x14ac:dyDescent="0.35">
      <c r="A67" s="1">
        <f t="shared" si="17"/>
        <v>46242</v>
      </c>
      <c r="C67" s="11">
        <f>B67</f>
        <v>0</v>
      </c>
      <c r="F67" s="11">
        <f t="shared" si="6"/>
        <v>4078080</v>
      </c>
      <c r="G67" s="11">
        <f t="shared" si="25"/>
        <v>4128030</v>
      </c>
      <c r="H67" s="11">
        <f t="shared" si="7"/>
        <v>-49950</v>
      </c>
      <c r="I67" s="61">
        <f t="shared" si="26"/>
        <v>0.29672799610836931</v>
      </c>
      <c r="J67" s="61">
        <f t="shared" si="8"/>
        <v>0</v>
      </c>
      <c r="K67" s="94">
        <f t="shared" si="24"/>
        <v>0.47</v>
      </c>
      <c r="L67" s="61">
        <f t="shared" si="20"/>
        <v>0</v>
      </c>
      <c r="M67" s="61">
        <f t="shared" si="9"/>
        <v>0</v>
      </c>
      <c r="N67" s="61">
        <f t="shared" si="14"/>
        <v>0.61468977294585025</v>
      </c>
      <c r="O67" s="61">
        <f t="shared" si="21"/>
        <v>0</v>
      </c>
      <c r="P67" s="79">
        <f t="shared" ref="P67:P130" si="27">(N67-K67)/N67</f>
        <v>0.23538666057910224</v>
      </c>
      <c r="Q67" s="79">
        <f t="shared" ref="Q67:Q130" si="28">(N67-I67)/N67</f>
        <v>0.51727194892746509</v>
      </c>
      <c r="R67" s="95">
        <f t="shared" si="11"/>
        <v>0</v>
      </c>
      <c r="S67" s="95">
        <f t="shared" si="15"/>
        <v>0</v>
      </c>
      <c r="T67" s="62">
        <f t="shared" ref="T67:T130" si="29">N67-K67</f>
        <v>0.14468977294585028</v>
      </c>
      <c r="U67" s="61">
        <f t="shared" si="19"/>
        <v>0</v>
      </c>
    </row>
    <row r="68" spans="1:21" x14ac:dyDescent="0.35">
      <c r="A68" s="1">
        <f t="shared" si="17"/>
        <v>46243</v>
      </c>
      <c r="B68" s="93" t="s">
        <v>205</v>
      </c>
      <c r="C68" s="11">
        <v>0</v>
      </c>
      <c r="F68" s="11">
        <f t="shared" ref="F68:F131" si="30">C68+F67</f>
        <v>4078080</v>
      </c>
      <c r="G68" s="11">
        <f t="shared" si="25"/>
        <v>4128030</v>
      </c>
      <c r="H68" s="11">
        <f t="shared" ref="H68:H131" si="31">F68-G68</f>
        <v>-49950</v>
      </c>
      <c r="I68" s="61">
        <f t="shared" si="26"/>
        <v>0.29672799610836931</v>
      </c>
      <c r="J68" s="61">
        <f t="shared" ref="J68:J131" si="32">I68*C68</f>
        <v>0</v>
      </c>
      <c r="K68" s="94">
        <f t="shared" si="24"/>
        <v>0.47</v>
      </c>
      <c r="L68" s="61">
        <f t="shared" si="20"/>
        <v>0</v>
      </c>
      <c r="M68" s="61">
        <f t="shared" ref="M68:M131" si="33">J68-L68</f>
        <v>0</v>
      </c>
      <c r="N68" s="61">
        <f t="shared" si="14"/>
        <v>0.61468977294585025</v>
      </c>
      <c r="O68" s="61">
        <f t="shared" si="21"/>
        <v>0</v>
      </c>
      <c r="P68" s="79">
        <f t="shared" si="27"/>
        <v>0.23538666057910224</v>
      </c>
      <c r="Q68" s="79">
        <f t="shared" si="28"/>
        <v>0.51727194892746509</v>
      </c>
      <c r="R68" s="95">
        <f t="shared" ref="R68:R131" si="34">C68*N68</f>
        <v>0</v>
      </c>
      <c r="S68" s="95">
        <f t="shared" si="15"/>
        <v>0</v>
      </c>
      <c r="T68" s="62">
        <f t="shared" si="29"/>
        <v>0.14468977294585028</v>
      </c>
      <c r="U68" s="61">
        <f t="shared" si="19"/>
        <v>0</v>
      </c>
    </row>
    <row r="69" spans="1:21" x14ac:dyDescent="0.35">
      <c r="A69" s="1">
        <f t="shared" si="17"/>
        <v>46244</v>
      </c>
      <c r="C69" s="11">
        <f>C65</f>
        <v>115200</v>
      </c>
      <c r="D69" s="11">
        <v>63780</v>
      </c>
      <c r="E69" s="11">
        <v>80000</v>
      </c>
      <c r="F69" s="11">
        <f t="shared" si="30"/>
        <v>4193280</v>
      </c>
      <c r="G69" s="11">
        <f t="shared" si="25"/>
        <v>4191810</v>
      </c>
      <c r="H69" s="11">
        <f t="shared" si="31"/>
        <v>1470</v>
      </c>
      <c r="I69" s="61">
        <f t="shared" si="26"/>
        <v>0.29672799610836931</v>
      </c>
      <c r="J69" s="61">
        <f t="shared" si="32"/>
        <v>34183.065151684146</v>
      </c>
      <c r="K69" s="94">
        <f t="shared" si="24"/>
        <v>0.47</v>
      </c>
      <c r="L69" s="61">
        <f t="shared" si="20"/>
        <v>67576.599999999991</v>
      </c>
      <c r="M69" s="61">
        <f t="shared" si="33"/>
        <v>-33393.534848315845</v>
      </c>
      <c r="N69" s="61">
        <f t="shared" ref="N69:N132" si="35">N68</f>
        <v>0.61468977294585025</v>
      </c>
      <c r="O69" s="61">
        <f t="shared" si="21"/>
        <v>88380.095554154352</v>
      </c>
      <c r="P69" s="79">
        <f t="shared" si="27"/>
        <v>0.23538666057910224</v>
      </c>
      <c r="Q69" s="79">
        <f t="shared" si="28"/>
        <v>0.51727194892746509</v>
      </c>
      <c r="R69" s="95">
        <f t="shared" si="34"/>
        <v>70812.26184336195</v>
      </c>
      <c r="S69" s="95">
        <f t="shared" ref="S69:S132" si="36">(D69+E69)*N69</f>
        <v>88380.095554154352</v>
      </c>
      <c r="T69" s="62">
        <f t="shared" si="29"/>
        <v>0.14468977294585028</v>
      </c>
      <c r="U69" s="61">
        <f t="shared" si="19"/>
        <v>20803.495554154353</v>
      </c>
    </row>
    <row r="70" spans="1:21" x14ac:dyDescent="0.35">
      <c r="A70" s="1">
        <f t="shared" si="17"/>
        <v>46245</v>
      </c>
      <c r="C70" s="11">
        <f>C69</f>
        <v>115200</v>
      </c>
      <c r="E70" s="11">
        <v>80000</v>
      </c>
      <c r="F70" s="11">
        <f t="shared" si="30"/>
        <v>4308480</v>
      </c>
      <c r="G70" s="11">
        <f t="shared" si="22"/>
        <v>4271810</v>
      </c>
      <c r="H70" s="11">
        <f t="shared" si="31"/>
        <v>36670</v>
      </c>
      <c r="I70" s="61">
        <f t="shared" si="26"/>
        <v>0.29672799610836931</v>
      </c>
      <c r="J70" s="61">
        <f t="shared" si="32"/>
        <v>34183.065151684146</v>
      </c>
      <c r="K70" s="94">
        <f t="shared" si="24"/>
        <v>0.47</v>
      </c>
      <c r="L70" s="61">
        <f t="shared" si="20"/>
        <v>37600</v>
      </c>
      <c r="M70" s="61">
        <f t="shared" si="33"/>
        <v>-3416.9348483158537</v>
      </c>
      <c r="N70" s="61">
        <f t="shared" si="35"/>
        <v>0.61468977294585025</v>
      </c>
      <c r="O70" s="61">
        <f t="shared" si="21"/>
        <v>49175.181835668023</v>
      </c>
      <c r="P70" s="79">
        <f t="shared" si="27"/>
        <v>0.23538666057910224</v>
      </c>
      <c r="Q70" s="79">
        <f t="shared" si="28"/>
        <v>0.51727194892746509</v>
      </c>
      <c r="R70" s="95">
        <f t="shared" si="34"/>
        <v>70812.26184336195</v>
      </c>
      <c r="S70" s="95">
        <f t="shared" si="36"/>
        <v>49175.181835668023</v>
      </c>
      <c r="T70" s="62">
        <f t="shared" si="29"/>
        <v>0.14468977294585028</v>
      </c>
      <c r="U70" s="61">
        <f t="shared" si="19"/>
        <v>11575.181835668023</v>
      </c>
    </row>
    <row r="71" spans="1:21" x14ac:dyDescent="0.35">
      <c r="A71" s="1">
        <f t="shared" si="17"/>
        <v>46246</v>
      </c>
      <c r="C71" s="11">
        <f>C70</f>
        <v>115200</v>
      </c>
      <c r="E71" s="11">
        <f>E70</f>
        <v>80000</v>
      </c>
      <c r="F71" s="11">
        <f t="shared" si="30"/>
        <v>4423680</v>
      </c>
      <c r="G71" s="11">
        <f t="shared" si="22"/>
        <v>4351810</v>
      </c>
      <c r="H71" s="11">
        <f t="shared" si="31"/>
        <v>71870</v>
      </c>
      <c r="I71" s="61">
        <f t="shared" si="26"/>
        <v>0.29672799610836931</v>
      </c>
      <c r="J71" s="61">
        <f t="shared" si="32"/>
        <v>34183.065151684146</v>
      </c>
      <c r="K71" s="94">
        <f t="shared" si="24"/>
        <v>0.47</v>
      </c>
      <c r="L71" s="61">
        <f t="shared" si="20"/>
        <v>37600</v>
      </c>
      <c r="M71" s="61">
        <f t="shared" si="33"/>
        <v>-3416.9348483158537</v>
      </c>
      <c r="N71" s="61">
        <f t="shared" si="35"/>
        <v>0.61468977294585025</v>
      </c>
      <c r="O71" s="61">
        <f t="shared" si="21"/>
        <v>49175.181835668023</v>
      </c>
      <c r="P71" s="79">
        <f t="shared" si="27"/>
        <v>0.23538666057910224</v>
      </c>
      <c r="Q71" s="79">
        <f t="shared" si="28"/>
        <v>0.51727194892746509</v>
      </c>
      <c r="R71" s="95">
        <f t="shared" si="34"/>
        <v>70812.26184336195</v>
      </c>
      <c r="S71" s="95">
        <f t="shared" si="36"/>
        <v>49175.181835668023</v>
      </c>
      <c r="T71" s="62">
        <f t="shared" si="29"/>
        <v>0.14468977294585028</v>
      </c>
      <c r="U71" s="61">
        <f t="shared" si="19"/>
        <v>11575.181835668023</v>
      </c>
    </row>
    <row r="72" spans="1:21" x14ac:dyDescent="0.35">
      <c r="A72" s="1">
        <f t="shared" si="17"/>
        <v>46247</v>
      </c>
      <c r="C72" s="11">
        <f>C71</f>
        <v>115200</v>
      </c>
      <c r="E72" s="11">
        <f>E71</f>
        <v>80000</v>
      </c>
      <c r="F72" s="11">
        <f t="shared" si="30"/>
        <v>4538880</v>
      </c>
      <c r="G72" s="11">
        <f t="shared" si="22"/>
        <v>4431810</v>
      </c>
      <c r="H72" s="11">
        <f t="shared" si="31"/>
        <v>107070</v>
      </c>
      <c r="I72" s="61">
        <f t="shared" si="26"/>
        <v>0.29672799610836931</v>
      </c>
      <c r="J72" s="61">
        <f t="shared" si="32"/>
        <v>34183.065151684146</v>
      </c>
      <c r="K72" s="94">
        <f t="shared" si="24"/>
        <v>0.47</v>
      </c>
      <c r="L72" s="61">
        <f t="shared" si="20"/>
        <v>37600</v>
      </c>
      <c r="M72" s="61">
        <f t="shared" si="33"/>
        <v>-3416.9348483158537</v>
      </c>
      <c r="N72" s="61">
        <f t="shared" si="35"/>
        <v>0.61468977294585025</v>
      </c>
      <c r="O72" s="61">
        <f t="shared" si="21"/>
        <v>49175.181835668023</v>
      </c>
      <c r="P72" s="79">
        <f t="shared" si="27"/>
        <v>0.23538666057910224</v>
      </c>
      <c r="Q72" s="79">
        <f t="shared" si="28"/>
        <v>0.51727194892746509</v>
      </c>
      <c r="R72" s="95">
        <f t="shared" si="34"/>
        <v>70812.26184336195</v>
      </c>
      <c r="S72" s="95">
        <f t="shared" si="36"/>
        <v>49175.181835668023</v>
      </c>
      <c r="T72" s="62">
        <f t="shared" si="29"/>
        <v>0.14468977294585028</v>
      </c>
      <c r="U72" s="61">
        <f t="shared" si="19"/>
        <v>11575.181835668023</v>
      </c>
    </row>
    <row r="73" spans="1:21" x14ac:dyDescent="0.35">
      <c r="A73" s="1">
        <f t="shared" si="17"/>
        <v>46248</v>
      </c>
      <c r="C73" s="11">
        <v>0</v>
      </c>
      <c r="F73" s="11">
        <f t="shared" si="30"/>
        <v>4538880</v>
      </c>
      <c r="G73" s="11">
        <f t="shared" si="22"/>
        <v>4431810</v>
      </c>
      <c r="H73" s="11">
        <f t="shared" si="31"/>
        <v>107070</v>
      </c>
      <c r="I73" s="61">
        <f t="shared" si="26"/>
        <v>0.29672799610836931</v>
      </c>
      <c r="J73" s="61">
        <f t="shared" si="32"/>
        <v>0</v>
      </c>
      <c r="K73" s="94">
        <f t="shared" si="24"/>
        <v>0.47</v>
      </c>
      <c r="L73" s="61">
        <f t="shared" si="20"/>
        <v>0</v>
      </c>
      <c r="M73" s="61">
        <f t="shared" si="33"/>
        <v>0</v>
      </c>
      <c r="N73" s="61">
        <f t="shared" si="35"/>
        <v>0.61468977294585025</v>
      </c>
      <c r="O73" s="61">
        <f t="shared" si="21"/>
        <v>0</v>
      </c>
      <c r="P73" s="79">
        <f t="shared" si="27"/>
        <v>0.23538666057910224</v>
      </c>
      <c r="Q73" s="79">
        <f t="shared" si="28"/>
        <v>0.51727194892746509</v>
      </c>
      <c r="R73" s="95">
        <f t="shared" si="34"/>
        <v>0</v>
      </c>
      <c r="S73" s="95">
        <f t="shared" si="36"/>
        <v>0</v>
      </c>
      <c r="T73" s="62">
        <f t="shared" si="29"/>
        <v>0.14468977294585028</v>
      </c>
      <c r="U73" s="61">
        <f t="shared" si="19"/>
        <v>0</v>
      </c>
    </row>
    <row r="74" spans="1:21" x14ac:dyDescent="0.35">
      <c r="A74" s="1">
        <f t="shared" si="17"/>
        <v>46249</v>
      </c>
      <c r="C74" s="11">
        <f>B74</f>
        <v>0</v>
      </c>
      <c r="F74" s="11">
        <f t="shared" si="30"/>
        <v>4538880</v>
      </c>
      <c r="G74" s="11">
        <f t="shared" si="22"/>
        <v>4431810</v>
      </c>
      <c r="H74" s="11">
        <f t="shared" si="31"/>
        <v>107070</v>
      </c>
      <c r="I74" s="61">
        <f t="shared" si="26"/>
        <v>0.29672799610836931</v>
      </c>
      <c r="J74" s="61">
        <f t="shared" si="32"/>
        <v>0</v>
      </c>
      <c r="K74" s="94">
        <f t="shared" si="24"/>
        <v>0.47</v>
      </c>
      <c r="L74" s="61">
        <f t="shared" si="20"/>
        <v>0</v>
      </c>
      <c r="M74" s="61">
        <f t="shared" si="33"/>
        <v>0</v>
      </c>
      <c r="N74" s="61">
        <f t="shared" si="35"/>
        <v>0.61468977294585025</v>
      </c>
      <c r="O74" s="61">
        <f t="shared" si="21"/>
        <v>0</v>
      </c>
      <c r="P74" s="79">
        <f t="shared" si="27"/>
        <v>0.23538666057910224</v>
      </c>
      <c r="Q74" s="79">
        <f t="shared" si="28"/>
        <v>0.51727194892746509</v>
      </c>
      <c r="R74" s="95">
        <f t="shared" si="34"/>
        <v>0</v>
      </c>
      <c r="S74" s="95">
        <f t="shared" si="36"/>
        <v>0</v>
      </c>
      <c r="T74" s="62">
        <f t="shared" si="29"/>
        <v>0.14468977294585028</v>
      </c>
      <c r="U74" s="61">
        <f t="shared" si="19"/>
        <v>0</v>
      </c>
    </row>
    <row r="75" spans="1:21" x14ac:dyDescent="0.35">
      <c r="A75" s="1">
        <f t="shared" si="17"/>
        <v>46250</v>
      </c>
      <c r="B75" s="93" t="s">
        <v>205</v>
      </c>
      <c r="C75" s="11">
        <v>0</v>
      </c>
      <c r="F75" s="11">
        <f t="shared" si="30"/>
        <v>4538880</v>
      </c>
      <c r="G75" s="11">
        <f t="shared" si="22"/>
        <v>4431810</v>
      </c>
      <c r="H75" s="11">
        <f t="shared" si="31"/>
        <v>107070</v>
      </c>
      <c r="I75" s="61">
        <f t="shared" si="26"/>
        <v>0.29672799610836931</v>
      </c>
      <c r="J75" s="61">
        <f t="shared" si="32"/>
        <v>0</v>
      </c>
      <c r="K75" s="94">
        <f t="shared" si="24"/>
        <v>0.47</v>
      </c>
      <c r="L75" s="61">
        <f t="shared" si="20"/>
        <v>0</v>
      </c>
      <c r="M75" s="61">
        <f t="shared" si="33"/>
        <v>0</v>
      </c>
      <c r="N75" s="61">
        <f t="shared" si="35"/>
        <v>0.61468977294585025</v>
      </c>
      <c r="O75" s="61">
        <f t="shared" si="21"/>
        <v>0</v>
      </c>
      <c r="P75" s="79">
        <f t="shared" si="27"/>
        <v>0.23538666057910224</v>
      </c>
      <c r="Q75" s="79">
        <f t="shared" si="28"/>
        <v>0.51727194892746509</v>
      </c>
      <c r="R75" s="95">
        <f t="shared" si="34"/>
        <v>0</v>
      </c>
      <c r="S75" s="95">
        <f t="shared" si="36"/>
        <v>0</v>
      </c>
      <c r="T75" s="62">
        <f t="shared" si="29"/>
        <v>0.14468977294585028</v>
      </c>
      <c r="U75" s="61">
        <f t="shared" si="19"/>
        <v>0</v>
      </c>
    </row>
    <row r="76" spans="1:21" x14ac:dyDescent="0.35">
      <c r="A76" s="1">
        <f t="shared" si="17"/>
        <v>46251</v>
      </c>
      <c r="C76" s="11">
        <f>C72</f>
        <v>115200</v>
      </c>
      <c r="E76" s="11">
        <v>80000</v>
      </c>
      <c r="F76" s="11">
        <f t="shared" si="30"/>
        <v>4654080</v>
      </c>
      <c r="G76" s="11">
        <f t="shared" si="22"/>
        <v>4511810</v>
      </c>
      <c r="H76" s="11">
        <f t="shared" si="31"/>
        <v>142270</v>
      </c>
      <c r="I76" s="61">
        <f t="shared" si="26"/>
        <v>0.29672799610836931</v>
      </c>
      <c r="J76" s="61">
        <f t="shared" si="32"/>
        <v>34183.065151684146</v>
      </c>
      <c r="K76" s="94">
        <f t="shared" si="24"/>
        <v>0.47</v>
      </c>
      <c r="L76" s="61">
        <f t="shared" si="20"/>
        <v>37600</v>
      </c>
      <c r="M76" s="61">
        <f t="shared" si="33"/>
        <v>-3416.9348483158537</v>
      </c>
      <c r="N76" s="61">
        <f t="shared" si="35"/>
        <v>0.61468977294585025</v>
      </c>
      <c r="O76" s="61">
        <f t="shared" si="21"/>
        <v>49175.181835668023</v>
      </c>
      <c r="P76" s="79">
        <f t="shared" si="27"/>
        <v>0.23538666057910224</v>
      </c>
      <c r="Q76" s="79">
        <f t="shared" si="28"/>
        <v>0.51727194892746509</v>
      </c>
      <c r="R76" s="95">
        <f t="shared" si="34"/>
        <v>70812.26184336195</v>
      </c>
      <c r="S76" s="95">
        <f t="shared" si="36"/>
        <v>49175.181835668023</v>
      </c>
      <c r="T76" s="62">
        <f t="shared" si="29"/>
        <v>0.14468977294585028</v>
      </c>
      <c r="U76" s="61">
        <f t="shared" si="19"/>
        <v>11575.181835668023</v>
      </c>
    </row>
    <row r="77" spans="1:21" x14ac:dyDescent="0.35">
      <c r="A77" s="1">
        <f t="shared" si="17"/>
        <v>46252</v>
      </c>
      <c r="C77" s="11">
        <f>C76</f>
        <v>115200</v>
      </c>
      <c r="E77" s="11">
        <v>80000</v>
      </c>
      <c r="F77" s="11">
        <f t="shared" si="30"/>
        <v>4769280</v>
      </c>
      <c r="G77" s="11">
        <f t="shared" si="22"/>
        <v>4591810</v>
      </c>
      <c r="H77" s="11">
        <f t="shared" si="31"/>
        <v>177470</v>
      </c>
      <c r="I77" s="61">
        <f t="shared" si="26"/>
        <v>0.29672799610836931</v>
      </c>
      <c r="J77" s="61">
        <f t="shared" si="32"/>
        <v>34183.065151684146</v>
      </c>
      <c r="K77" s="94">
        <f t="shared" si="24"/>
        <v>0.47</v>
      </c>
      <c r="L77" s="61">
        <f t="shared" si="20"/>
        <v>37600</v>
      </c>
      <c r="M77" s="61">
        <f t="shared" si="33"/>
        <v>-3416.9348483158537</v>
      </c>
      <c r="N77" s="61">
        <f t="shared" si="35"/>
        <v>0.61468977294585025</v>
      </c>
      <c r="O77" s="61">
        <f t="shared" si="21"/>
        <v>49175.181835668023</v>
      </c>
      <c r="P77" s="79">
        <f t="shared" si="27"/>
        <v>0.23538666057910224</v>
      </c>
      <c r="Q77" s="79">
        <f t="shared" si="28"/>
        <v>0.51727194892746509</v>
      </c>
      <c r="R77" s="95">
        <f t="shared" si="34"/>
        <v>70812.26184336195</v>
      </c>
      <c r="S77" s="95">
        <f t="shared" si="36"/>
        <v>49175.181835668023</v>
      </c>
      <c r="T77" s="62">
        <f t="shared" si="29"/>
        <v>0.14468977294585028</v>
      </c>
      <c r="U77" s="61">
        <f t="shared" si="19"/>
        <v>11575.181835668023</v>
      </c>
    </row>
    <row r="78" spans="1:21" x14ac:dyDescent="0.35">
      <c r="A78" s="1">
        <f t="shared" si="17"/>
        <v>46253</v>
      </c>
      <c r="B78" s="93" t="s">
        <v>205</v>
      </c>
      <c r="C78" s="11">
        <v>0</v>
      </c>
      <c r="D78" s="126" t="s">
        <v>209</v>
      </c>
      <c r="E78" s="11">
        <v>0</v>
      </c>
      <c r="F78" s="11">
        <f t="shared" si="30"/>
        <v>4769280</v>
      </c>
      <c r="G78" s="11">
        <f>G77+E78</f>
        <v>4591810</v>
      </c>
      <c r="H78" s="11">
        <f t="shared" si="31"/>
        <v>177470</v>
      </c>
      <c r="I78" s="61">
        <f t="shared" si="26"/>
        <v>0.29672799610836931</v>
      </c>
      <c r="J78" s="61">
        <f t="shared" si="32"/>
        <v>0</v>
      </c>
      <c r="K78" s="94">
        <f t="shared" si="24"/>
        <v>0.47</v>
      </c>
      <c r="L78" s="61">
        <f>K78*(E78)</f>
        <v>0</v>
      </c>
      <c r="M78" s="61">
        <f t="shared" si="33"/>
        <v>0</v>
      </c>
      <c r="N78" s="61">
        <f t="shared" si="35"/>
        <v>0.61468977294585025</v>
      </c>
      <c r="O78" s="61">
        <f>N78*(E78)</f>
        <v>0</v>
      </c>
      <c r="P78" s="79">
        <f t="shared" si="27"/>
        <v>0.23538666057910224</v>
      </c>
      <c r="Q78" s="79">
        <f t="shared" si="28"/>
        <v>0.51727194892746509</v>
      </c>
      <c r="R78" s="95">
        <f t="shared" si="34"/>
        <v>0</v>
      </c>
      <c r="S78" s="95">
        <f>(E78)*N78</f>
        <v>0</v>
      </c>
      <c r="T78" s="62">
        <f t="shared" si="29"/>
        <v>0.14468977294585028</v>
      </c>
      <c r="U78" s="61">
        <f>T78*(E78)</f>
        <v>0</v>
      </c>
    </row>
    <row r="79" spans="1:21" x14ac:dyDescent="0.35">
      <c r="A79" s="1">
        <f t="shared" ref="A79:A142" si="37">A78+1</f>
        <v>46254</v>
      </c>
      <c r="B79" s="93" t="s">
        <v>205</v>
      </c>
      <c r="C79" s="11">
        <v>0</v>
      </c>
      <c r="D79" s="126"/>
      <c r="E79" s="11">
        <v>0</v>
      </c>
      <c r="F79" s="11">
        <f t="shared" si="30"/>
        <v>4769280</v>
      </c>
      <c r="G79" s="11">
        <f t="shared" si="22"/>
        <v>4591810</v>
      </c>
      <c r="H79" s="11">
        <f t="shared" si="31"/>
        <v>177470</v>
      </c>
      <c r="I79" s="61">
        <f t="shared" si="26"/>
        <v>0.29672799610836931</v>
      </c>
      <c r="J79" s="61">
        <f t="shared" si="32"/>
        <v>0</v>
      </c>
      <c r="K79" s="94">
        <f t="shared" si="24"/>
        <v>0.47</v>
      </c>
      <c r="L79" s="61">
        <f t="shared" si="20"/>
        <v>0</v>
      </c>
      <c r="M79" s="61">
        <f t="shared" si="33"/>
        <v>0</v>
      </c>
      <c r="N79" s="61">
        <f t="shared" si="35"/>
        <v>0.61468977294585025</v>
      </c>
      <c r="O79" s="61">
        <f t="shared" si="21"/>
        <v>0</v>
      </c>
      <c r="P79" s="79">
        <f t="shared" si="27"/>
        <v>0.23538666057910224</v>
      </c>
      <c r="Q79" s="79">
        <f t="shared" si="28"/>
        <v>0.51727194892746509</v>
      </c>
      <c r="R79" s="95">
        <f t="shared" si="34"/>
        <v>0</v>
      </c>
      <c r="S79" s="95">
        <f t="shared" si="36"/>
        <v>0</v>
      </c>
      <c r="T79" s="62">
        <f t="shared" si="29"/>
        <v>0.14468977294585028</v>
      </c>
      <c r="U79" s="61">
        <f t="shared" si="19"/>
        <v>0</v>
      </c>
    </row>
    <row r="80" spans="1:21" x14ac:dyDescent="0.35">
      <c r="A80" s="1">
        <f t="shared" si="37"/>
        <v>46255</v>
      </c>
      <c r="C80" s="11">
        <v>0</v>
      </c>
      <c r="D80" s="126"/>
      <c r="F80" s="11">
        <f t="shared" si="30"/>
        <v>4769280</v>
      </c>
      <c r="G80" s="11">
        <f t="shared" si="22"/>
        <v>4591810</v>
      </c>
      <c r="H80" s="11">
        <f t="shared" si="31"/>
        <v>177470</v>
      </c>
      <c r="I80" s="61">
        <f t="shared" si="26"/>
        <v>0.29672799610836931</v>
      </c>
      <c r="J80" s="61">
        <f t="shared" si="32"/>
        <v>0</v>
      </c>
      <c r="K80" s="94">
        <f t="shared" si="24"/>
        <v>0.47</v>
      </c>
      <c r="L80" s="61">
        <f t="shared" si="20"/>
        <v>0</v>
      </c>
      <c r="M80" s="61">
        <f t="shared" si="33"/>
        <v>0</v>
      </c>
      <c r="N80" s="61">
        <f t="shared" si="35"/>
        <v>0.61468977294585025</v>
      </c>
      <c r="O80" s="61">
        <f t="shared" si="21"/>
        <v>0</v>
      </c>
      <c r="P80" s="79">
        <f t="shared" si="27"/>
        <v>0.23538666057910224</v>
      </c>
      <c r="Q80" s="79">
        <f t="shared" si="28"/>
        <v>0.51727194892746509</v>
      </c>
      <c r="R80" s="95">
        <f t="shared" si="34"/>
        <v>0</v>
      </c>
      <c r="S80" s="95">
        <f t="shared" si="36"/>
        <v>0</v>
      </c>
      <c r="T80" s="62">
        <f t="shared" si="29"/>
        <v>0.14468977294585028</v>
      </c>
      <c r="U80" s="61">
        <f t="shared" si="19"/>
        <v>0</v>
      </c>
    </row>
    <row r="81" spans="1:21" x14ac:dyDescent="0.35">
      <c r="A81" s="1">
        <f t="shared" si="37"/>
        <v>46256</v>
      </c>
      <c r="C81" s="11">
        <f>B81</f>
        <v>0</v>
      </c>
      <c r="D81" s="126"/>
      <c r="F81" s="11">
        <f t="shared" si="30"/>
        <v>4769280</v>
      </c>
      <c r="G81" s="11">
        <f t="shared" si="22"/>
        <v>4591810</v>
      </c>
      <c r="H81" s="11">
        <f t="shared" si="31"/>
        <v>177470</v>
      </c>
      <c r="I81" s="61">
        <f t="shared" si="26"/>
        <v>0.29672799610836931</v>
      </c>
      <c r="J81" s="61">
        <f t="shared" si="32"/>
        <v>0</v>
      </c>
      <c r="K81" s="94">
        <f t="shared" si="24"/>
        <v>0.47</v>
      </c>
      <c r="L81" s="61">
        <f t="shared" si="20"/>
        <v>0</v>
      </c>
      <c r="M81" s="61">
        <f t="shared" si="33"/>
        <v>0</v>
      </c>
      <c r="N81" s="61">
        <f t="shared" si="35"/>
        <v>0.61468977294585025</v>
      </c>
      <c r="O81" s="61">
        <f t="shared" si="21"/>
        <v>0</v>
      </c>
      <c r="P81" s="79">
        <f t="shared" si="27"/>
        <v>0.23538666057910224</v>
      </c>
      <c r="Q81" s="79">
        <f t="shared" si="28"/>
        <v>0.51727194892746509</v>
      </c>
      <c r="R81" s="95">
        <f t="shared" si="34"/>
        <v>0</v>
      </c>
      <c r="S81" s="95">
        <f t="shared" si="36"/>
        <v>0</v>
      </c>
      <c r="T81" s="62">
        <f t="shared" si="29"/>
        <v>0.14468977294585028</v>
      </c>
      <c r="U81" s="61">
        <f t="shared" si="19"/>
        <v>0</v>
      </c>
    </row>
    <row r="82" spans="1:21" x14ac:dyDescent="0.35">
      <c r="A82" s="1">
        <f t="shared" si="37"/>
        <v>46257</v>
      </c>
      <c r="B82" s="93" t="s">
        <v>205</v>
      </c>
      <c r="C82" s="11">
        <v>0</v>
      </c>
      <c r="D82" s="126"/>
      <c r="F82" s="11">
        <f t="shared" si="30"/>
        <v>4769280</v>
      </c>
      <c r="G82" s="11">
        <f t="shared" si="22"/>
        <v>4591810</v>
      </c>
      <c r="H82" s="11">
        <f t="shared" si="31"/>
        <v>177470</v>
      </c>
      <c r="I82" s="61">
        <f t="shared" si="26"/>
        <v>0.29672799610836931</v>
      </c>
      <c r="J82" s="61">
        <f t="shared" si="32"/>
        <v>0</v>
      </c>
      <c r="K82" s="94">
        <f t="shared" si="24"/>
        <v>0.47</v>
      </c>
      <c r="L82" s="61">
        <f t="shared" si="20"/>
        <v>0</v>
      </c>
      <c r="M82" s="61">
        <f t="shared" si="33"/>
        <v>0</v>
      </c>
      <c r="N82" s="61">
        <f t="shared" si="35"/>
        <v>0.61468977294585025</v>
      </c>
      <c r="O82" s="61">
        <f t="shared" si="21"/>
        <v>0</v>
      </c>
      <c r="P82" s="79">
        <f t="shared" si="27"/>
        <v>0.23538666057910224</v>
      </c>
      <c r="Q82" s="79">
        <f t="shared" si="28"/>
        <v>0.51727194892746509</v>
      </c>
      <c r="R82" s="95">
        <f t="shared" si="34"/>
        <v>0</v>
      </c>
      <c r="S82" s="95">
        <f t="shared" si="36"/>
        <v>0</v>
      </c>
      <c r="T82" s="62">
        <f t="shared" si="29"/>
        <v>0.14468977294585028</v>
      </c>
      <c r="U82" s="61">
        <f t="shared" si="19"/>
        <v>0</v>
      </c>
    </row>
    <row r="83" spans="1:21" x14ac:dyDescent="0.35">
      <c r="A83" s="1">
        <f t="shared" si="37"/>
        <v>46258</v>
      </c>
      <c r="C83" s="11">
        <f>C77</f>
        <v>115200</v>
      </c>
      <c r="E83" s="11">
        <v>80000</v>
      </c>
      <c r="F83" s="11">
        <f t="shared" si="30"/>
        <v>4884480</v>
      </c>
      <c r="G83" s="11">
        <f t="shared" si="22"/>
        <v>4671810</v>
      </c>
      <c r="H83" s="11">
        <f t="shared" si="31"/>
        <v>212670</v>
      </c>
      <c r="I83" s="61">
        <f t="shared" si="26"/>
        <v>0.29672799610836931</v>
      </c>
      <c r="J83" s="61">
        <f t="shared" si="32"/>
        <v>34183.065151684146</v>
      </c>
      <c r="K83" s="94">
        <f t="shared" si="24"/>
        <v>0.47</v>
      </c>
      <c r="L83" s="61">
        <f t="shared" si="20"/>
        <v>37600</v>
      </c>
      <c r="M83" s="61">
        <f t="shared" si="33"/>
        <v>-3416.9348483158537</v>
      </c>
      <c r="N83" s="61">
        <f t="shared" si="35"/>
        <v>0.61468977294585025</v>
      </c>
      <c r="O83" s="61">
        <f t="shared" si="21"/>
        <v>49175.181835668023</v>
      </c>
      <c r="P83" s="79">
        <f t="shared" si="27"/>
        <v>0.23538666057910224</v>
      </c>
      <c r="Q83" s="79">
        <f t="shared" si="28"/>
        <v>0.51727194892746509</v>
      </c>
      <c r="R83" s="95">
        <f t="shared" si="34"/>
        <v>70812.26184336195</v>
      </c>
      <c r="S83" s="95">
        <f t="shared" si="36"/>
        <v>49175.181835668023</v>
      </c>
      <c r="T83" s="62">
        <f t="shared" si="29"/>
        <v>0.14468977294585028</v>
      </c>
      <c r="U83" s="61">
        <f t="shared" ref="U83:U146" si="38">T83*(D83+E83)</f>
        <v>11575.181835668023</v>
      </c>
    </row>
    <row r="84" spans="1:21" x14ac:dyDescent="0.35">
      <c r="A84" s="1">
        <f t="shared" si="37"/>
        <v>46259</v>
      </c>
      <c r="C84" s="11">
        <f>C83</f>
        <v>115200</v>
      </c>
      <c r="E84" s="11">
        <f>E83</f>
        <v>80000</v>
      </c>
      <c r="F84" s="11">
        <f t="shared" si="30"/>
        <v>4999680</v>
      </c>
      <c r="G84" s="11">
        <f t="shared" si="22"/>
        <v>4751810</v>
      </c>
      <c r="H84" s="11">
        <f t="shared" si="31"/>
        <v>247870</v>
      </c>
      <c r="I84" s="61">
        <f t="shared" si="26"/>
        <v>0.29672799610836931</v>
      </c>
      <c r="J84" s="61">
        <f t="shared" si="32"/>
        <v>34183.065151684146</v>
      </c>
      <c r="K84" s="94">
        <f t="shared" si="24"/>
        <v>0.47</v>
      </c>
      <c r="L84" s="61">
        <f t="shared" si="20"/>
        <v>37600</v>
      </c>
      <c r="M84" s="61">
        <f t="shared" si="33"/>
        <v>-3416.9348483158537</v>
      </c>
      <c r="N84" s="61">
        <f t="shared" si="35"/>
        <v>0.61468977294585025</v>
      </c>
      <c r="O84" s="61">
        <f t="shared" si="21"/>
        <v>49175.181835668023</v>
      </c>
      <c r="P84" s="79">
        <f t="shared" si="27"/>
        <v>0.23538666057910224</v>
      </c>
      <c r="Q84" s="79">
        <f t="shared" si="28"/>
        <v>0.51727194892746509</v>
      </c>
      <c r="R84" s="95">
        <f t="shared" si="34"/>
        <v>70812.26184336195</v>
      </c>
      <c r="S84" s="95">
        <f t="shared" si="36"/>
        <v>49175.181835668023</v>
      </c>
      <c r="T84" s="62">
        <f t="shared" si="29"/>
        <v>0.14468977294585028</v>
      </c>
      <c r="U84" s="61">
        <f t="shared" si="38"/>
        <v>11575.181835668023</v>
      </c>
    </row>
    <row r="85" spans="1:21" x14ac:dyDescent="0.35">
      <c r="A85" s="1">
        <f t="shared" si="37"/>
        <v>46260</v>
      </c>
      <c r="C85" s="11">
        <f>C84</f>
        <v>115200</v>
      </c>
      <c r="E85" s="11">
        <f>E84</f>
        <v>80000</v>
      </c>
      <c r="F85" s="11">
        <f t="shared" si="30"/>
        <v>5114880</v>
      </c>
      <c r="G85" s="11">
        <f t="shared" si="22"/>
        <v>4831810</v>
      </c>
      <c r="H85" s="11">
        <f t="shared" si="31"/>
        <v>283070</v>
      </c>
      <c r="I85" s="61">
        <f t="shared" si="26"/>
        <v>0.29672799610836931</v>
      </c>
      <c r="J85" s="61">
        <f t="shared" si="32"/>
        <v>34183.065151684146</v>
      </c>
      <c r="K85" s="94">
        <f t="shared" si="24"/>
        <v>0.47</v>
      </c>
      <c r="L85" s="61">
        <f t="shared" ref="L85:L148" si="39">K85*(D85+E85)</f>
        <v>37600</v>
      </c>
      <c r="M85" s="61">
        <f t="shared" si="33"/>
        <v>-3416.9348483158537</v>
      </c>
      <c r="N85" s="61">
        <f t="shared" si="35"/>
        <v>0.61468977294585025</v>
      </c>
      <c r="O85" s="61">
        <f t="shared" ref="O85:O148" si="40">N85*(D85+E85)</f>
        <v>49175.181835668023</v>
      </c>
      <c r="P85" s="79">
        <f t="shared" si="27"/>
        <v>0.23538666057910224</v>
      </c>
      <c r="Q85" s="79">
        <f t="shared" si="28"/>
        <v>0.51727194892746509</v>
      </c>
      <c r="R85" s="95">
        <f t="shared" si="34"/>
        <v>70812.26184336195</v>
      </c>
      <c r="S85" s="95">
        <f t="shared" si="36"/>
        <v>49175.181835668023</v>
      </c>
      <c r="T85" s="62">
        <f t="shared" si="29"/>
        <v>0.14468977294585028</v>
      </c>
      <c r="U85" s="61">
        <f t="shared" si="38"/>
        <v>11575.181835668023</v>
      </c>
    </row>
    <row r="86" spans="1:21" x14ac:dyDescent="0.35">
      <c r="A86" s="1">
        <f t="shared" si="37"/>
        <v>46261</v>
      </c>
      <c r="C86" s="11">
        <f>C85</f>
        <v>115200</v>
      </c>
      <c r="E86" s="11">
        <f>E85</f>
        <v>80000</v>
      </c>
      <c r="F86" s="11">
        <f t="shared" si="30"/>
        <v>5230080</v>
      </c>
      <c r="G86" s="11">
        <f t="shared" si="22"/>
        <v>4911810</v>
      </c>
      <c r="H86" s="11">
        <f t="shared" si="31"/>
        <v>318270</v>
      </c>
      <c r="I86" s="61">
        <f t="shared" si="26"/>
        <v>0.29672799610836931</v>
      </c>
      <c r="J86" s="61">
        <f t="shared" si="32"/>
        <v>34183.065151684146</v>
      </c>
      <c r="K86" s="94">
        <f t="shared" si="24"/>
        <v>0.47</v>
      </c>
      <c r="L86" s="61">
        <f t="shared" si="39"/>
        <v>37600</v>
      </c>
      <c r="M86" s="61">
        <f t="shared" si="33"/>
        <v>-3416.9348483158537</v>
      </c>
      <c r="N86" s="61">
        <f t="shared" si="35"/>
        <v>0.61468977294585025</v>
      </c>
      <c r="O86" s="61">
        <f t="shared" si="40"/>
        <v>49175.181835668023</v>
      </c>
      <c r="P86" s="79">
        <f t="shared" si="27"/>
        <v>0.23538666057910224</v>
      </c>
      <c r="Q86" s="79">
        <f t="shared" si="28"/>
        <v>0.51727194892746509</v>
      </c>
      <c r="R86" s="95">
        <f t="shared" si="34"/>
        <v>70812.26184336195</v>
      </c>
      <c r="S86" s="95">
        <f t="shared" si="36"/>
        <v>49175.181835668023</v>
      </c>
      <c r="T86" s="62">
        <f t="shared" si="29"/>
        <v>0.14468977294585028</v>
      </c>
      <c r="U86" s="61">
        <f t="shared" si="38"/>
        <v>11575.181835668023</v>
      </c>
    </row>
    <row r="87" spans="1:21" x14ac:dyDescent="0.35">
      <c r="A87" s="1">
        <f t="shared" si="37"/>
        <v>46262</v>
      </c>
      <c r="C87" s="11">
        <v>0</v>
      </c>
      <c r="F87" s="11">
        <f t="shared" si="30"/>
        <v>5230080</v>
      </c>
      <c r="G87" s="11">
        <f t="shared" si="22"/>
        <v>4911810</v>
      </c>
      <c r="H87" s="11">
        <f t="shared" si="31"/>
        <v>318270</v>
      </c>
      <c r="I87" s="61">
        <f t="shared" si="26"/>
        <v>0.29672799610836931</v>
      </c>
      <c r="J87" s="61">
        <f t="shared" si="32"/>
        <v>0</v>
      </c>
      <c r="K87" s="94">
        <f t="shared" si="24"/>
        <v>0.47</v>
      </c>
      <c r="L87" s="61">
        <f t="shared" si="39"/>
        <v>0</v>
      </c>
      <c r="M87" s="61">
        <f t="shared" si="33"/>
        <v>0</v>
      </c>
      <c r="N87" s="61">
        <f t="shared" si="35"/>
        <v>0.61468977294585025</v>
      </c>
      <c r="O87" s="61">
        <f t="shared" si="40"/>
        <v>0</v>
      </c>
      <c r="P87" s="79">
        <f t="shared" si="27"/>
        <v>0.23538666057910224</v>
      </c>
      <c r="Q87" s="79">
        <f t="shared" si="28"/>
        <v>0.51727194892746509</v>
      </c>
      <c r="R87" s="95">
        <f t="shared" si="34"/>
        <v>0</v>
      </c>
      <c r="S87" s="95">
        <f t="shared" si="36"/>
        <v>0</v>
      </c>
      <c r="T87" s="62">
        <f t="shared" si="29"/>
        <v>0.14468977294585028</v>
      </c>
      <c r="U87" s="61">
        <f t="shared" si="38"/>
        <v>0</v>
      </c>
    </row>
    <row r="88" spans="1:21" x14ac:dyDescent="0.35">
      <c r="A88" s="1">
        <f t="shared" si="37"/>
        <v>46263</v>
      </c>
      <c r="C88" s="11">
        <f>B88</f>
        <v>0</v>
      </c>
      <c r="F88" s="11">
        <f t="shared" si="30"/>
        <v>5230080</v>
      </c>
      <c r="G88" s="11">
        <f t="shared" si="22"/>
        <v>4911810</v>
      </c>
      <c r="H88" s="11">
        <f t="shared" si="31"/>
        <v>318270</v>
      </c>
      <c r="I88" s="61">
        <f t="shared" si="26"/>
        <v>0.29672799610836931</v>
      </c>
      <c r="J88" s="61">
        <f t="shared" si="32"/>
        <v>0</v>
      </c>
      <c r="K88" s="94">
        <f t="shared" si="24"/>
        <v>0.47</v>
      </c>
      <c r="L88" s="61">
        <f t="shared" si="39"/>
        <v>0</v>
      </c>
      <c r="M88" s="61">
        <f t="shared" si="33"/>
        <v>0</v>
      </c>
      <c r="N88" s="61">
        <f t="shared" si="35"/>
        <v>0.61468977294585025</v>
      </c>
      <c r="O88" s="61">
        <f t="shared" si="40"/>
        <v>0</v>
      </c>
      <c r="P88" s="79">
        <f t="shared" si="27"/>
        <v>0.23538666057910224</v>
      </c>
      <c r="Q88" s="79">
        <f t="shared" si="28"/>
        <v>0.51727194892746509</v>
      </c>
      <c r="R88" s="95">
        <f t="shared" si="34"/>
        <v>0</v>
      </c>
      <c r="S88" s="95">
        <f t="shared" si="36"/>
        <v>0</v>
      </c>
      <c r="T88" s="62">
        <f t="shared" si="29"/>
        <v>0.14468977294585028</v>
      </c>
      <c r="U88" s="61">
        <f t="shared" si="38"/>
        <v>0</v>
      </c>
    </row>
    <row r="89" spans="1:21" x14ac:dyDescent="0.35">
      <c r="A89" s="1">
        <f t="shared" si="37"/>
        <v>46264</v>
      </c>
      <c r="B89" s="93" t="s">
        <v>205</v>
      </c>
      <c r="C89" s="11">
        <v>0</v>
      </c>
      <c r="F89" s="11">
        <f t="shared" si="30"/>
        <v>5230080</v>
      </c>
      <c r="G89" s="11">
        <f t="shared" si="22"/>
        <v>4911810</v>
      </c>
      <c r="H89" s="11">
        <f t="shared" si="31"/>
        <v>318270</v>
      </c>
      <c r="I89" s="61">
        <f t="shared" si="26"/>
        <v>0.29672799610836931</v>
      </c>
      <c r="J89" s="61">
        <f t="shared" si="32"/>
        <v>0</v>
      </c>
      <c r="K89" s="94">
        <f t="shared" si="24"/>
        <v>0.47</v>
      </c>
      <c r="L89" s="61">
        <f t="shared" si="39"/>
        <v>0</v>
      </c>
      <c r="M89" s="61">
        <f t="shared" si="33"/>
        <v>0</v>
      </c>
      <c r="N89" s="61">
        <f t="shared" si="35"/>
        <v>0.61468977294585025</v>
      </c>
      <c r="O89" s="61">
        <f t="shared" si="40"/>
        <v>0</v>
      </c>
      <c r="P89" s="79">
        <f t="shared" si="27"/>
        <v>0.23538666057910224</v>
      </c>
      <c r="Q89" s="79">
        <f t="shared" si="28"/>
        <v>0.51727194892746509</v>
      </c>
      <c r="R89" s="95">
        <f t="shared" si="34"/>
        <v>0</v>
      </c>
      <c r="S89" s="95">
        <f t="shared" si="36"/>
        <v>0</v>
      </c>
      <c r="T89" s="62">
        <f t="shared" si="29"/>
        <v>0.14468977294585028</v>
      </c>
      <c r="U89" s="61">
        <f t="shared" si="38"/>
        <v>0</v>
      </c>
    </row>
    <row r="90" spans="1:21" x14ac:dyDescent="0.35">
      <c r="A90" s="1">
        <f t="shared" si="37"/>
        <v>46265</v>
      </c>
      <c r="C90" s="11">
        <f>C86</f>
        <v>115200</v>
      </c>
      <c r="F90" s="11">
        <f t="shared" si="30"/>
        <v>5345280</v>
      </c>
      <c r="G90" s="11">
        <f t="shared" si="22"/>
        <v>4911810</v>
      </c>
      <c r="H90" s="11">
        <f t="shared" si="31"/>
        <v>433470</v>
      </c>
      <c r="I90" s="61">
        <f t="shared" si="26"/>
        <v>0.29672799610836931</v>
      </c>
      <c r="J90" s="61">
        <f t="shared" si="32"/>
        <v>34183.065151684146</v>
      </c>
      <c r="K90" s="94">
        <f t="shared" si="24"/>
        <v>0.47</v>
      </c>
      <c r="L90" s="61">
        <f>K90*(E90)</f>
        <v>0</v>
      </c>
      <c r="M90" s="61">
        <f t="shared" si="33"/>
        <v>34183.065151684146</v>
      </c>
      <c r="N90" s="61">
        <f t="shared" si="35"/>
        <v>0.61468977294585025</v>
      </c>
      <c r="O90" s="61">
        <f>N90*(E90)</f>
        <v>0</v>
      </c>
      <c r="P90" s="79">
        <f t="shared" si="27"/>
        <v>0.23538666057910224</v>
      </c>
      <c r="Q90" s="79">
        <f t="shared" si="28"/>
        <v>0.51727194892746509</v>
      </c>
      <c r="R90" s="95">
        <f t="shared" si="34"/>
        <v>70812.26184336195</v>
      </c>
      <c r="S90" s="95">
        <f>(E90)*N90</f>
        <v>0</v>
      </c>
      <c r="T90" s="62">
        <f t="shared" si="29"/>
        <v>0.14468977294585028</v>
      </c>
      <c r="U90" s="61">
        <f t="shared" si="38"/>
        <v>0</v>
      </c>
    </row>
    <row r="91" spans="1:21" x14ac:dyDescent="0.35">
      <c r="A91" s="1">
        <f t="shared" si="37"/>
        <v>46266</v>
      </c>
      <c r="C91" s="11">
        <f>'[1]Ramp Plan'!X94/17</f>
        <v>115877.64705882352</v>
      </c>
      <c r="D91" s="93" t="s">
        <v>210</v>
      </c>
      <c r="E91" s="11">
        <v>120000</v>
      </c>
      <c r="F91" s="11">
        <f t="shared" si="30"/>
        <v>5461157.6470588231</v>
      </c>
      <c r="G91" s="11">
        <f>G90+E91</f>
        <v>5031810</v>
      </c>
      <c r="H91" s="11">
        <f t="shared" si="31"/>
        <v>429347.64705882315</v>
      </c>
      <c r="I91" s="61">
        <f>'[1]Ramp Plan'!X255</f>
        <v>0.29574934196019842</v>
      </c>
      <c r="J91" s="61">
        <f t="shared" si="32"/>
        <v>34270.737865543182</v>
      </c>
      <c r="K91" s="94">
        <v>0.42</v>
      </c>
      <c r="L91" s="61">
        <f>K91*(E91)</f>
        <v>50400</v>
      </c>
      <c r="M91" s="61">
        <f t="shared" si="33"/>
        <v>-16129.262134456818</v>
      </c>
      <c r="N91" s="61">
        <f t="shared" si="35"/>
        <v>0.61468977294585025</v>
      </c>
      <c r="O91" s="61">
        <f>N91*(E91)</f>
        <v>73762.772753502024</v>
      </c>
      <c r="P91" s="79">
        <f t="shared" si="27"/>
        <v>0.31672850519834667</v>
      </c>
      <c r="Q91" s="79">
        <f t="shared" si="28"/>
        <v>0.51886405960059501</v>
      </c>
      <c r="R91" s="95">
        <f t="shared" si="34"/>
        <v>71228.804560087607</v>
      </c>
      <c r="S91" s="95">
        <f>(E91)*N91</f>
        <v>73762.772753502024</v>
      </c>
      <c r="T91" s="62">
        <f t="shared" si="29"/>
        <v>0.19468977294585027</v>
      </c>
      <c r="U91" s="61">
        <f>T91*(E91)</f>
        <v>23362.772753502031</v>
      </c>
    </row>
    <row r="92" spans="1:21" x14ac:dyDescent="0.35">
      <c r="A92" s="1">
        <f t="shared" si="37"/>
        <v>46267</v>
      </c>
      <c r="C92" s="11">
        <f>C91</f>
        <v>115877.64705882352</v>
      </c>
      <c r="E92" s="11">
        <f>E91</f>
        <v>120000</v>
      </c>
      <c r="F92" s="11">
        <f t="shared" si="30"/>
        <v>5577035.2941176463</v>
      </c>
      <c r="G92" s="11">
        <f t="shared" ref="G92:G155" si="41">G91+D92+E92</f>
        <v>5151810</v>
      </c>
      <c r="H92" s="11">
        <f t="shared" si="31"/>
        <v>425225.29411764629</v>
      </c>
      <c r="I92" s="61">
        <f>$I$91</f>
        <v>0.29574934196019842</v>
      </c>
      <c r="J92" s="61">
        <f t="shared" si="32"/>
        <v>34270.737865543182</v>
      </c>
      <c r="K92" s="94">
        <f>K91</f>
        <v>0.42</v>
      </c>
      <c r="L92" s="61">
        <f t="shared" si="39"/>
        <v>50400</v>
      </c>
      <c r="M92" s="61">
        <f t="shared" si="33"/>
        <v>-16129.262134456818</v>
      </c>
      <c r="N92" s="61">
        <f t="shared" si="35"/>
        <v>0.61468977294585025</v>
      </c>
      <c r="O92" s="61">
        <f t="shared" si="40"/>
        <v>73762.772753502024</v>
      </c>
      <c r="P92" s="79">
        <f t="shared" si="27"/>
        <v>0.31672850519834667</v>
      </c>
      <c r="Q92" s="79">
        <f t="shared" si="28"/>
        <v>0.51886405960059501</v>
      </c>
      <c r="R92" s="95">
        <f t="shared" si="34"/>
        <v>71228.804560087607</v>
      </c>
      <c r="S92" s="95">
        <f t="shared" si="36"/>
        <v>73762.772753502024</v>
      </c>
      <c r="T92" s="62">
        <f t="shared" si="29"/>
        <v>0.19468977294585027</v>
      </c>
      <c r="U92" s="61">
        <f t="shared" si="38"/>
        <v>23362.772753502031</v>
      </c>
    </row>
    <row r="93" spans="1:21" x14ac:dyDescent="0.35">
      <c r="A93" s="1">
        <f t="shared" si="37"/>
        <v>46268</v>
      </c>
      <c r="C93" s="11">
        <f>C92</f>
        <v>115877.64705882352</v>
      </c>
      <c r="E93" s="11">
        <f>E92</f>
        <v>120000</v>
      </c>
      <c r="F93" s="11">
        <f t="shared" si="30"/>
        <v>5692912.9411764694</v>
      </c>
      <c r="G93" s="11">
        <f t="shared" si="41"/>
        <v>5271810</v>
      </c>
      <c r="H93" s="11">
        <f t="shared" si="31"/>
        <v>421102.94117646944</v>
      </c>
      <c r="I93" s="61">
        <f t="shared" ref="I93:I120" si="42">$I$91</f>
        <v>0.29574934196019842</v>
      </c>
      <c r="J93" s="61">
        <f t="shared" si="32"/>
        <v>34270.737865543182</v>
      </c>
      <c r="K93" s="94">
        <f t="shared" ref="K93:K151" si="43">K92</f>
        <v>0.42</v>
      </c>
      <c r="L93" s="61">
        <f t="shared" si="39"/>
        <v>50400</v>
      </c>
      <c r="M93" s="61">
        <f t="shared" si="33"/>
        <v>-16129.262134456818</v>
      </c>
      <c r="N93" s="61">
        <f t="shared" si="35"/>
        <v>0.61468977294585025</v>
      </c>
      <c r="O93" s="61">
        <f t="shared" si="40"/>
        <v>73762.772753502024</v>
      </c>
      <c r="P93" s="79">
        <f t="shared" si="27"/>
        <v>0.31672850519834667</v>
      </c>
      <c r="Q93" s="79">
        <f t="shared" si="28"/>
        <v>0.51886405960059501</v>
      </c>
      <c r="R93" s="95">
        <f t="shared" si="34"/>
        <v>71228.804560087607</v>
      </c>
      <c r="S93" s="95">
        <f t="shared" si="36"/>
        <v>73762.772753502024</v>
      </c>
      <c r="T93" s="62">
        <f t="shared" si="29"/>
        <v>0.19468977294585027</v>
      </c>
      <c r="U93" s="61">
        <f t="shared" si="38"/>
        <v>23362.772753502031</v>
      </c>
    </row>
    <row r="94" spans="1:21" x14ac:dyDescent="0.35">
      <c r="A94" s="1">
        <f t="shared" si="37"/>
        <v>46269</v>
      </c>
      <c r="C94" s="11">
        <v>0</v>
      </c>
      <c r="F94" s="11">
        <f t="shared" si="30"/>
        <v>5692912.9411764694</v>
      </c>
      <c r="G94" s="11">
        <f t="shared" si="41"/>
        <v>5271810</v>
      </c>
      <c r="H94" s="11">
        <f t="shared" si="31"/>
        <v>421102.94117646944</v>
      </c>
      <c r="I94" s="61">
        <f t="shared" si="42"/>
        <v>0.29574934196019842</v>
      </c>
      <c r="J94" s="61">
        <f t="shared" si="32"/>
        <v>0</v>
      </c>
      <c r="K94" s="94">
        <f t="shared" si="43"/>
        <v>0.42</v>
      </c>
      <c r="L94" s="61">
        <f t="shared" si="39"/>
        <v>0</v>
      </c>
      <c r="M94" s="61">
        <f t="shared" si="33"/>
        <v>0</v>
      </c>
      <c r="N94" s="61">
        <f t="shared" si="35"/>
        <v>0.61468977294585025</v>
      </c>
      <c r="O94" s="61">
        <f t="shared" si="40"/>
        <v>0</v>
      </c>
      <c r="P94" s="79">
        <f t="shared" si="27"/>
        <v>0.31672850519834667</v>
      </c>
      <c r="Q94" s="79">
        <f t="shared" si="28"/>
        <v>0.51886405960059501</v>
      </c>
      <c r="R94" s="95">
        <f t="shared" si="34"/>
        <v>0</v>
      </c>
      <c r="S94" s="95">
        <f t="shared" si="36"/>
        <v>0</v>
      </c>
      <c r="T94" s="62">
        <f t="shared" si="29"/>
        <v>0.19468977294585027</v>
      </c>
      <c r="U94" s="61">
        <f t="shared" si="38"/>
        <v>0</v>
      </c>
    </row>
    <row r="95" spans="1:21" x14ac:dyDescent="0.35">
      <c r="A95" s="1">
        <f t="shared" si="37"/>
        <v>46270</v>
      </c>
      <c r="C95" s="11">
        <f>B95</f>
        <v>0</v>
      </c>
      <c r="F95" s="11">
        <f t="shared" si="30"/>
        <v>5692912.9411764694</v>
      </c>
      <c r="G95" s="11">
        <f t="shared" si="41"/>
        <v>5271810</v>
      </c>
      <c r="H95" s="11">
        <f t="shared" si="31"/>
        <v>421102.94117646944</v>
      </c>
      <c r="I95" s="61">
        <f t="shared" si="42"/>
        <v>0.29574934196019842</v>
      </c>
      <c r="J95" s="61">
        <f t="shared" si="32"/>
        <v>0</v>
      </c>
      <c r="K95" s="94">
        <f t="shared" si="43"/>
        <v>0.42</v>
      </c>
      <c r="L95" s="61">
        <f t="shared" si="39"/>
        <v>0</v>
      </c>
      <c r="M95" s="61">
        <f t="shared" si="33"/>
        <v>0</v>
      </c>
      <c r="N95" s="61">
        <f t="shared" si="35"/>
        <v>0.61468977294585025</v>
      </c>
      <c r="O95" s="61">
        <f t="shared" si="40"/>
        <v>0</v>
      </c>
      <c r="P95" s="79">
        <f t="shared" si="27"/>
        <v>0.31672850519834667</v>
      </c>
      <c r="Q95" s="79">
        <f t="shared" si="28"/>
        <v>0.51886405960059501</v>
      </c>
      <c r="R95" s="95">
        <f t="shared" si="34"/>
        <v>0</v>
      </c>
      <c r="S95" s="95">
        <f t="shared" si="36"/>
        <v>0</v>
      </c>
      <c r="T95" s="62">
        <f t="shared" si="29"/>
        <v>0.19468977294585027</v>
      </c>
      <c r="U95" s="61">
        <f t="shared" si="38"/>
        <v>0</v>
      </c>
    </row>
    <row r="96" spans="1:21" x14ac:dyDescent="0.35">
      <c r="A96" s="1">
        <f t="shared" si="37"/>
        <v>46271</v>
      </c>
      <c r="B96" s="93" t="s">
        <v>205</v>
      </c>
      <c r="C96" s="11">
        <v>0</v>
      </c>
      <c r="F96" s="11">
        <f t="shared" si="30"/>
        <v>5692912.9411764694</v>
      </c>
      <c r="G96" s="11">
        <f t="shared" si="41"/>
        <v>5271810</v>
      </c>
      <c r="H96" s="11">
        <f t="shared" si="31"/>
        <v>421102.94117646944</v>
      </c>
      <c r="I96" s="61">
        <f t="shared" si="42"/>
        <v>0.29574934196019842</v>
      </c>
      <c r="J96" s="61">
        <f t="shared" si="32"/>
        <v>0</v>
      </c>
      <c r="K96" s="94">
        <f t="shared" si="43"/>
        <v>0.42</v>
      </c>
      <c r="L96" s="61">
        <f t="shared" si="39"/>
        <v>0</v>
      </c>
      <c r="M96" s="61">
        <f t="shared" si="33"/>
        <v>0</v>
      </c>
      <c r="N96" s="61">
        <f t="shared" si="35"/>
        <v>0.61468977294585025</v>
      </c>
      <c r="O96" s="61">
        <f t="shared" si="40"/>
        <v>0</v>
      </c>
      <c r="P96" s="79">
        <f t="shared" si="27"/>
        <v>0.31672850519834667</v>
      </c>
      <c r="Q96" s="79">
        <f t="shared" si="28"/>
        <v>0.51886405960059501</v>
      </c>
      <c r="R96" s="95">
        <f t="shared" si="34"/>
        <v>0</v>
      </c>
      <c r="S96" s="95">
        <f t="shared" si="36"/>
        <v>0</v>
      </c>
      <c r="T96" s="62">
        <f t="shared" si="29"/>
        <v>0.19468977294585027</v>
      </c>
      <c r="U96" s="61">
        <f t="shared" si="38"/>
        <v>0</v>
      </c>
    </row>
    <row r="97" spans="1:21" x14ac:dyDescent="0.35">
      <c r="A97" s="1">
        <f t="shared" si="37"/>
        <v>46272</v>
      </c>
      <c r="B97" s="93" t="s">
        <v>205</v>
      </c>
      <c r="C97" s="11">
        <v>0</v>
      </c>
      <c r="F97" s="11">
        <f t="shared" si="30"/>
        <v>5692912.9411764694</v>
      </c>
      <c r="G97" s="11">
        <f t="shared" si="41"/>
        <v>5271810</v>
      </c>
      <c r="H97" s="11">
        <f t="shared" si="31"/>
        <v>421102.94117646944</v>
      </c>
      <c r="I97" s="61">
        <f t="shared" si="42"/>
        <v>0.29574934196019842</v>
      </c>
      <c r="J97" s="61">
        <f t="shared" si="32"/>
        <v>0</v>
      </c>
      <c r="K97" s="94">
        <f t="shared" si="43"/>
        <v>0.42</v>
      </c>
      <c r="L97" s="61">
        <f t="shared" si="39"/>
        <v>0</v>
      </c>
      <c r="M97" s="61">
        <f t="shared" si="33"/>
        <v>0</v>
      </c>
      <c r="N97" s="61">
        <f t="shared" si="35"/>
        <v>0.61468977294585025</v>
      </c>
      <c r="O97" s="61">
        <f t="shared" si="40"/>
        <v>0</v>
      </c>
      <c r="P97" s="79">
        <f t="shared" si="27"/>
        <v>0.31672850519834667</v>
      </c>
      <c r="Q97" s="79">
        <f t="shared" si="28"/>
        <v>0.51886405960059501</v>
      </c>
      <c r="R97" s="95">
        <f t="shared" si="34"/>
        <v>0</v>
      </c>
      <c r="S97" s="95">
        <f t="shared" si="36"/>
        <v>0</v>
      </c>
      <c r="T97" s="62">
        <f t="shared" si="29"/>
        <v>0.19468977294585027</v>
      </c>
      <c r="U97" s="61">
        <f t="shared" si="38"/>
        <v>0</v>
      </c>
    </row>
    <row r="98" spans="1:21" x14ac:dyDescent="0.35">
      <c r="A98" s="1">
        <f t="shared" si="37"/>
        <v>46273</v>
      </c>
      <c r="C98" s="11">
        <f>C93</f>
        <v>115877.64705882352</v>
      </c>
      <c r="E98" s="11">
        <f>E93</f>
        <v>120000</v>
      </c>
      <c r="F98" s="11">
        <f t="shared" si="30"/>
        <v>5808790.5882352926</v>
      </c>
      <c r="G98" s="11">
        <f t="shared" si="41"/>
        <v>5391810</v>
      </c>
      <c r="H98" s="11">
        <f t="shared" si="31"/>
        <v>416980.58823529258</v>
      </c>
      <c r="I98" s="61">
        <f t="shared" si="42"/>
        <v>0.29574934196019842</v>
      </c>
      <c r="J98" s="61">
        <f t="shared" si="32"/>
        <v>34270.737865543182</v>
      </c>
      <c r="K98" s="94">
        <f t="shared" si="43"/>
        <v>0.42</v>
      </c>
      <c r="L98" s="61">
        <f t="shared" si="39"/>
        <v>50400</v>
      </c>
      <c r="M98" s="61">
        <f t="shared" si="33"/>
        <v>-16129.262134456818</v>
      </c>
      <c r="N98" s="61">
        <f t="shared" si="35"/>
        <v>0.61468977294585025</v>
      </c>
      <c r="O98" s="61">
        <f t="shared" si="40"/>
        <v>73762.772753502024</v>
      </c>
      <c r="P98" s="79">
        <f t="shared" si="27"/>
        <v>0.31672850519834667</v>
      </c>
      <c r="Q98" s="79">
        <f t="shared" si="28"/>
        <v>0.51886405960059501</v>
      </c>
      <c r="R98" s="95">
        <f t="shared" si="34"/>
        <v>71228.804560087607</v>
      </c>
      <c r="S98" s="95">
        <f t="shared" si="36"/>
        <v>73762.772753502024</v>
      </c>
      <c r="T98" s="62">
        <f t="shared" si="29"/>
        <v>0.19468977294585027</v>
      </c>
      <c r="U98" s="61">
        <f t="shared" si="38"/>
        <v>23362.772753502031</v>
      </c>
    </row>
    <row r="99" spans="1:21" x14ac:dyDescent="0.35">
      <c r="A99" s="1">
        <f t="shared" si="37"/>
        <v>46274</v>
      </c>
      <c r="C99" s="11">
        <f>C98</f>
        <v>115877.64705882352</v>
      </c>
      <c r="E99" s="11">
        <f>E98</f>
        <v>120000</v>
      </c>
      <c r="F99" s="11">
        <f t="shared" si="30"/>
        <v>5924668.2352941157</v>
      </c>
      <c r="G99" s="11">
        <f t="shared" si="41"/>
        <v>5511810</v>
      </c>
      <c r="H99" s="11">
        <f t="shared" si="31"/>
        <v>412858.23529411573</v>
      </c>
      <c r="I99" s="61">
        <f t="shared" si="42"/>
        <v>0.29574934196019842</v>
      </c>
      <c r="J99" s="61">
        <f t="shared" si="32"/>
        <v>34270.737865543182</v>
      </c>
      <c r="K99" s="94">
        <f t="shared" si="43"/>
        <v>0.42</v>
      </c>
      <c r="L99" s="61">
        <f t="shared" si="39"/>
        <v>50400</v>
      </c>
      <c r="M99" s="61">
        <f t="shared" si="33"/>
        <v>-16129.262134456818</v>
      </c>
      <c r="N99" s="61">
        <f t="shared" si="35"/>
        <v>0.61468977294585025</v>
      </c>
      <c r="O99" s="61">
        <f t="shared" si="40"/>
        <v>73762.772753502024</v>
      </c>
      <c r="P99" s="79">
        <f t="shared" si="27"/>
        <v>0.31672850519834667</v>
      </c>
      <c r="Q99" s="79">
        <f t="shared" si="28"/>
        <v>0.51886405960059501</v>
      </c>
      <c r="R99" s="95">
        <f t="shared" si="34"/>
        <v>71228.804560087607</v>
      </c>
      <c r="S99" s="95">
        <f t="shared" si="36"/>
        <v>73762.772753502024</v>
      </c>
      <c r="T99" s="62">
        <f t="shared" si="29"/>
        <v>0.19468977294585027</v>
      </c>
      <c r="U99" s="61">
        <f t="shared" si="38"/>
        <v>23362.772753502031</v>
      </c>
    </row>
    <row r="100" spans="1:21" x14ac:dyDescent="0.35">
      <c r="A100" s="1">
        <f t="shared" si="37"/>
        <v>46275</v>
      </c>
      <c r="C100" s="11">
        <f>C99</f>
        <v>115877.64705882352</v>
      </c>
      <c r="E100" s="11">
        <f>E99</f>
        <v>120000</v>
      </c>
      <c r="F100" s="11">
        <f t="shared" si="30"/>
        <v>6040545.8823529389</v>
      </c>
      <c r="G100" s="11">
        <f t="shared" si="41"/>
        <v>5631810</v>
      </c>
      <c r="H100" s="11">
        <f t="shared" si="31"/>
        <v>408735.88235293888</v>
      </c>
      <c r="I100" s="61">
        <f t="shared" si="42"/>
        <v>0.29574934196019842</v>
      </c>
      <c r="J100" s="61">
        <f t="shared" si="32"/>
        <v>34270.737865543182</v>
      </c>
      <c r="K100" s="94">
        <f t="shared" si="43"/>
        <v>0.42</v>
      </c>
      <c r="L100" s="61">
        <f t="shared" si="39"/>
        <v>50400</v>
      </c>
      <c r="M100" s="61">
        <f t="shared" si="33"/>
        <v>-16129.262134456818</v>
      </c>
      <c r="N100" s="61">
        <f t="shared" si="35"/>
        <v>0.61468977294585025</v>
      </c>
      <c r="O100" s="61">
        <f t="shared" si="40"/>
        <v>73762.772753502024</v>
      </c>
      <c r="P100" s="79">
        <f t="shared" si="27"/>
        <v>0.31672850519834667</v>
      </c>
      <c r="Q100" s="79">
        <f t="shared" si="28"/>
        <v>0.51886405960059501</v>
      </c>
      <c r="R100" s="95">
        <f t="shared" si="34"/>
        <v>71228.804560087607</v>
      </c>
      <c r="S100" s="95">
        <f t="shared" si="36"/>
        <v>73762.772753502024</v>
      </c>
      <c r="T100" s="62">
        <f t="shared" si="29"/>
        <v>0.19468977294585027</v>
      </c>
      <c r="U100" s="61">
        <f t="shared" si="38"/>
        <v>23362.772753502031</v>
      </c>
    </row>
    <row r="101" spans="1:21" x14ac:dyDescent="0.35">
      <c r="A101" s="1">
        <f t="shared" si="37"/>
        <v>46276</v>
      </c>
      <c r="C101" s="11">
        <v>0</v>
      </c>
      <c r="F101" s="11">
        <f t="shared" si="30"/>
        <v>6040545.8823529389</v>
      </c>
      <c r="G101" s="11">
        <f t="shared" si="41"/>
        <v>5631810</v>
      </c>
      <c r="H101" s="11">
        <f t="shared" si="31"/>
        <v>408735.88235293888</v>
      </c>
      <c r="I101" s="61">
        <f t="shared" si="42"/>
        <v>0.29574934196019842</v>
      </c>
      <c r="J101" s="61">
        <f t="shared" si="32"/>
        <v>0</v>
      </c>
      <c r="K101" s="94">
        <f t="shared" si="43"/>
        <v>0.42</v>
      </c>
      <c r="L101" s="61">
        <f t="shared" si="39"/>
        <v>0</v>
      </c>
      <c r="M101" s="61">
        <f t="shared" si="33"/>
        <v>0</v>
      </c>
      <c r="N101" s="61">
        <f t="shared" si="35"/>
        <v>0.61468977294585025</v>
      </c>
      <c r="O101" s="61">
        <f t="shared" si="40"/>
        <v>0</v>
      </c>
      <c r="P101" s="79">
        <f t="shared" si="27"/>
        <v>0.31672850519834667</v>
      </c>
      <c r="Q101" s="79">
        <f t="shared" si="28"/>
        <v>0.51886405960059501</v>
      </c>
      <c r="R101" s="95">
        <f t="shared" si="34"/>
        <v>0</v>
      </c>
      <c r="S101" s="95">
        <f t="shared" si="36"/>
        <v>0</v>
      </c>
      <c r="T101" s="62">
        <f t="shared" si="29"/>
        <v>0.19468977294585027</v>
      </c>
      <c r="U101" s="61">
        <f t="shared" si="38"/>
        <v>0</v>
      </c>
    </row>
    <row r="102" spans="1:21" x14ac:dyDescent="0.35">
      <c r="A102" s="1">
        <f t="shared" si="37"/>
        <v>46277</v>
      </c>
      <c r="C102" s="11">
        <f>B102</f>
        <v>0</v>
      </c>
      <c r="F102" s="11">
        <f t="shared" si="30"/>
        <v>6040545.8823529389</v>
      </c>
      <c r="G102" s="11">
        <f t="shared" si="41"/>
        <v>5631810</v>
      </c>
      <c r="H102" s="11">
        <f t="shared" si="31"/>
        <v>408735.88235293888</v>
      </c>
      <c r="I102" s="61">
        <f t="shared" si="42"/>
        <v>0.29574934196019842</v>
      </c>
      <c r="J102" s="61">
        <f t="shared" si="32"/>
        <v>0</v>
      </c>
      <c r="K102" s="94">
        <f t="shared" si="43"/>
        <v>0.42</v>
      </c>
      <c r="L102" s="61">
        <f t="shared" si="39"/>
        <v>0</v>
      </c>
      <c r="M102" s="61">
        <f t="shared" si="33"/>
        <v>0</v>
      </c>
      <c r="N102" s="61">
        <f t="shared" si="35"/>
        <v>0.61468977294585025</v>
      </c>
      <c r="O102" s="61">
        <f t="shared" si="40"/>
        <v>0</v>
      </c>
      <c r="P102" s="79">
        <f t="shared" si="27"/>
        <v>0.31672850519834667</v>
      </c>
      <c r="Q102" s="79">
        <f t="shared" si="28"/>
        <v>0.51886405960059501</v>
      </c>
      <c r="R102" s="95">
        <f t="shared" si="34"/>
        <v>0</v>
      </c>
      <c r="S102" s="95">
        <f t="shared" si="36"/>
        <v>0</v>
      </c>
      <c r="T102" s="62">
        <f t="shared" si="29"/>
        <v>0.19468977294585027</v>
      </c>
      <c r="U102" s="61">
        <f t="shared" si="38"/>
        <v>0</v>
      </c>
    </row>
    <row r="103" spans="1:21" x14ac:dyDescent="0.35">
      <c r="A103" s="1">
        <f t="shared" si="37"/>
        <v>46278</v>
      </c>
      <c r="B103" s="93" t="s">
        <v>205</v>
      </c>
      <c r="C103" s="11">
        <v>0</v>
      </c>
      <c r="F103" s="11">
        <f t="shared" si="30"/>
        <v>6040545.8823529389</v>
      </c>
      <c r="G103" s="11">
        <f t="shared" si="41"/>
        <v>5631810</v>
      </c>
      <c r="H103" s="11">
        <f t="shared" si="31"/>
        <v>408735.88235293888</v>
      </c>
      <c r="I103" s="61">
        <f t="shared" si="42"/>
        <v>0.29574934196019842</v>
      </c>
      <c r="J103" s="61">
        <f t="shared" si="32"/>
        <v>0</v>
      </c>
      <c r="K103" s="94">
        <f t="shared" si="43"/>
        <v>0.42</v>
      </c>
      <c r="L103" s="61">
        <f t="shared" si="39"/>
        <v>0</v>
      </c>
      <c r="M103" s="61">
        <f t="shared" si="33"/>
        <v>0</v>
      </c>
      <c r="N103" s="61">
        <f t="shared" si="35"/>
        <v>0.61468977294585025</v>
      </c>
      <c r="O103" s="61">
        <f t="shared" si="40"/>
        <v>0</v>
      </c>
      <c r="P103" s="79">
        <f t="shared" si="27"/>
        <v>0.31672850519834667</v>
      </c>
      <c r="Q103" s="79">
        <f t="shared" si="28"/>
        <v>0.51886405960059501</v>
      </c>
      <c r="R103" s="95">
        <f t="shared" si="34"/>
        <v>0</v>
      </c>
      <c r="S103" s="95">
        <f t="shared" si="36"/>
        <v>0</v>
      </c>
      <c r="T103" s="62">
        <f t="shared" si="29"/>
        <v>0.19468977294585027</v>
      </c>
      <c r="U103" s="61">
        <f t="shared" si="38"/>
        <v>0</v>
      </c>
    </row>
    <row r="104" spans="1:21" x14ac:dyDescent="0.35">
      <c r="A104" s="1">
        <f t="shared" si="37"/>
        <v>46279</v>
      </c>
      <c r="C104" s="11">
        <f>C100</f>
        <v>115877.64705882352</v>
      </c>
      <c r="E104" s="11">
        <f>E100</f>
        <v>120000</v>
      </c>
      <c r="F104" s="11">
        <f t="shared" si="30"/>
        <v>6156423.529411762</v>
      </c>
      <c r="G104" s="11">
        <f t="shared" si="41"/>
        <v>5751810</v>
      </c>
      <c r="H104" s="11">
        <f t="shared" si="31"/>
        <v>404613.52941176202</v>
      </c>
      <c r="I104" s="61">
        <f t="shared" si="42"/>
        <v>0.29574934196019842</v>
      </c>
      <c r="J104" s="61">
        <f t="shared" si="32"/>
        <v>34270.737865543182</v>
      </c>
      <c r="K104" s="94">
        <f t="shared" si="43"/>
        <v>0.42</v>
      </c>
      <c r="L104" s="61">
        <f t="shared" si="39"/>
        <v>50400</v>
      </c>
      <c r="M104" s="61">
        <f t="shared" si="33"/>
        <v>-16129.262134456818</v>
      </c>
      <c r="N104" s="61">
        <f t="shared" si="35"/>
        <v>0.61468977294585025</v>
      </c>
      <c r="O104" s="61">
        <f t="shared" si="40"/>
        <v>73762.772753502024</v>
      </c>
      <c r="P104" s="79">
        <f t="shared" si="27"/>
        <v>0.31672850519834667</v>
      </c>
      <c r="Q104" s="79">
        <f t="shared" si="28"/>
        <v>0.51886405960059501</v>
      </c>
      <c r="R104" s="95">
        <f t="shared" si="34"/>
        <v>71228.804560087607</v>
      </c>
      <c r="S104" s="95">
        <f t="shared" si="36"/>
        <v>73762.772753502024</v>
      </c>
      <c r="T104" s="62">
        <f t="shared" si="29"/>
        <v>0.19468977294585027</v>
      </c>
      <c r="U104" s="61">
        <f t="shared" si="38"/>
        <v>23362.772753502031</v>
      </c>
    </row>
    <row r="105" spans="1:21" x14ac:dyDescent="0.35">
      <c r="A105" s="1">
        <f t="shared" si="37"/>
        <v>46280</v>
      </c>
      <c r="C105" s="11">
        <f>C104</f>
        <v>115877.64705882352</v>
      </c>
      <c r="E105" s="11">
        <f>E104</f>
        <v>120000</v>
      </c>
      <c r="F105" s="11">
        <f t="shared" si="30"/>
        <v>6272301.1764705852</v>
      </c>
      <c r="G105" s="11">
        <f t="shared" si="41"/>
        <v>5871810</v>
      </c>
      <c r="H105" s="11">
        <f t="shared" si="31"/>
        <v>400491.17647058517</v>
      </c>
      <c r="I105" s="61">
        <f t="shared" si="42"/>
        <v>0.29574934196019842</v>
      </c>
      <c r="J105" s="61">
        <f t="shared" si="32"/>
        <v>34270.737865543182</v>
      </c>
      <c r="K105" s="94">
        <f t="shared" si="43"/>
        <v>0.42</v>
      </c>
      <c r="L105" s="61">
        <f t="shared" si="39"/>
        <v>50400</v>
      </c>
      <c r="M105" s="61">
        <f t="shared" si="33"/>
        <v>-16129.262134456818</v>
      </c>
      <c r="N105" s="61">
        <f t="shared" si="35"/>
        <v>0.61468977294585025</v>
      </c>
      <c r="O105" s="61">
        <f t="shared" si="40"/>
        <v>73762.772753502024</v>
      </c>
      <c r="P105" s="79">
        <f t="shared" si="27"/>
        <v>0.31672850519834667</v>
      </c>
      <c r="Q105" s="79">
        <f t="shared" si="28"/>
        <v>0.51886405960059501</v>
      </c>
      <c r="R105" s="95">
        <f t="shared" si="34"/>
        <v>71228.804560087607</v>
      </c>
      <c r="S105" s="95">
        <f t="shared" si="36"/>
        <v>73762.772753502024</v>
      </c>
      <c r="T105" s="62">
        <f t="shared" si="29"/>
        <v>0.19468977294585027</v>
      </c>
      <c r="U105" s="61">
        <f t="shared" si="38"/>
        <v>23362.772753502031</v>
      </c>
    </row>
    <row r="106" spans="1:21" x14ac:dyDescent="0.35">
      <c r="A106" s="1">
        <f t="shared" si="37"/>
        <v>46281</v>
      </c>
      <c r="C106" s="11">
        <f>C105</f>
        <v>115877.64705882352</v>
      </c>
      <c r="E106" s="11">
        <f>E105</f>
        <v>120000</v>
      </c>
      <c r="F106" s="11">
        <f t="shared" si="30"/>
        <v>6388178.8235294083</v>
      </c>
      <c r="G106" s="11">
        <f t="shared" si="41"/>
        <v>5991810</v>
      </c>
      <c r="H106" s="11">
        <f t="shared" si="31"/>
        <v>396368.82352940831</v>
      </c>
      <c r="I106" s="61">
        <f t="shared" si="42"/>
        <v>0.29574934196019842</v>
      </c>
      <c r="J106" s="61">
        <f t="shared" si="32"/>
        <v>34270.737865543182</v>
      </c>
      <c r="K106" s="94">
        <f t="shared" si="43"/>
        <v>0.42</v>
      </c>
      <c r="L106" s="61">
        <f t="shared" si="39"/>
        <v>50400</v>
      </c>
      <c r="M106" s="61">
        <f t="shared" si="33"/>
        <v>-16129.262134456818</v>
      </c>
      <c r="N106" s="61">
        <f t="shared" si="35"/>
        <v>0.61468977294585025</v>
      </c>
      <c r="O106" s="61">
        <f t="shared" si="40"/>
        <v>73762.772753502024</v>
      </c>
      <c r="P106" s="79">
        <f t="shared" si="27"/>
        <v>0.31672850519834667</v>
      </c>
      <c r="Q106" s="79">
        <f t="shared" si="28"/>
        <v>0.51886405960059501</v>
      </c>
      <c r="R106" s="95">
        <f t="shared" si="34"/>
        <v>71228.804560087607</v>
      </c>
      <c r="S106" s="95">
        <f t="shared" si="36"/>
        <v>73762.772753502024</v>
      </c>
      <c r="T106" s="62">
        <f t="shared" si="29"/>
        <v>0.19468977294585027</v>
      </c>
      <c r="U106" s="61">
        <f t="shared" si="38"/>
        <v>23362.772753502031</v>
      </c>
    </row>
    <row r="107" spans="1:21" x14ac:dyDescent="0.35">
      <c r="A107" s="1">
        <f t="shared" si="37"/>
        <v>46282</v>
      </c>
      <c r="C107" s="11">
        <f>C106</f>
        <v>115877.64705882352</v>
      </c>
      <c r="E107" s="11">
        <f>E106</f>
        <v>120000</v>
      </c>
      <c r="F107" s="11">
        <f t="shared" si="30"/>
        <v>6504056.4705882315</v>
      </c>
      <c r="G107" s="11">
        <f t="shared" si="41"/>
        <v>6111810</v>
      </c>
      <c r="H107" s="11">
        <f t="shared" si="31"/>
        <v>392246.47058823146</v>
      </c>
      <c r="I107" s="61">
        <f t="shared" si="42"/>
        <v>0.29574934196019842</v>
      </c>
      <c r="J107" s="61">
        <f t="shared" si="32"/>
        <v>34270.737865543182</v>
      </c>
      <c r="K107" s="94">
        <f t="shared" si="43"/>
        <v>0.42</v>
      </c>
      <c r="L107" s="61">
        <f t="shared" si="39"/>
        <v>50400</v>
      </c>
      <c r="M107" s="61">
        <f t="shared" si="33"/>
        <v>-16129.262134456818</v>
      </c>
      <c r="N107" s="61">
        <f t="shared" si="35"/>
        <v>0.61468977294585025</v>
      </c>
      <c r="O107" s="61">
        <f t="shared" si="40"/>
        <v>73762.772753502024</v>
      </c>
      <c r="P107" s="79">
        <f t="shared" si="27"/>
        <v>0.31672850519834667</v>
      </c>
      <c r="Q107" s="79">
        <f t="shared" si="28"/>
        <v>0.51886405960059501</v>
      </c>
      <c r="R107" s="95">
        <f t="shared" si="34"/>
        <v>71228.804560087607</v>
      </c>
      <c r="S107" s="95">
        <f t="shared" si="36"/>
        <v>73762.772753502024</v>
      </c>
      <c r="T107" s="62">
        <f t="shared" si="29"/>
        <v>0.19468977294585027</v>
      </c>
      <c r="U107" s="61">
        <f t="shared" si="38"/>
        <v>23362.772753502031</v>
      </c>
    </row>
    <row r="108" spans="1:21" x14ac:dyDescent="0.35">
      <c r="A108" s="1">
        <f t="shared" si="37"/>
        <v>46283</v>
      </c>
      <c r="C108" s="11">
        <v>0</v>
      </c>
      <c r="D108" s="93" t="s">
        <v>211</v>
      </c>
      <c r="E108" s="11">
        <f>E107</f>
        <v>120000</v>
      </c>
      <c r="F108" s="11">
        <f t="shared" si="30"/>
        <v>6504056.4705882315</v>
      </c>
      <c r="G108" s="11">
        <f>G107+E108</f>
        <v>6231810</v>
      </c>
      <c r="H108" s="11">
        <f t="shared" si="31"/>
        <v>272246.47058823146</v>
      </c>
      <c r="I108" s="61">
        <f t="shared" si="42"/>
        <v>0.29574934196019842</v>
      </c>
      <c r="J108" s="61">
        <f t="shared" si="32"/>
        <v>0</v>
      </c>
      <c r="K108" s="94">
        <f t="shared" si="43"/>
        <v>0.42</v>
      </c>
      <c r="L108" s="61">
        <f>K108*(E108)</f>
        <v>50400</v>
      </c>
      <c r="M108" s="61">
        <f t="shared" si="33"/>
        <v>-50400</v>
      </c>
      <c r="N108" s="61">
        <f t="shared" si="35"/>
        <v>0.61468977294585025</v>
      </c>
      <c r="O108" s="61">
        <f>N108*(E108)</f>
        <v>73762.772753502024</v>
      </c>
      <c r="P108" s="79">
        <f t="shared" si="27"/>
        <v>0.31672850519834667</v>
      </c>
      <c r="Q108" s="79">
        <f t="shared" si="28"/>
        <v>0.51886405960059501</v>
      </c>
      <c r="R108" s="95">
        <f t="shared" si="34"/>
        <v>0</v>
      </c>
      <c r="S108" s="95">
        <f>(E108)*N108</f>
        <v>73762.772753502024</v>
      </c>
      <c r="T108" s="62">
        <f t="shared" si="29"/>
        <v>0.19468977294585027</v>
      </c>
      <c r="U108" s="61">
        <f>T108*(E108)</f>
        <v>23362.772753502031</v>
      </c>
    </row>
    <row r="109" spans="1:21" x14ac:dyDescent="0.35">
      <c r="A109" s="1">
        <f t="shared" si="37"/>
        <v>46284</v>
      </c>
      <c r="C109" s="11">
        <f>B109</f>
        <v>0</v>
      </c>
      <c r="F109" s="11">
        <f t="shared" si="30"/>
        <v>6504056.4705882315</v>
      </c>
      <c r="G109" s="11">
        <f t="shared" si="41"/>
        <v>6231810</v>
      </c>
      <c r="H109" s="11">
        <f t="shared" si="31"/>
        <v>272246.47058823146</v>
      </c>
      <c r="I109" s="61">
        <f t="shared" si="42"/>
        <v>0.29574934196019842</v>
      </c>
      <c r="J109" s="61">
        <f t="shared" si="32"/>
        <v>0</v>
      </c>
      <c r="K109" s="94">
        <f t="shared" si="43"/>
        <v>0.42</v>
      </c>
      <c r="L109" s="61">
        <f t="shared" si="39"/>
        <v>0</v>
      </c>
      <c r="M109" s="61">
        <f t="shared" si="33"/>
        <v>0</v>
      </c>
      <c r="N109" s="61">
        <f t="shared" si="35"/>
        <v>0.61468977294585025</v>
      </c>
      <c r="O109" s="61">
        <f t="shared" si="40"/>
        <v>0</v>
      </c>
      <c r="P109" s="79">
        <f t="shared" si="27"/>
        <v>0.31672850519834667</v>
      </c>
      <c r="Q109" s="79">
        <f t="shared" si="28"/>
        <v>0.51886405960059501</v>
      </c>
      <c r="R109" s="95">
        <f t="shared" si="34"/>
        <v>0</v>
      </c>
      <c r="S109" s="95">
        <f t="shared" si="36"/>
        <v>0</v>
      </c>
      <c r="T109" s="62">
        <f t="shared" si="29"/>
        <v>0.19468977294585027</v>
      </c>
      <c r="U109" s="61">
        <f t="shared" si="38"/>
        <v>0</v>
      </c>
    </row>
    <row r="110" spans="1:21" x14ac:dyDescent="0.35">
      <c r="A110" s="1">
        <f t="shared" si="37"/>
        <v>46285</v>
      </c>
      <c r="B110" s="93" t="s">
        <v>205</v>
      </c>
      <c r="C110" s="11">
        <v>0</v>
      </c>
      <c r="F110" s="11">
        <f t="shared" si="30"/>
        <v>6504056.4705882315</v>
      </c>
      <c r="G110" s="11">
        <f t="shared" si="41"/>
        <v>6231810</v>
      </c>
      <c r="H110" s="11">
        <f t="shared" si="31"/>
        <v>272246.47058823146</v>
      </c>
      <c r="I110" s="61">
        <f t="shared" si="42"/>
        <v>0.29574934196019842</v>
      </c>
      <c r="J110" s="61">
        <f t="shared" si="32"/>
        <v>0</v>
      </c>
      <c r="K110" s="94">
        <f t="shared" si="43"/>
        <v>0.42</v>
      </c>
      <c r="L110" s="61">
        <f t="shared" si="39"/>
        <v>0</v>
      </c>
      <c r="M110" s="61">
        <f t="shared" si="33"/>
        <v>0</v>
      </c>
      <c r="N110" s="61">
        <f t="shared" si="35"/>
        <v>0.61468977294585025</v>
      </c>
      <c r="O110" s="61">
        <f t="shared" si="40"/>
        <v>0</v>
      </c>
      <c r="P110" s="79">
        <f t="shared" si="27"/>
        <v>0.31672850519834667</v>
      </c>
      <c r="Q110" s="79">
        <f t="shared" si="28"/>
        <v>0.51886405960059501</v>
      </c>
      <c r="R110" s="95">
        <f t="shared" si="34"/>
        <v>0</v>
      </c>
      <c r="S110" s="95">
        <f t="shared" si="36"/>
        <v>0</v>
      </c>
      <c r="T110" s="62">
        <f t="shared" si="29"/>
        <v>0.19468977294585027</v>
      </c>
      <c r="U110" s="61">
        <f t="shared" si="38"/>
        <v>0</v>
      </c>
    </row>
    <row r="111" spans="1:21" x14ac:dyDescent="0.35">
      <c r="A111" s="1">
        <f t="shared" si="37"/>
        <v>46286</v>
      </c>
      <c r="C111" s="11">
        <f>C107</f>
        <v>115877.64705882352</v>
      </c>
      <c r="E111" s="11">
        <f>E107</f>
        <v>120000</v>
      </c>
      <c r="F111" s="11">
        <f t="shared" si="30"/>
        <v>6619934.1176470546</v>
      </c>
      <c r="G111" s="11">
        <f t="shared" si="41"/>
        <v>6351810</v>
      </c>
      <c r="H111" s="11">
        <f t="shared" si="31"/>
        <v>268124.11764705461</v>
      </c>
      <c r="I111" s="61">
        <f t="shared" si="42"/>
        <v>0.29574934196019842</v>
      </c>
      <c r="J111" s="61">
        <f t="shared" si="32"/>
        <v>34270.737865543182</v>
      </c>
      <c r="K111" s="94">
        <f t="shared" si="43"/>
        <v>0.42</v>
      </c>
      <c r="L111" s="61">
        <f t="shared" si="39"/>
        <v>50400</v>
      </c>
      <c r="M111" s="61">
        <f t="shared" si="33"/>
        <v>-16129.262134456818</v>
      </c>
      <c r="N111" s="61">
        <f t="shared" si="35"/>
        <v>0.61468977294585025</v>
      </c>
      <c r="O111" s="61">
        <f t="shared" si="40"/>
        <v>73762.772753502024</v>
      </c>
      <c r="P111" s="79">
        <f t="shared" si="27"/>
        <v>0.31672850519834667</v>
      </c>
      <c r="Q111" s="79">
        <f t="shared" si="28"/>
        <v>0.51886405960059501</v>
      </c>
      <c r="R111" s="95">
        <f t="shared" si="34"/>
        <v>71228.804560087607</v>
      </c>
      <c r="S111" s="95">
        <f t="shared" si="36"/>
        <v>73762.772753502024</v>
      </c>
      <c r="T111" s="62">
        <f t="shared" si="29"/>
        <v>0.19468977294585027</v>
      </c>
      <c r="U111" s="61">
        <f t="shared" si="38"/>
        <v>23362.772753502031</v>
      </c>
    </row>
    <row r="112" spans="1:21" x14ac:dyDescent="0.35">
      <c r="A112" s="1">
        <f t="shared" si="37"/>
        <v>46287</v>
      </c>
      <c r="C112" s="11">
        <f>C111</f>
        <v>115877.64705882352</v>
      </c>
      <c r="E112" s="11">
        <f>E111</f>
        <v>120000</v>
      </c>
      <c r="F112" s="11">
        <f t="shared" si="30"/>
        <v>6735811.7647058778</v>
      </c>
      <c r="G112" s="11">
        <f t="shared" si="41"/>
        <v>6471810</v>
      </c>
      <c r="H112" s="11">
        <f t="shared" si="31"/>
        <v>264001.76470587775</v>
      </c>
      <c r="I112" s="61">
        <f t="shared" si="42"/>
        <v>0.29574934196019842</v>
      </c>
      <c r="J112" s="61">
        <f t="shared" si="32"/>
        <v>34270.737865543182</v>
      </c>
      <c r="K112" s="94">
        <f t="shared" si="43"/>
        <v>0.42</v>
      </c>
      <c r="L112" s="61">
        <f t="shared" si="39"/>
        <v>50400</v>
      </c>
      <c r="M112" s="61">
        <f t="shared" si="33"/>
        <v>-16129.262134456818</v>
      </c>
      <c r="N112" s="61">
        <f t="shared" si="35"/>
        <v>0.61468977294585025</v>
      </c>
      <c r="O112" s="61">
        <f t="shared" si="40"/>
        <v>73762.772753502024</v>
      </c>
      <c r="P112" s="79">
        <f t="shared" si="27"/>
        <v>0.31672850519834667</v>
      </c>
      <c r="Q112" s="79">
        <f t="shared" si="28"/>
        <v>0.51886405960059501</v>
      </c>
      <c r="R112" s="95">
        <f t="shared" si="34"/>
        <v>71228.804560087607</v>
      </c>
      <c r="S112" s="95">
        <f t="shared" si="36"/>
        <v>73762.772753502024</v>
      </c>
      <c r="T112" s="62">
        <f t="shared" si="29"/>
        <v>0.19468977294585027</v>
      </c>
      <c r="U112" s="61">
        <f t="shared" si="38"/>
        <v>23362.772753502031</v>
      </c>
    </row>
    <row r="113" spans="1:21" x14ac:dyDescent="0.35">
      <c r="A113" s="1">
        <f t="shared" si="37"/>
        <v>46288</v>
      </c>
      <c r="C113" s="11">
        <f>C112</f>
        <v>115877.64705882352</v>
      </c>
      <c r="E113" s="11">
        <f>E112</f>
        <v>120000</v>
      </c>
      <c r="F113" s="11">
        <f t="shared" si="30"/>
        <v>6851689.4117647009</v>
      </c>
      <c r="G113" s="11">
        <f t="shared" si="41"/>
        <v>6591810</v>
      </c>
      <c r="H113" s="11">
        <f t="shared" si="31"/>
        <v>259879.4117647009</v>
      </c>
      <c r="I113" s="61">
        <f t="shared" si="42"/>
        <v>0.29574934196019842</v>
      </c>
      <c r="J113" s="61">
        <f t="shared" si="32"/>
        <v>34270.737865543182</v>
      </c>
      <c r="K113" s="94">
        <f t="shared" si="43"/>
        <v>0.42</v>
      </c>
      <c r="L113" s="61">
        <f t="shared" si="39"/>
        <v>50400</v>
      </c>
      <c r="M113" s="61">
        <f t="shared" si="33"/>
        <v>-16129.262134456818</v>
      </c>
      <c r="N113" s="61">
        <f t="shared" si="35"/>
        <v>0.61468977294585025</v>
      </c>
      <c r="O113" s="61">
        <f t="shared" si="40"/>
        <v>73762.772753502024</v>
      </c>
      <c r="P113" s="79">
        <f t="shared" si="27"/>
        <v>0.31672850519834667</v>
      </c>
      <c r="Q113" s="79">
        <f t="shared" si="28"/>
        <v>0.51886405960059501</v>
      </c>
      <c r="R113" s="95">
        <f t="shared" si="34"/>
        <v>71228.804560087607</v>
      </c>
      <c r="S113" s="95">
        <f t="shared" si="36"/>
        <v>73762.772753502024</v>
      </c>
      <c r="T113" s="62">
        <f t="shared" si="29"/>
        <v>0.19468977294585027</v>
      </c>
      <c r="U113" s="61">
        <f t="shared" si="38"/>
        <v>23362.772753502031</v>
      </c>
    </row>
    <row r="114" spans="1:21" x14ac:dyDescent="0.35">
      <c r="A114" s="1">
        <f t="shared" si="37"/>
        <v>46289</v>
      </c>
      <c r="C114" s="11">
        <f>C113</f>
        <v>115877.64705882352</v>
      </c>
      <c r="E114" s="11">
        <f>E113</f>
        <v>120000</v>
      </c>
      <c r="F114" s="11">
        <f t="shared" si="30"/>
        <v>6967567.058823524</v>
      </c>
      <c r="G114" s="11">
        <f t="shared" si="41"/>
        <v>6711810</v>
      </c>
      <c r="H114" s="11">
        <f t="shared" si="31"/>
        <v>255757.05882352404</v>
      </c>
      <c r="I114" s="61">
        <f t="shared" si="42"/>
        <v>0.29574934196019842</v>
      </c>
      <c r="J114" s="61">
        <f t="shared" si="32"/>
        <v>34270.737865543182</v>
      </c>
      <c r="K114" s="94">
        <f t="shared" si="43"/>
        <v>0.42</v>
      </c>
      <c r="L114" s="61">
        <f t="shared" si="39"/>
        <v>50400</v>
      </c>
      <c r="M114" s="61">
        <f t="shared" si="33"/>
        <v>-16129.262134456818</v>
      </c>
      <c r="N114" s="61">
        <f t="shared" si="35"/>
        <v>0.61468977294585025</v>
      </c>
      <c r="O114" s="61">
        <f t="shared" si="40"/>
        <v>73762.772753502024</v>
      </c>
      <c r="P114" s="79">
        <f t="shared" si="27"/>
        <v>0.31672850519834667</v>
      </c>
      <c r="Q114" s="79">
        <f t="shared" si="28"/>
        <v>0.51886405960059501</v>
      </c>
      <c r="R114" s="95">
        <f t="shared" si="34"/>
        <v>71228.804560087607</v>
      </c>
      <c r="S114" s="95">
        <f t="shared" si="36"/>
        <v>73762.772753502024</v>
      </c>
      <c r="T114" s="62">
        <f t="shared" si="29"/>
        <v>0.19468977294585027</v>
      </c>
      <c r="U114" s="61">
        <f t="shared" si="38"/>
        <v>23362.772753502031</v>
      </c>
    </row>
    <row r="115" spans="1:21" x14ac:dyDescent="0.35">
      <c r="A115" s="1">
        <f t="shared" si="37"/>
        <v>46290</v>
      </c>
      <c r="C115" s="11">
        <v>0</v>
      </c>
      <c r="E115" s="11">
        <f>E114</f>
        <v>120000</v>
      </c>
      <c r="F115" s="11">
        <f t="shared" si="30"/>
        <v>6967567.058823524</v>
      </c>
      <c r="G115" s="11">
        <f t="shared" si="41"/>
        <v>6831810</v>
      </c>
      <c r="H115" s="11">
        <f t="shared" si="31"/>
        <v>135757.05882352404</v>
      </c>
      <c r="I115" s="61">
        <f t="shared" si="42"/>
        <v>0.29574934196019842</v>
      </c>
      <c r="J115" s="61">
        <f t="shared" si="32"/>
        <v>0</v>
      </c>
      <c r="K115" s="94">
        <f t="shared" si="43"/>
        <v>0.42</v>
      </c>
      <c r="L115" s="61">
        <f t="shared" si="39"/>
        <v>50400</v>
      </c>
      <c r="M115" s="61">
        <f t="shared" si="33"/>
        <v>-50400</v>
      </c>
      <c r="N115" s="61">
        <f t="shared" si="35"/>
        <v>0.61468977294585025</v>
      </c>
      <c r="O115" s="61">
        <f t="shared" si="40"/>
        <v>73762.772753502024</v>
      </c>
      <c r="P115" s="79">
        <f t="shared" si="27"/>
        <v>0.31672850519834667</v>
      </c>
      <c r="Q115" s="79">
        <f t="shared" si="28"/>
        <v>0.51886405960059501</v>
      </c>
      <c r="R115" s="95">
        <f t="shared" si="34"/>
        <v>0</v>
      </c>
      <c r="S115" s="95">
        <f t="shared" si="36"/>
        <v>73762.772753502024</v>
      </c>
      <c r="T115" s="62">
        <f t="shared" si="29"/>
        <v>0.19468977294585027</v>
      </c>
      <c r="U115" s="61">
        <f t="shared" si="38"/>
        <v>23362.772753502031</v>
      </c>
    </row>
    <row r="116" spans="1:21" x14ac:dyDescent="0.35">
      <c r="A116" s="1">
        <f t="shared" si="37"/>
        <v>46291</v>
      </c>
      <c r="C116" s="11">
        <f>B116</f>
        <v>0</v>
      </c>
      <c r="F116" s="11">
        <f t="shared" si="30"/>
        <v>6967567.058823524</v>
      </c>
      <c r="G116" s="11">
        <f t="shared" si="41"/>
        <v>6831810</v>
      </c>
      <c r="H116" s="11">
        <f t="shared" si="31"/>
        <v>135757.05882352404</v>
      </c>
      <c r="I116" s="61">
        <f t="shared" si="42"/>
        <v>0.29574934196019842</v>
      </c>
      <c r="J116" s="61">
        <f t="shared" si="32"/>
        <v>0</v>
      </c>
      <c r="K116" s="94">
        <f t="shared" si="43"/>
        <v>0.42</v>
      </c>
      <c r="L116" s="61">
        <f t="shared" si="39"/>
        <v>0</v>
      </c>
      <c r="M116" s="61">
        <f t="shared" si="33"/>
        <v>0</v>
      </c>
      <c r="N116" s="61">
        <f t="shared" si="35"/>
        <v>0.61468977294585025</v>
      </c>
      <c r="O116" s="61">
        <f t="shared" si="40"/>
        <v>0</v>
      </c>
      <c r="P116" s="79">
        <f t="shared" si="27"/>
        <v>0.31672850519834667</v>
      </c>
      <c r="Q116" s="79">
        <f t="shared" si="28"/>
        <v>0.51886405960059501</v>
      </c>
      <c r="R116" s="95">
        <f t="shared" si="34"/>
        <v>0</v>
      </c>
      <c r="S116" s="95">
        <f t="shared" si="36"/>
        <v>0</v>
      </c>
      <c r="T116" s="62">
        <f t="shared" si="29"/>
        <v>0.19468977294585027</v>
      </c>
      <c r="U116" s="61">
        <f t="shared" si="38"/>
        <v>0</v>
      </c>
    </row>
    <row r="117" spans="1:21" x14ac:dyDescent="0.35">
      <c r="A117" s="1">
        <f t="shared" si="37"/>
        <v>46292</v>
      </c>
      <c r="B117" s="93" t="s">
        <v>205</v>
      </c>
      <c r="C117" s="11">
        <v>0</v>
      </c>
      <c r="F117" s="11">
        <f t="shared" si="30"/>
        <v>6967567.058823524</v>
      </c>
      <c r="G117" s="11">
        <f t="shared" si="41"/>
        <v>6831810</v>
      </c>
      <c r="H117" s="11">
        <f t="shared" si="31"/>
        <v>135757.05882352404</v>
      </c>
      <c r="I117" s="61">
        <f t="shared" si="42"/>
        <v>0.29574934196019842</v>
      </c>
      <c r="J117" s="61">
        <f t="shared" si="32"/>
        <v>0</v>
      </c>
      <c r="K117" s="94">
        <f t="shared" si="43"/>
        <v>0.42</v>
      </c>
      <c r="L117" s="61">
        <f t="shared" si="39"/>
        <v>0</v>
      </c>
      <c r="M117" s="61">
        <f t="shared" si="33"/>
        <v>0</v>
      </c>
      <c r="N117" s="61">
        <f t="shared" si="35"/>
        <v>0.61468977294585025</v>
      </c>
      <c r="O117" s="61">
        <f t="shared" si="40"/>
        <v>0</v>
      </c>
      <c r="P117" s="79">
        <f t="shared" si="27"/>
        <v>0.31672850519834667</v>
      </c>
      <c r="Q117" s="79">
        <f t="shared" si="28"/>
        <v>0.51886405960059501</v>
      </c>
      <c r="R117" s="95">
        <f t="shared" si="34"/>
        <v>0</v>
      </c>
      <c r="S117" s="95">
        <f t="shared" si="36"/>
        <v>0</v>
      </c>
      <c r="T117" s="62">
        <f t="shared" si="29"/>
        <v>0.19468977294585027</v>
      </c>
      <c r="U117" s="61">
        <f t="shared" si="38"/>
        <v>0</v>
      </c>
    </row>
    <row r="118" spans="1:21" x14ac:dyDescent="0.35">
      <c r="A118" s="1">
        <f t="shared" si="37"/>
        <v>46293</v>
      </c>
      <c r="C118" s="11">
        <f>C114</f>
        <v>115877.64705882352</v>
      </c>
      <c r="E118" s="11">
        <f>E115</f>
        <v>120000</v>
      </c>
      <c r="F118" s="11">
        <f t="shared" si="30"/>
        <v>7083444.7058823472</v>
      </c>
      <c r="G118" s="11">
        <f t="shared" si="41"/>
        <v>6951810</v>
      </c>
      <c r="H118" s="11">
        <f t="shared" si="31"/>
        <v>131634.70588234719</v>
      </c>
      <c r="I118" s="61">
        <f t="shared" si="42"/>
        <v>0.29574934196019842</v>
      </c>
      <c r="J118" s="61">
        <f t="shared" si="32"/>
        <v>34270.737865543182</v>
      </c>
      <c r="K118" s="94">
        <f t="shared" si="43"/>
        <v>0.42</v>
      </c>
      <c r="L118" s="61">
        <f t="shared" si="39"/>
        <v>50400</v>
      </c>
      <c r="M118" s="61">
        <f t="shared" si="33"/>
        <v>-16129.262134456818</v>
      </c>
      <c r="N118" s="61">
        <f t="shared" si="35"/>
        <v>0.61468977294585025</v>
      </c>
      <c r="O118" s="61">
        <f t="shared" si="40"/>
        <v>73762.772753502024</v>
      </c>
      <c r="P118" s="79">
        <f t="shared" si="27"/>
        <v>0.31672850519834667</v>
      </c>
      <c r="Q118" s="79">
        <f t="shared" si="28"/>
        <v>0.51886405960059501</v>
      </c>
      <c r="R118" s="95">
        <f t="shared" si="34"/>
        <v>71228.804560087607</v>
      </c>
      <c r="S118" s="95">
        <f t="shared" si="36"/>
        <v>73762.772753502024</v>
      </c>
      <c r="T118" s="62">
        <f t="shared" si="29"/>
        <v>0.19468977294585027</v>
      </c>
      <c r="U118" s="61">
        <f t="shared" si="38"/>
        <v>23362.772753502031</v>
      </c>
    </row>
    <row r="119" spans="1:21" x14ac:dyDescent="0.35">
      <c r="A119" s="1">
        <f t="shared" si="37"/>
        <v>46294</v>
      </c>
      <c r="C119" s="11">
        <f>C118</f>
        <v>115877.64705882352</v>
      </c>
      <c r="E119" s="11">
        <f>E118</f>
        <v>120000</v>
      </c>
      <c r="F119" s="11">
        <f t="shared" si="30"/>
        <v>7199322.3529411703</v>
      </c>
      <c r="G119" s="11">
        <f t="shared" si="41"/>
        <v>7071810</v>
      </c>
      <c r="H119" s="11">
        <f t="shared" si="31"/>
        <v>127512.35294117033</v>
      </c>
      <c r="I119" s="61">
        <f t="shared" si="42"/>
        <v>0.29574934196019842</v>
      </c>
      <c r="J119" s="61">
        <f t="shared" si="32"/>
        <v>34270.737865543182</v>
      </c>
      <c r="K119" s="94">
        <f t="shared" si="43"/>
        <v>0.42</v>
      </c>
      <c r="L119" s="61">
        <f t="shared" si="39"/>
        <v>50400</v>
      </c>
      <c r="M119" s="61">
        <f t="shared" si="33"/>
        <v>-16129.262134456818</v>
      </c>
      <c r="N119" s="61">
        <f t="shared" si="35"/>
        <v>0.61468977294585025</v>
      </c>
      <c r="O119" s="61">
        <f t="shared" si="40"/>
        <v>73762.772753502024</v>
      </c>
      <c r="P119" s="79">
        <f t="shared" si="27"/>
        <v>0.31672850519834667</v>
      </c>
      <c r="Q119" s="79">
        <f t="shared" si="28"/>
        <v>0.51886405960059501</v>
      </c>
      <c r="R119" s="95">
        <f t="shared" si="34"/>
        <v>71228.804560087607</v>
      </c>
      <c r="S119" s="95">
        <f t="shared" si="36"/>
        <v>73762.772753502024</v>
      </c>
      <c r="T119" s="62">
        <f t="shared" si="29"/>
        <v>0.19468977294585027</v>
      </c>
      <c r="U119" s="61">
        <f t="shared" si="38"/>
        <v>23362.772753502031</v>
      </c>
    </row>
    <row r="120" spans="1:21" x14ac:dyDescent="0.35">
      <c r="A120" s="1">
        <f t="shared" si="37"/>
        <v>46295</v>
      </c>
      <c r="C120" s="11">
        <f>C119</f>
        <v>115877.64705882352</v>
      </c>
      <c r="E120" s="11">
        <f>E119</f>
        <v>120000</v>
      </c>
      <c r="F120" s="11">
        <f t="shared" si="30"/>
        <v>7315199.9999999935</v>
      </c>
      <c r="G120" s="11">
        <f t="shared" si="41"/>
        <v>7191810</v>
      </c>
      <c r="H120" s="11">
        <f t="shared" si="31"/>
        <v>123389.99999999348</v>
      </c>
      <c r="I120" s="61">
        <f t="shared" si="42"/>
        <v>0.29574934196019842</v>
      </c>
      <c r="J120" s="61">
        <f t="shared" si="32"/>
        <v>34270.737865543182</v>
      </c>
      <c r="K120" s="94">
        <f t="shared" si="43"/>
        <v>0.42</v>
      </c>
      <c r="L120" s="61">
        <f t="shared" si="39"/>
        <v>50400</v>
      </c>
      <c r="M120" s="61">
        <f t="shared" si="33"/>
        <v>-16129.262134456818</v>
      </c>
      <c r="N120" s="61">
        <f t="shared" si="35"/>
        <v>0.61468977294585025</v>
      </c>
      <c r="O120" s="61">
        <f t="shared" si="40"/>
        <v>73762.772753502024</v>
      </c>
      <c r="P120" s="79">
        <f t="shared" si="27"/>
        <v>0.31672850519834667</v>
      </c>
      <c r="Q120" s="79">
        <f t="shared" si="28"/>
        <v>0.51886405960059501</v>
      </c>
      <c r="R120" s="95">
        <f t="shared" si="34"/>
        <v>71228.804560087607</v>
      </c>
      <c r="S120" s="95">
        <f t="shared" si="36"/>
        <v>73762.772753502024</v>
      </c>
      <c r="T120" s="62">
        <f t="shared" si="29"/>
        <v>0.19468977294585027</v>
      </c>
      <c r="U120" s="61">
        <f t="shared" si="38"/>
        <v>23362.772753502031</v>
      </c>
    </row>
    <row r="121" spans="1:21" x14ac:dyDescent="0.35">
      <c r="A121" s="1">
        <f t="shared" si="37"/>
        <v>46296</v>
      </c>
      <c r="C121" s="11">
        <f>'[1]Ramp Plan'!Y94/17</f>
        <v>152470.58823529413</v>
      </c>
      <c r="D121" s="93"/>
      <c r="E121" s="11">
        <v>120000</v>
      </c>
      <c r="F121" s="11">
        <f t="shared" si="30"/>
        <v>7467670.5882352879</v>
      </c>
      <c r="G121" s="11">
        <f>G120+E121</f>
        <v>7311810</v>
      </c>
      <c r="H121" s="11">
        <f t="shared" si="31"/>
        <v>155860.58823528793</v>
      </c>
      <c r="I121" s="61">
        <f>'[1]Ramp Plan'!Y255</f>
        <v>0.2737198273421953</v>
      </c>
      <c r="J121" s="61">
        <f t="shared" si="32"/>
        <v>41734.223086527665</v>
      </c>
      <c r="K121" s="94">
        <v>0.37</v>
      </c>
      <c r="L121" s="61">
        <f>K121*(E121)</f>
        <v>44400</v>
      </c>
      <c r="M121" s="61">
        <f t="shared" si="33"/>
        <v>-2665.7769134723349</v>
      </c>
      <c r="N121" s="61">
        <f t="shared" si="35"/>
        <v>0.61468977294585025</v>
      </c>
      <c r="O121" s="61">
        <f>N121*(E121)</f>
        <v>73762.772753502024</v>
      </c>
      <c r="P121" s="79">
        <f t="shared" si="27"/>
        <v>0.3980703498175911</v>
      </c>
      <c r="Q121" s="79">
        <f t="shared" si="28"/>
        <v>0.55470248670249467</v>
      </c>
      <c r="R121" s="95">
        <f t="shared" si="34"/>
        <v>93722.111263273167</v>
      </c>
      <c r="S121" s="95">
        <f>(E121)*N121</f>
        <v>73762.772753502024</v>
      </c>
      <c r="T121" s="62">
        <f t="shared" si="29"/>
        <v>0.24468977294585026</v>
      </c>
      <c r="U121" s="61">
        <f>T121*(E121)</f>
        <v>29362.772753502031</v>
      </c>
    </row>
    <row r="122" spans="1:21" x14ac:dyDescent="0.35">
      <c r="A122" s="1">
        <f t="shared" si="37"/>
        <v>46297</v>
      </c>
      <c r="C122" s="11">
        <v>0</v>
      </c>
      <c r="E122" s="11">
        <f>E121</f>
        <v>120000</v>
      </c>
      <c r="F122" s="11">
        <f t="shared" si="30"/>
        <v>7467670.5882352879</v>
      </c>
      <c r="G122" s="11">
        <f t="shared" si="41"/>
        <v>7431810</v>
      </c>
      <c r="H122" s="11">
        <f t="shared" si="31"/>
        <v>35860.588235287927</v>
      </c>
      <c r="I122" s="61">
        <f>$I$121</f>
        <v>0.2737198273421953</v>
      </c>
      <c r="J122" s="61">
        <f t="shared" si="32"/>
        <v>0</v>
      </c>
      <c r="K122" s="94">
        <f t="shared" si="43"/>
        <v>0.37</v>
      </c>
      <c r="L122" s="61">
        <f t="shared" si="39"/>
        <v>44400</v>
      </c>
      <c r="M122" s="61">
        <f t="shared" si="33"/>
        <v>-44400</v>
      </c>
      <c r="N122" s="61">
        <f t="shared" si="35"/>
        <v>0.61468977294585025</v>
      </c>
      <c r="O122" s="61">
        <f t="shared" si="40"/>
        <v>73762.772753502024</v>
      </c>
      <c r="P122" s="79">
        <f t="shared" si="27"/>
        <v>0.3980703498175911</v>
      </c>
      <c r="Q122" s="79">
        <f t="shared" si="28"/>
        <v>0.55470248670249467</v>
      </c>
      <c r="R122" s="95">
        <f t="shared" si="34"/>
        <v>0</v>
      </c>
      <c r="S122" s="95">
        <f t="shared" si="36"/>
        <v>73762.772753502024</v>
      </c>
      <c r="T122" s="62">
        <f t="shared" si="29"/>
        <v>0.24468977294585026</v>
      </c>
      <c r="U122" s="61">
        <f t="shared" si="38"/>
        <v>29362.772753502031</v>
      </c>
    </row>
    <row r="123" spans="1:21" x14ac:dyDescent="0.35">
      <c r="A123" s="1">
        <f t="shared" si="37"/>
        <v>46298</v>
      </c>
      <c r="C123" s="11">
        <f>B123</f>
        <v>0</v>
      </c>
      <c r="F123" s="11">
        <f t="shared" si="30"/>
        <v>7467670.5882352879</v>
      </c>
      <c r="G123" s="11">
        <f t="shared" si="41"/>
        <v>7431810</v>
      </c>
      <c r="H123" s="11">
        <f t="shared" si="31"/>
        <v>35860.588235287927</v>
      </c>
      <c r="I123" s="61">
        <f t="shared" ref="I123:I151" si="44">$I$121</f>
        <v>0.2737198273421953</v>
      </c>
      <c r="J123" s="61">
        <f t="shared" si="32"/>
        <v>0</v>
      </c>
      <c r="K123" s="94">
        <f t="shared" si="43"/>
        <v>0.37</v>
      </c>
      <c r="L123" s="61">
        <f t="shared" si="39"/>
        <v>0</v>
      </c>
      <c r="M123" s="61">
        <f t="shared" si="33"/>
        <v>0</v>
      </c>
      <c r="N123" s="61">
        <f t="shared" si="35"/>
        <v>0.61468977294585025</v>
      </c>
      <c r="O123" s="61">
        <f t="shared" si="40"/>
        <v>0</v>
      </c>
      <c r="P123" s="79">
        <f t="shared" si="27"/>
        <v>0.3980703498175911</v>
      </c>
      <c r="Q123" s="79">
        <f t="shared" si="28"/>
        <v>0.55470248670249467</v>
      </c>
      <c r="R123" s="95">
        <f t="shared" si="34"/>
        <v>0</v>
      </c>
      <c r="S123" s="95">
        <f t="shared" si="36"/>
        <v>0</v>
      </c>
      <c r="T123" s="62">
        <f t="shared" si="29"/>
        <v>0.24468977294585026</v>
      </c>
      <c r="U123" s="61">
        <f t="shared" si="38"/>
        <v>0</v>
      </c>
    </row>
    <row r="124" spans="1:21" x14ac:dyDescent="0.35">
      <c r="A124" s="1">
        <f t="shared" si="37"/>
        <v>46299</v>
      </c>
      <c r="B124" s="93" t="s">
        <v>205</v>
      </c>
      <c r="C124" s="11">
        <v>0</v>
      </c>
      <c r="F124" s="11">
        <f t="shared" si="30"/>
        <v>7467670.5882352879</v>
      </c>
      <c r="G124" s="11">
        <f t="shared" si="41"/>
        <v>7431810</v>
      </c>
      <c r="H124" s="11">
        <f t="shared" si="31"/>
        <v>35860.588235287927</v>
      </c>
      <c r="I124" s="61">
        <f t="shared" si="44"/>
        <v>0.2737198273421953</v>
      </c>
      <c r="J124" s="61">
        <f t="shared" si="32"/>
        <v>0</v>
      </c>
      <c r="K124" s="94">
        <f t="shared" si="43"/>
        <v>0.37</v>
      </c>
      <c r="L124" s="61">
        <f t="shared" si="39"/>
        <v>0</v>
      </c>
      <c r="M124" s="61">
        <f t="shared" si="33"/>
        <v>0</v>
      </c>
      <c r="N124" s="61">
        <f t="shared" si="35"/>
        <v>0.61468977294585025</v>
      </c>
      <c r="O124" s="61">
        <f t="shared" si="40"/>
        <v>0</v>
      </c>
      <c r="P124" s="79">
        <f t="shared" si="27"/>
        <v>0.3980703498175911</v>
      </c>
      <c r="Q124" s="79">
        <f t="shared" si="28"/>
        <v>0.55470248670249467</v>
      </c>
      <c r="R124" s="95">
        <f t="shared" si="34"/>
        <v>0</v>
      </c>
      <c r="S124" s="95">
        <f t="shared" si="36"/>
        <v>0</v>
      </c>
      <c r="T124" s="62">
        <f t="shared" si="29"/>
        <v>0.24468977294585026</v>
      </c>
      <c r="U124" s="61">
        <f t="shared" si="38"/>
        <v>0</v>
      </c>
    </row>
    <row r="125" spans="1:21" x14ac:dyDescent="0.35">
      <c r="A125" s="1">
        <f t="shared" si="37"/>
        <v>46300</v>
      </c>
      <c r="C125" s="11">
        <f>C121</f>
        <v>152470.58823529413</v>
      </c>
      <c r="E125" s="11">
        <f>E121</f>
        <v>120000</v>
      </c>
      <c r="F125" s="11">
        <f t="shared" si="30"/>
        <v>7620141.1764705824</v>
      </c>
      <c r="G125" s="11">
        <f t="shared" si="41"/>
        <v>7551810</v>
      </c>
      <c r="H125" s="11">
        <f t="shared" si="31"/>
        <v>68331.176470582373</v>
      </c>
      <c r="I125" s="61">
        <f t="shared" si="44"/>
        <v>0.2737198273421953</v>
      </c>
      <c r="J125" s="61">
        <f t="shared" si="32"/>
        <v>41734.223086527665</v>
      </c>
      <c r="K125" s="94">
        <f t="shared" si="43"/>
        <v>0.37</v>
      </c>
      <c r="L125" s="61">
        <f t="shared" si="39"/>
        <v>44400</v>
      </c>
      <c r="M125" s="61">
        <f t="shared" si="33"/>
        <v>-2665.7769134723349</v>
      </c>
      <c r="N125" s="61">
        <f t="shared" si="35"/>
        <v>0.61468977294585025</v>
      </c>
      <c r="O125" s="61">
        <f t="shared" si="40"/>
        <v>73762.772753502024</v>
      </c>
      <c r="P125" s="79">
        <f t="shared" si="27"/>
        <v>0.3980703498175911</v>
      </c>
      <c r="Q125" s="79">
        <f t="shared" si="28"/>
        <v>0.55470248670249467</v>
      </c>
      <c r="R125" s="95">
        <f t="shared" si="34"/>
        <v>93722.111263273167</v>
      </c>
      <c r="S125" s="95">
        <f t="shared" si="36"/>
        <v>73762.772753502024</v>
      </c>
      <c r="T125" s="62">
        <f t="shared" si="29"/>
        <v>0.24468977294585026</v>
      </c>
      <c r="U125" s="61">
        <f t="shared" si="38"/>
        <v>29362.772753502031</v>
      </c>
    </row>
    <row r="126" spans="1:21" x14ac:dyDescent="0.35">
      <c r="A126" s="1">
        <f t="shared" si="37"/>
        <v>46301</v>
      </c>
      <c r="C126" s="11">
        <f>C125</f>
        <v>152470.58823529413</v>
      </c>
      <c r="E126" s="11">
        <f>E125</f>
        <v>120000</v>
      </c>
      <c r="F126" s="11">
        <f t="shared" si="30"/>
        <v>7772611.7647058768</v>
      </c>
      <c r="G126" s="11">
        <f t="shared" si="41"/>
        <v>7671810</v>
      </c>
      <c r="H126" s="11">
        <f t="shared" si="31"/>
        <v>100801.76470587682</v>
      </c>
      <c r="I126" s="61">
        <f t="shared" si="44"/>
        <v>0.2737198273421953</v>
      </c>
      <c r="J126" s="61">
        <f t="shared" si="32"/>
        <v>41734.223086527665</v>
      </c>
      <c r="K126" s="94">
        <f t="shared" si="43"/>
        <v>0.37</v>
      </c>
      <c r="L126" s="61">
        <f t="shared" si="39"/>
        <v>44400</v>
      </c>
      <c r="M126" s="61">
        <f t="shared" si="33"/>
        <v>-2665.7769134723349</v>
      </c>
      <c r="N126" s="61">
        <f t="shared" si="35"/>
        <v>0.61468977294585025</v>
      </c>
      <c r="O126" s="61">
        <f t="shared" si="40"/>
        <v>73762.772753502024</v>
      </c>
      <c r="P126" s="79">
        <f t="shared" si="27"/>
        <v>0.3980703498175911</v>
      </c>
      <c r="Q126" s="79">
        <f t="shared" si="28"/>
        <v>0.55470248670249467</v>
      </c>
      <c r="R126" s="95">
        <f t="shared" si="34"/>
        <v>93722.111263273167</v>
      </c>
      <c r="S126" s="95">
        <f t="shared" si="36"/>
        <v>73762.772753502024</v>
      </c>
      <c r="T126" s="62">
        <f t="shared" si="29"/>
        <v>0.24468977294585026</v>
      </c>
      <c r="U126" s="61">
        <f t="shared" si="38"/>
        <v>29362.772753502031</v>
      </c>
    </row>
    <row r="127" spans="1:21" x14ac:dyDescent="0.35">
      <c r="A127" s="1">
        <f t="shared" si="37"/>
        <v>46302</v>
      </c>
      <c r="C127" s="11">
        <f>C126</f>
        <v>152470.58823529413</v>
      </c>
      <c r="E127" s="11">
        <f>E126</f>
        <v>120000</v>
      </c>
      <c r="F127" s="11">
        <f t="shared" si="30"/>
        <v>7925082.3529411713</v>
      </c>
      <c r="G127" s="11">
        <f t="shared" si="41"/>
        <v>7791810</v>
      </c>
      <c r="H127" s="11">
        <f t="shared" si="31"/>
        <v>133272.35294117127</v>
      </c>
      <c r="I127" s="61">
        <f t="shared" si="44"/>
        <v>0.2737198273421953</v>
      </c>
      <c r="J127" s="61">
        <f t="shared" si="32"/>
        <v>41734.223086527665</v>
      </c>
      <c r="K127" s="94">
        <f t="shared" si="43"/>
        <v>0.37</v>
      </c>
      <c r="L127" s="61">
        <f t="shared" si="39"/>
        <v>44400</v>
      </c>
      <c r="M127" s="61">
        <f t="shared" si="33"/>
        <v>-2665.7769134723349</v>
      </c>
      <c r="N127" s="61">
        <f t="shared" si="35"/>
        <v>0.61468977294585025</v>
      </c>
      <c r="O127" s="61">
        <f t="shared" si="40"/>
        <v>73762.772753502024</v>
      </c>
      <c r="P127" s="79">
        <f t="shared" si="27"/>
        <v>0.3980703498175911</v>
      </c>
      <c r="Q127" s="79">
        <f t="shared" si="28"/>
        <v>0.55470248670249467</v>
      </c>
      <c r="R127" s="95">
        <f t="shared" si="34"/>
        <v>93722.111263273167</v>
      </c>
      <c r="S127" s="95">
        <f t="shared" si="36"/>
        <v>73762.772753502024</v>
      </c>
      <c r="T127" s="62">
        <f t="shared" si="29"/>
        <v>0.24468977294585026</v>
      </c>
      <c r="U127" s="61">
        <f t="shared" si="38"/>
        <v>29362.772753502031</v>
      </c>
    </row>
    <row r="128" spans="1:21" x14ac:dyDescent="0.35">
      <c r="A128" s="1">
        <f t="shared" si="37"/>
        <v>46303</v>
      </c>
      <c r="C128" s="11">
        <f>C127</f>
        <v>152470.58823529413</v>
      </c>
      <c r="E128" s="11">
        <f>E127</f>
        <v>120000</v>
      </c>
      <c r="F128" s="11">
        <f t="shared" si="30"/>
        <v>8077552.9411764657</v>
      </c>
      <c r="G128" s="11">
        <f t="shared" si="41"/>
        <v>7911810</v>
      </c>
      <c r="H128" s="11">
        <f t="shared" si="31"/>
        <v>165742.94117646571</v>
      </c>
      <c r="I128" s="61">
        <f t="shared" si="44"/>
        <v>0.2737198273421953</v>
      </c>
      <c r="J128" s="61">
        <f t="shared" si="32"/>
        <v>41734.223086527665</v>
      </c>
      <c r="K128" s="94">
        <f t="shared" si="43"/>
        <v>0.37</v>
      </c>
      <c r="L128" s="61">
        <f t="shared" si="39"/>
        <v>44400</v>
      </c>
      <c r="M128" s="61">
        <f t="shared" si="33"/>
        <v>-2665.7769134723349</v>
      </c>
      <c r="N128" s="61">
        <f t="shared" si="35"/>
        <v>0.61468977294585025</v>
      </c>
      <c r="O128" s="61">
        <f t="shared" si="40"/>
        <v>73762.772753502024</v>
      </c>
      <c r="P128" s="79">
        <f t="shared" si="27"/>
        <v>0.3980703498175911</v>
      </c>
      <c r="Q128" s="79">
        <f t="shared" si="28"/>
        <v>0.55470248670249467</v>
      </c>
      <c r="R128" s="95">
        <f t="shared" si="34"/>
        <v>93722.111263273167</v>
      </c>
      <c r="S128" s="95">
        <f t="shared" si="36"/>
        <v>73762.772753502024</v>
      </c>
      <c r="T128" s="62">
        <f t="shared" si="29"/>
        <v>0.24468977294585026</v>
      </c>
      <c r="U128" s="61">
        <f t="shared" si="38"/>
        <v>29362.772753502031</v>
      </c>
    </row>
    <row r="129" spans="1:21" x14ac:dyDescent="0.35">
      <c r="A129" s="1">
        <f t="shared" si="37"/>
        <v>46304</v>
      </c>
      <c r="C129" s="11">
        <v>0</v>
      </c>
      <c r="E129" s="11">
        <f>E128</f>
        <v>120000</v>
      </c>
      <c r="F129" s="11">
        <f t="shared" si="30"/>
        <v>8077552.9411764657</v>
      </c>
      <c r="G129" s="11">
        <f t="shared" si="41"/>
        <v>8031810</v>
      </c>
      <c r="H129" s="11">
        <f t="shared" si="31"/>
        <v>45742.941176465712</v>
      </c>
      <c r="I129" s="61">
        <f t="shared" si="44"/>
        <v>0.2737198273421953</v>
      </c>
      <c r="J129" s="61">
        <f t="shared" si="32"/>
        <v>0</v>
      </c>
      <c r="K129" s="94">
        <f t="shared" si="43"/>
        <v>0.37</v>
      </c>
      <c r="L129" s="61">
        <f t="shared" si="39"/>
        <v>44400</v>
      </c>
      <c r="M129" s="61">
        <f t="shared" si="33"/>
        <v>-44400</v>
      </c>
      <c r="N129" s="61">
        <f t="shared" si="35"/>
        <v>0.61468977294585025</v>
      </c>
      <c r="O129" s="61">
        <f t="shared" si="40"/>
        <v>73762.772753502024</v>
      </c>
      <c r="P129" s="79">
        <f t="shared" si="27"/>
        <v>0.3980703498175911</v>
      </c>
      <c r="Q129" s="79">
        <f t="shared" si="28"/>
        <v>0.55470248670249467</v>
      </c>
      <c r="R129" s="95">
        <f t="shared" si="34"/>
        <v>0</v>
      </c>
      <c r="S129" s="95">
        <f t="shared" si="36"/>
        <v>73762.772753502024</v>
      </c>
      <c r="T129" s="62">
        <f t="shared" si="29"/>
        <v>0.24468977294585026</v>
      </c>
      <c r="U129" s="61">
        <f t="shared" si="38"/>
        <v>29362.772753502031</v>
      </c>
    </row>
    <row r="130" spans="1:21" x14ac:dyDescent="0.35">
      <c r="A130" s="1">
        <f t="shared" si="37"/>
        <v>46305</v>
      </c>
      <c r="C130" s="11">
        <f>B130</f>
        <v>0</v>
      </c>
      <c r="F130" s="11">
        <f t="shared" si="30"/>
        <v>8077552.9411764657</v>
      </c>
      <c r="G130" s="11">
        <f t="shared" si="41"/>
        <v>8031810</v>
      </c>
      <c r="H130" s="11">
        <f t="shared" si="31"/>
        <v>45742.941176465712</v>
      </c>
      <c r="I130" s="61">
        <f t="shared" si="44"/>
        <v>0.2737198273421953</v>
      </c>
      <c r="J130" s="61">
        <f t="shared" si="32"/>
        <v>0</v>
      </c>
      <c r="K130" s="94">
        <f t="shared" si="43"/>
        <v>0.37</v>
      </c>
      <c r="L130" s="61">
        <f t="shared" si="39"/>
        <v>0</v>
      </c>
      <c r="M130" s="61">
        <f t="shared" si="33"/>
        <v>0</v>
      </c>
      <c r="N130" s="61">
        <f t="shared" si="35"/>
        <v>0.61468977294585025</v>
      </c>
      <c r="O130" s="61">
        <f t="shared" si="40"/>
        <v>0</v>
      </c>
      <c r="P130" s="79">
        <f t="shared" si="27"/>
        <v>0.3980703498175911</v>
      </c>
      <c r="Q130" s="79">
        <f t="shared" si="28"/>
        <v>0.55470248670249467</v>
      </c>
      <c r="R130" s="95">
        <f t="shared" si="34"/>
        <v>0</v>
      </c>
      <c r="S130" s="95">
        <f t="shared" si="36"/>
        <v>0</v>
      </c>
      <c r="T130" s="62">
        <f t="shared" si="29"/>
        <v>0.24468977294585026</v>
      </c>
      <c r="U130" s="61">
        <f t="shared" si="38"/>
        <v>0</v>
      </c>
    </row>
    <row r="131" spans="1:21" x14ac:dyDescent="0.35">
      <c r="A131" s="1">
        <f t="shared" si="37"/>
        <v>46306</v>
      </c>
      <c r="B131" s="93" t="s">
        <v>205</v>
      </c>
      <c r="C131" s="11">
        <v>0</v>
      </c>
      <c r="F131" s="11">
        <f t="shared" si="30"/>
        <v>8077552.9411764657</v>
      </c>
      <c r="G131" s="11">
        <f t="shared" si="41"/>
        <v>8031810</v>
      </c>
      <c r="H131" s="11">
        <f t="shared" si="31"/>
        <v>45742.941176465712</v>
      </c>
      <c r="I131" s="61">
        <f t="shared" si="44"/>
        <v>0.2737198273421953</v>
      </c>
      <c r="J131" s="61">
        <f t="shared" si="32"/>
        <v>0</v>
      </c>
      <c r="K131" s="94">
        <f t="shared" si="43"/>
        <v>0.37</v>
      </c>
      <c r="L131" s="61">
        <f t="shared" si="39"/>
        <v>0</v>
      </c>
      <c r="M131" s="61">
        <f t="shared" si="33"/>
        <v>0</v>
      </c>
      <c r="N131" s="61">
        <f t="shared" si="35"/>
        <v>0.61468977294585025</v>
      </c>
      <c r="O131" s="61">
        <f t="shared" si="40"/>
        <v>0</v>
      </c>
      <c r="P131" s="79">
        <f t="shared" ref="P131:P194" si="45">(N131-K131)/N131</f>
        <v>0.3980703498175911</v>
      </c>
      <c r="Q131" s="79">
        <f t="shared" ref="Q131:Q194" si="46">(N131-I131)/N131</f>
        <v>0.55470248670249467</v>
      </c>
      <c r="R131" s="95">
        <f t="shared" si="34"/>
        <v>0</v>
      </c>
      <c r="S131" s="95">
        <f t="shared" si="36"/>
        <v>0</v>
      </c>
      <c r="T131" s="62">
        <f t="shared" ref="T131:T194" si="47">N131-K131</f>
        <v>0.24468977294585026</v>
      </c>
      <c r="U131" s="61">
        <f t="shared" si="38"/>
        <v>0</v>
      </c>
    </row>
    <row r="132" spans="1:21" x14ac:dyDescent="0.35">
      <c r="A132" s="1">
        <f t="shared" si="37"/>
        <v>46307</v>
      </c>
      <c r="C132" s="11">
        <f>C128</f>
        <v>152470.58823529413</v>
      </c>
      <c r="E132" s="11">
        <f>E128</f>
        <v>120000</v>
      </c>
      <c r="F132" s="11">
        <f t="shared" ref="F132:F195" si="48">C132+F131</f>
        <v>8230023.5294117602</v>
      </c>
      <c r="G132" s="11">
        <f t="shared" si="41"/>
        <v>8151810</v>
      </c>
      <c r="H132" s="11">
        <f t="shared" ref="H132:H195" si="49">F132-G132</f>
        <v>78213.529411760159</v>
      </c>
      <c r="I132" s="61">
        <f t="shared" si="44"/>
        <v>0.2737198273421953</v>
      </c>
      <c r="J132" s="61">
        <f t="shared" ref="J132:J195" si="50">I132*C132</f>
        <v>41734.223086527665</v>
      </c>
      <c r="K132" s="94">
        <f t="shared" si="43"/>
        <v>0.37</v>
      </c>
      <c r="L132" s="61">
        <f t="shared" si="39"/>
        <v>44400</v>
      </c>
      <c r="M132" s="61">
        <f t="shared" ref="M132:M195" si="51">J132-L132</f>
        <v>-2665.7769134723349</v>
      </c>
      <c r="N132" s="61">
        <f t="shared" si="35"/>
        <v>0.61468977294585025</v>
      </c>
      <c r="O132" s="61">
        <f t="shared" si="40"/>
        <v>73762.772753502024</v>
      </c>
      <c r="P132" s="79">
        <f t="shared" si="45"/>
        <v>0.3980703498175911</v>
      </c>
      <c r="Q132" s="79">
        <f t="shared" si="46"/>
        <v>0.55470248670249467</v>
      </c>
      <c r="R132" s="95">
        <f t="shared" ref="R132:R195" si="52">C132*N132</f>
        <v>93722.111263273167</v>
      </c>
      <c r="S132" s="95">
        <f t="shared" si="36"/>
        <v>73762.772753502024</v>
      </c>
      <c r="T132" s="62">
        <f t="shared" si="47"/>
        <v>0.24468977294585026</v>
      </c>
      <c r="U132" s="61">
        <f t="shared" si="38"/>
        <v>29362.772753502031</v>
      </c>
    </row>
    <row r="133" spans="1:21" x14ac:dyDescent="0.35">
      <c r="A133" s="1">
        <f t="shared" si="37"/>
        <v>46308</v>
      </c>
      <c r="C133" s="11">
        <f>C132</f>
        <v>152470.58823529413</v>
      </c>
      <c r="E133" s="11">
        <f>E132</f>
        <v>120000</v>
      </c>
      <c r="F133" s="11">
        <f t="shared" si="48"/>
        <v>8382494.1176470546</v>
      </c>
      <c r="G133" s="11">
        <f t="shared" si="41"/>
        <v>8271810</v>
      </c>
      <c r="H133" s="11">
        <f t="shared" si="49"/>
        <v>110684.11764705461</v>
      </c>
      <c r="I133" s="61">
        <f t="shared" si="44"/>
        <v>0.2737198273421953</v>
      </c>
      <c r="J133" s="61">
        <f t="shared" si="50"/>
        <v>41734.223086527665</v>
      </c>
      <c r="K133" s="94">
        <f t="shared" si="43"/>
        <v>0.37</v>
      </c>
      <c r="L133" s="61">
        <f t="shared" si="39"/>
        <v>44400</v>
      </c>
      <c r="M133" s="61">
        <f t="shared" si="51"/>
        <v>-2665.7769134723349</v>
      </c>
      <c r="N133" s="61">
        <f t="shared" ref="N133:N196" si="53">N132</f>
        <v>0.61468977294585025</v>
      </c>
      <c r="O133" s="61">
        <f t="shared" si="40"/>
        <v>73762.772753502024</v>
      </c>
      <c r="P133" s="79">
        <f t="shared" si="45"/>
        <v>0.3980703498175911</v>
      </c>
      <c r="Q133" s="79">
        <f t="shared" si="46"/>
        <v>0.55470248670249467</v>
      </c>
      <c r="R133" s="95">
        <f t="shared" si="52"/>
        <v>93722.111263273167</v>
      </c>
      <c r="S133" s="95">
        <f t="shared" ref="S133:S196" si="54">(D133+E133)*N133</f>
        <v>73762.772753502024</v>
      </c>
      <c r="T133" s="62">
        <f t="shared" si="47"/>
        <v>0.24468977294585026</v>
      </c>
      <c r="U133" s="61">
        <f t="shared" si="38"/>
        <v>29362.772753502031</v>
      </c>
    </row>
    <row r="134" spans="1:21" x14ac:dyDescent="0.35">
      <c r="A134" s="1">
        <f t="shared" si="37"/>
        <v>46309</v>
      </c>
      <c r="C134" s="11">
        <f>C133</f>
        <v>152470.58823529413</v>
      </c>
      <c r="E134" s="11">
        <f>E133</f>
        <v>120000</v>
      </c>
      <c r="F134" s="11">
        <f t="shared" si="48"/>
        <v>8534964.7058823481</v>
      </c>
      <c r="G134" s="11">
        <f t="shared" si="41"/>
        <v>8391810</v>
      </c>
      <c r="H134" s="11">
        <f t="shared" si="49"/>
        <v>143154.70588234812</v>
      </c>
      <c r="I134" s="61">
        <f t="shared" si="44"/>
        <v>0.2737198273421953</v>
      </c>
      <c r="J134" s="61">
        <f t="shared" si="50"/>
        <v>41734.223086527665</v>
      </c>
      <c r="K134" s="94">
        <f t="shared" si="43"/>
        <v>0.37</v>
      </c>
      <c r="L134" s="61">
        <f t="shared" si="39"/>
        <v>44400</v>
      </c>
      <c r="M134" s="61">
        <f t="shared" si="51"/>
        <v>-2665.7769134723349</v>
      </c>
      <c r="N134" s="61">
        <f t="shared" si="53"/>
        <v>0.61468977294585025</v>
      </c>
      <c r="O134" s="61">
        <f t="shared" si="40"/>
        <v>73762.772753502024</v>
      </c>
      <c r="P134" s="79">
        <f t="shared" si="45"/>
        <v>0.3980703498175911</v>
      </c>
      <c r="Q134" s="79">
        <f t="shared" si="46"/>
        <v>0.55470248670249467</v>
      </c>
      <c r="R134" s="95">
        <f t="shared" si="52"/>
        <v>93722.111263273167</v>
      </c>
      <c r="S134" s="95">
        <f t="shared" si="54"/>
        <v>73762.772753502024</v>
      </c>
      <c r="T134" s="62">
        <f t="shared" si="47"/>
        <v>0.24468977294585026</v>
      </c>
      <c r="U134" s="61">
        <f t="shared" si="38"/>
        <v>29362.772753502031</v>
      </c>
    </row>
    <row r="135" spans="1:21" x14ac:dyDescent="0.35">
      <c r="A135" s="1">
        <f t="shared" si="37"/>
        <v>46310</v>
      </c>
      <c r="C135" s="11">
        <f>C134</f>
        <v>152470.58823529413</v>
      </c>
      <c r="E135" s="11">
        <f>E134</f>
        <v>120000</v>
      </c>
      <c r="F135" s="11">
        <f t="shared" si="48"/>
        <v>8687435.2941176426</v>
      </c>
      <c r="G135" s="11">
        <f t="shared" si="41"/>
        <v>8511810</v>
      </c>
      <c r="H135" s="11">
        <f t="shared" si="49"/>
        <v>175625.29411764257</v>
      </c>
      <c r="I135" s="61">
        <f t="shared" si="44"/>
        <v>0.2737198273421953</v>
      </c>
      <c r="J135" s="61">
        <f t="shared" si="50"/>
        <v>41734.223086527665</v>
      </c>
      <c r="K135" s="94">
        <f t="shared" si="43"/>
        <v>0.37</v>
      </c>
      <c r="L135" s="61">
        <f t="shared" si="39"/>
        <v>44400</v>
      </c>
      <c r="M135" s="61">
        <f t="shared" si="51"/>
        <v>-2665.7769134723349</v>
      </c>
      <c r="N135" s="61">
        <f t="shared" si="53"/>
        <v>0.61468977294585025</v>
      </c>
      <c r="O135" s="61">
        <f t="shared" si="40"/>
        <v>73762.772753502024</v>
      </c>
      <c r="P135" s="79">
        <f t="shared" si="45"/>
        <v>0.3980703498175911</v>
      </c>
      <c r="Q135" s="79">
        <f t="shared" si="46"/>
        <v>0.55470248670249467</v>
      </c>
      <c r="R135" s="95">
        <f t="shared" si="52"/>
        <v>93722.111263273167</v>
      </c>
      <c r="S135" s="95">
        <f t="shared" si="54"/>
        <v>73762.772753502024</v>
      </c>
      <c r="T135" s="62">
        <f t="shared" si="47"/>
        <v>0.24468977294585026</v>
      </c>
      <c r="U135" s="61">
        <f t="shared" si="38"/>
        <v>29362.772753502031</v>
      </c>
    </row>
    <row r="136" spans="1:21" x14ac:dyDescent="0.35">
      <c r="A136" s="1">
        <f t="shared" si="37"/>
        <v>46311</v>
      </c>
      <c r="C136" s="11">
        <v>0</v>
      </c>
      <c r="E136" s="11">
        <f>E129</f>
        <v>120000</v>
      </c>
      <c r="F136" s="11">
        <f t="shared" si="48"/>
        <v>8687435.2941176426</v>
      </c>
      <c r="G136" s="11">
        <f t="shared" si="41"/>
        <v>8631810</v>
      </c>
      <c r="H136" s="11">
        <f t="shared" si="49"/>
        <v>55625.294117642567</v>
      </c>
      <c r="I136" s="61">
        <f t="shared" si="44"/>
        <v>0.2737198273421953</v>
      </c>
      <c r="J136" s="61">
        <f t="shared" si="50"/>
        <v>0</v>
      </c>
      <c r="K136" s="94">
        <f t="shared" si="43"/>
        <v>0.37</v>
      </c>
      <c r="L136" s="61">
        <f t="shared" si="39"/>
        <v>44400</v>
      </c>
      <c r="M136" s="61">
        <f t="shared" si="51"/>
        <v>-44400</v>
      </c>
      <c r="N136" s="61">
        <f t="shared" si="53"/>
        <v>0.61468977294585025</v>
      </c>
      <c r="O136" s="61">
        <f t="shared" si="40"/>
        <v>73762.772753502024</v>
      </c>
      <c r="P136" s="79">
        <f t="shared" si="45"/>
        <v>0.3980703498175911</v>
      </c>
      <c r="Q136" s="79">
        <f t="shared" si="46"/>
        <v>0.55470248670249467</v>
      </c>
      <c r="R136" s="95">
        <f t="shared" si="52"/>
        <v>0</v>
      </c>
      <c r="S136" s="95">
        <f t="shared" si="54"/>
        <v>73762.772753502024</v>
      </c>
      <c r="T136" s="62">
        <f t="shared" si="47"/>
        <v>0.24468977294585026</v>
      </c>
      <c r="U136" s="61">
        <f t="shared" si="38"/>
        <v>29362.772753502031</v>
      </c>
    </row>
    <row r="137" spans="1:21" x14ac:dyDescent="0.35">
      <c r="A137" s="1">
        <f t="shared" si="37"/>
        <v>46312</v>
      </c>
      <c r="C137" s="11">
        <f>B137</f>
        <v>0</v>
      </c>
      <c r="F137" s="11">
        <f t="shared" si="48"/>
        <v>8687435.2941176426</v>
      </c>
      <c r="G137" s="11">
        <f t="shared" si="41"/>
        <v>8631810</v>
      </c>
      <c r="H137" s="11">
        <f t="shared" si="49"/>
        <v>55625.294117642567</v>
      </c>
      <c r="I137" s="61">
        <f t="shared" si="44"/>
        <v>0.2737198273421953</v>
      </c>
      <c r="J137" s="61">
        <f t="shared" si="50"/>
        <v>0</v>
      </c>
      <c r="K137" s="94">
        <f t="shared" si="43"/>
        <v>0.37</v>
      </c>
      <c r="L137" s="61">
        <f t="shared" si="39"/>
        <v>0</v>
      </c>
      <c r="M137" s="61">
        <f t="shared" si="51"/>
        <v>0</v>
      </c>
      <c r="N137" s="61">
        <f t="shared" si="53"/>
        <v>0.61468977294585025</v>
      </c>
      <c r="O137" s="61">
        <f t="shared" si="40"/>
        <v>0</v>
      </c>
      <c r="P137" s="79">
        <f t="shared" si="45"/>
        <v>0.3980703498175911</v>
      </c>
      <c r="Q137" s="79">
        <f t="shared" si="46"/>
        <v>0.55470248670249467</v>
      </c>
      <c r="R137" s="95">
        <f t="shared" si="52"/>
        <v>0</v>
      </c>
      <c r="S137" s="95">
        <f t="shared" si="54"/>
        <v>0</v>
      </c>
      <c r="T137" s="62">
        <f t="shared" si="47"/>
        <v>0.24468977294585026</v>
      </c>
      <c r="U137" s="61">
        <f t="shared" si="38"/>
        <v>0</v>
      </c>
    </row>
    <row r="138" spans="1:21" x14ac:dyDescent="0.35">
      <c r="A138" s="1">
        <f t="shared" si="37"/>
        <v>46313</v>
      </c>
      <c r="B138" s="93" t="s">
        <v>205</v>
      </c>
      <c r="C138" s="11">
        <v>0</v>
      </c>
      <c r="F138" s="11">
        <f t="shared" si="48"/>
        <v>8687435.2941176426</v>
      </c>
      <c r="G138" s="11">
        <f t="shared" si="41"/>
        <v>8631810</v>
      </c>
      <c r="H138" s="11">
        <f t="shared" si="49"/>
        <v>55625.294117642567</v>
      </c>
      <c r="I138" s="61">
        <f t="shared" si="44"/>
        <v>0.2737198273421953</v>
      </c>
      <c r="J138" s="61">
        <f t="shared" si="50"/>
        <v>0</v>
      </c>
      <c r="K138" s="94">
        <f t="shared" si="43"/>
        <v>0.37</v>
      </c>
      <c r="L138" s="61">
        <f t="shared" si="39"/>
        <v>0</v>
      </c>
      <c r="M138" s="61">
        <f t="shared" si="51"/>
        <v>0</v>
      </c>
      <c r="N138" s="61">
        <f t="shared" si="53"/>
        <v>0.61468977294585025</v>
      </c>
      <c r="O138" s="61">
        <f t="shared" si="40"/>
        <v>0</v>
      </c>
      <c r="P138" s="79">
        <f t="shared" si="45"/>
        <v>0.3980703498175911</v>
      </c>
      <c r="Q138" s="79">
        <f t="shared" si="46"/>
        <v>0.55470248670249467</v>
      </c>
      <c r="R138" s="95">
        <f t="shared" si="52"/>
        <v>0</v>
      </c>
      <c r="S138" s="95">
        <f t="shared" si="54"/>
        <v>0</v>
      </c>
      <c r="T138" s="62">
        <f t="shared" si="47"/>
        <v>0.24468977294585026</v>
      </c>
      <c r="U138" s="61">
        <f t="shared" si="38"/>
        <v>0</v>
      </c>
    </row>
    <row r="139" spans="1:21" x14ac:dyDescent="0.35">
      <c r="A139" s="1">
        <f t="shared" si="37"/>
        <v>46314</v>
      </c>
      <c r="C139" s="11">
        <f>C135</f>
        <v>152470.58823529413</v>
      </c>
      <c r="E139" s="11">
        <f>E135</f>
        <v>120000</v>
      </c>
      <c r="F139" s="11">
        <f t="shared" si="48"/>
        <v>8839905.882352937</v>
      </c>
      <c r="G139" s="11">
        <f t="shared" si="41"/>
        <v>8751810</v>
      </c>
      <c r="H139" s="11">
        <f t="shared" si="49"/>
        <v>88095.882352937013</v>
      </c>
      <c r="I139" s="61">
        <f t="shared" si="44"/>
        <v>0.2737198273421953</v>
      </c>
      <c r="J139" s="61">
        <f t="shared" si="50"/>
        <v>41734.223086527665</v>
      </c>
      <c r="K139" s="94">
        <f t="shared" si="43"/>
        <v>0.37</v>
      </c>
      <c r="L139" s="61">
        <f t="shared" si="39"/>
        <v>44400</v>
      </c>
      <c r="M139" s="61">
        <f t="shared" si="51"/>
        <v>-2665.7769134723349</v>
      </c>
      <c r="N139" s="61">
        <f t="shared" si="53"/>
        <v>0.61468977294585025</v>
      </c>
      <c r="O139" s="61">
        <f t="shared" si="40"/>
        <v>73762.772753502024</v>
      </c>
      <c r="P139" s="79">
        <f t="shared" si="45"/>
        <v>0.3980703498175911</v>
      </c>
      <c r="Q139" s="79">
        <f t="shared" si="46"/>
        <v>0.55470248670249467</v>
      </c>
      <c r="R139" s="95">
        <f t="shared" si="52"/>
        <v>93722.111263273167</v>
      </c>
      <c r="S139" s="95">
        <f t="shared" si="54"/>
        <v>73762.772753502024</v>
      </c>
      <c r="T139" s="62">
        <f t="shared" si="47"/>
        <v>0.24468977294585026</v>
      </c>
      <c r="U139" s="61">
        <f t="shared" si="38"/>
        <v>29362.772753502031</v>
      </c>
    </row>
    <row r="140" spans="1:21" x14ac:dyDescent="0.35">
      <c r="A140" s="1">
        <f t="shared" si="37"/>
        <v>46315</v>
      </c>
      <c r="C140" s="11">
        <f>C139</f>
        <v>152470.58823529413</v>
      </c>
      <c r="E140" s="11">
        <f>E139</f>
        <v>120000</v>
      </c>
      <c r="F140" s="11">
        <f t="shared" si="48"/>
        <v>8992376.4705882315</v>
      </c>
      <c r="G140" s="11">
        <f t="shared" si="41"/>
        <v>8871810</v>
      </c>
      <c r="H140" s="11">
        <f t="shared" si="49"/>
        <v>120566.47058823146</v>
      </c>
      <c r="I140" s="61">
        <f t="shared" si="44"/>
        <v>0.2737198273421953</v>
      </c>
      <c r="J140" s="61">
        <f t="shared" si="50"/>
        <v>41734.223086527665</v>
      </c>
      <c r="K140" s="94">
        <f t="shared" si="43"/>
        <v>0.37</v>
      </c>
      <c r="L140" s="61">
        <f t="shared" si="39"/>
        <v>44400</v>
      </c>
      <c r="M140" s="61">
        <f t="shared" si="51"/>
        <v>-2665.7769134723349</v>
      </c>
      <c r="N140" s="61">
        <f t="shared" si="53"/>
        <v>0.61468977294585025</v>
      </c>
      <c r="O140" s="61">
        <f t="shared" si="40"/>
        <v>73762.772753502024</v>
      </c>
      <c r="P140" s="79">
        <f t="shared" si="45"/>
        <v>0.3980703498175911</v>
      </c>
      <c r="Q140" s="79">
        <f t="shared" si="46"/>
        <v>0.55470248670249467</v>
      </c>
      <c r="R140" s="95">
        <f t="shared" si="52"/>
        <v>93722.111263273167</v>
      </c>
      <c r="S140" s="95">
        <f t="shared" si="54"/>
        <v>73762.772753502024</v>
      </c>
      <c r="T140" s="62">
        <f t="shared" si="47"/>
        <v>0.24468977294585026</v>
      </c>
      <c r="U140" s="61">
        <f t="shared" si="38"/>
        <v>29362.772753502031</v>
      </c>
    </row>
    <row r="141" spans="1:21" x14ac:dyDescent="0.35">
      <c r="A141" s="1">
        <f t="shared" si="37"/>
        <v>46316</v>
      </c>
      <c r="C141" s="11">
        <f>C140</f>
        <v>152470.58823529413</v>
      </c>
      <c r="E141" s="11">
        <f>E140</f>
        <v>120000</v>
      </c>
      <c r="F141" s="11">
        <f t="shared" si="48"/>
        <v>9144847.0588235259</v>
      </c>
      <c r="G141" s="11">
        <f t="shared" si="41"/>
        <v>8991810</v>
      </c>
      <c r="H141" s="11">
        <f t="shared" si="49"/>
        <v>153037.05882352591</v>
      </c>
      <c r="I141" s="61">
        <f t="shared" si="44"/>
        <v>0.2737198273421953</v>
      </c>
      <c r="J141" s="61">
        <f t="shared" si="50"/>
        <v>41734.223086527665</v>
      </c>
      <c r="K141" s="94">
        <f t="shared" si="43"/>
        <v>0.37</v>
      </c>
      <c r="L141" s="61">
        <f t="shared" si="39"/>
        <v>44400</v>
      </c>
      <c r="M141" s="61">
        <f t="shared" si="51"/>
        <v>-2665.7769134723349</v>
      </c>
      <c r="N141" s="61">
        <f t="shared" si="53"/>
        <v>0.61468977294585025</v>
      </c>
      <c r="O141" s="61">
        <f t="shared" si="40"/>
        <v>73762.772753502024</v>
      </c>
      <c r="P141" s="79">
        <f t="shared" si="45"/>
        <v>0.3980703498175911</v>
      </c>
      <c r="Q141" s="79">
        <f t="shared" si="46"/>
        <v>0.55470248670249467</v>
      </c>
      <c r="R141" s="95">
        <f t="shared" si="52"/>
        <v>93722.111263273167</v>
      </c>
      <c r="S141" s="95">
        <f t="shared" si="54"/>
        <v>73762.772753502024</v>
      </c>
      <c r="T141" s="62">
        <f t="shared" si="47"/>
        <v>0.24468977294585026</v>
      </c>
      <c r="U141" s="61">
        <f t="shared" si="38"/>
        <v>29362.772753502031</v>
      </c>
    </row>
    <row r="142" spans="1:21" x14ac:dyDescent="0.35">
      <c r="A142" s="1">
        <f t="shared" si="37"/>
        <v>46317</v>
      </c>
      <c r="C142" s="11">
        <f>C141</f>
        <v>152470.58823529413</v>
      </c>
      <c r="E142" s="11">
        <f>E141</f>
        <v>120000</v>
      </c>
      <c r="F142" s="11">
        <f t="shared" si="48"/>
        <v>9297317.6470588204</v>
      </c>
      <c r="G142" s="11">
        <f t="shared" si="41"/>
        <v>9111810</v>
      </c>
      <c r="H142" s="11">
        <f t="shared" si="49"/>
        <v>185507.64705882035</v>
      </c>
      <c r="I142" s="61">
        <f t="shared" si="44"/>
        <v>0.2737198273421953</v>
      </c>
      <c r="J142" s="61">
        <f t="shared" si="50"/>
        <v>41734.223086527665</v>
      </c>
      <c r="K142" s="94">
        <f t="shared" si="43"/>
        <v>0.37</v>
      </c>
      <c r="L142" s="61">
        <f t="shared" si="39"/>
        <v>44400</v>
      </c>
      <c r="M142" s="61">
        <f t="shared" si="51"/>
        <v>-2665.7769134723349</v>
      </c>
      <c r="N142" s="61">
        <f t="shared" si="53"/>
        <v>0.61468977294585025</v>
      </c>
      <c r="O142" s="61">
        <f t="shared" si="40"/>
        <v>73762.772753502024</v>
      </c>
      <c r="P142" s="79">
        <f t="shared" si="45"/>
        <v>0.3980703498175911</v>
      </c>
      <c r="Q142" s="79">
        <f t="shared" si="46"/>
        <v>0.55470248670249467</v>
      </c>
      <c r="R142" s="95">
        <f t="shared" si="52"/>
        <v>93722.111263273167</v>
      </c>
      <c r="S142" s="95">
        <f t="shared" si="54"/>
        <v>73762.772753502024</v>
      </c>
      <c r="T142" s="62">
        <f t="shared" si="47"/>
        <v>0.24468977294585026</v>
      </c>
      <c r="U142" s="61">
        <f t="shared" si="38"/>
        <v>29362.772753502031</v>
      </c>
    </row>
    <row r="143" spans="1:21" x14ac:dyDescent="0.35">
      <c r="A143" s="1">
        <f t="shared" ref="A143:A206" si="55">A142+1</f>
        <v>46318</v>
      </c>
      <c r="C143" s="11">
        <v>0</v>
      </c>
      <c r="E143" s="11">
        <f>E136</f>
        <v>120000</v>
      </c>
      <c r="F143" s="11">
        <f t="shared" si="48"/>
        <v>9297317.6470588204</v>
      </c>
      <c r="G143" s="11">
        <f t="shared" si="41"/>
        <v>9231810</v>
      </c>
      <c r="H143" s="11">
        <f t="shared" si="49"/>
        <v>65507.647058820352</v>
      </c>
      <c r="I143" s="61">
        <f t="shared" si="44"/>
        <v>0.2737198273421953</v>
      </c>
      <c r="J143" s="61">
        <f t="shared" si="50"/>
        <v>0</v>
      </c>
      <c r="K143" s="94">
        <f t="shared" si="43"/>
        <v>0.37</v>
      </c>
      <c r="L143" s="61">
        <f t="shared" si="39"/>
        <v>44400</v>
      </c>
      <c r="M143" s="61">
        <f t="shared" si="51"/>
        <v>-44400</v>
      </c>
      <c r="N143" s="61">
        <f t="shared" si="53"/>
        <v>0.61468977294585025</v>
      </c>
      <c r="O143" s="61">
        <f t="shared" si="40"/>
        <v>73762.772753502024</v>
      </c>
      <c r="P143" s="79">
        <f t="shared" si="45"/>
        <v>0.3980703498175911</v>
      </c>
      <c r="Q143" s="79">
        <f t="shared" si="46"/>
        <v>0.55470248670249467</v>
      </c>
      <c r="R143" s="95">
        <f t="shared" si="52"/>
        <v>0</v>
      </c>
      <c r="S143" s="95">
        <f t="shared" si="54"/>
        <v>73762.772753502024</v>
      </c>
      <c r="T143" s="62">
        <f t="shared" si="47"/>
        <v>0.24468977294585026</v>
      </c>
      <c r="U143" s="61">
        <f t="shared" si="38"/>
        <v>29362.772753502031</v>
      </c>
    </row>
    <row r="144" spans="1:21" x14ac:dyDescent="0.35">
      <c r="A144" s="1">
        <f t="shared" si="55"/>
        <v>46319</v>
      </c>
      <c r="C144" s="11">
        <f>B144</f>
        <v>0</v>
      </c>
      <c r="F144" s="11">
        <f t="shared" si="48"/>
        <v>9297317.6470588204</v>
      </c>
      <c r="G144" s="11">
        <f t="shared" si="41"/>
        <v>9231810</v>
      </c>
      <c r="H144" s="11">
        <f t="shared" si="49"/>
        <v>65507.647058820352</v>
      </c>
      <c r="I144" s="61">
        <f t="shared" si="44"/>
        <v>0.2737198273421953</v>
      </c>
      <c r="J144" s="61">
        <f t="shared" si="50"/>
        <v>0</v>
      </c>
      <c r="K144" s="94">
        <f t="shared" si="43"/>
        <v>0.37</v>
      </c>
      <c r="L144" s="61">
        <f t="shared" si="39"/>
        <v>0</v>
      </c>
      <c r="M144" s="61">
        <f t="shared" si="51"/>
        <v>0</v>
      </c>
      <c r="N144" s="61">
        <f t="shared" si="53"/>
        <v>0.61468977294585025</v>
      </c>
      <c r="O144" s="61">
        <f t="shared" si="40"/>
        <v>0</v>
      </c>
      <c r="P144" s="79">
        <f t="shared" si="45"/>
        <v>0.3980703498175911</v>
      </c>
      <c r="Q144" s="79">
        <f t="shared" si="46"/>
        <v>0.55470248670249467</v>
      </c>
      <c r="R144" s="95">
        <f t="shared" si="52"/>
        <v>0</v>
      </c>
      <c r="S144" s="95">
        <f t="shared" si="54"/>
        <v>0</v>
      </c>
      <c r="T144" s="62">
        <f t="shared" si="47"/>
        <v>0.24468977294585026</v>
      </c>
      <c r="U144" s="61">
        <f t="shared" si="38"/>
        <v>0</v>
      </c>
    </row>
    <row r="145" spans="1:21" x14ac:dyDescent="0.35">
      <c r="A145" s="1">
        <f t="shared" si="55"/>
        <v>46320</v>
      </c>
      <c r="B145" s="93" t="s">
        <v>205</v>
      </c>
      <c r="C145" s="11">
        <v>0</v>
      </c>
      <c r="F145" s="11">
        <f t="shared" si="48"/>
        <v>9297317.6470588204</v>
      </c>
      <c r="G145" s="11">
        <f t="shared" si="41"/>
        <v>9231810</v>
      </c>
      <c r="H145" s="11">
        <f t="shared" si="49"/>
        <v>65507.647058820352</v>
      </c>
      <c r="I145" s="61">
        <f t="shared" si="44"/>
        <v>0.2737198273421953</v>
      </c>
      <c r="J145" s="61">
        <f t="shared" si="50"/>
        <v>0</v>
      </c>
      <c r="K145" s="94">
        <f t="shared" si="43"/>
        <v>0.37</v>
      </c>
      <c r="L145" s="61">
        <f t="shared" si="39"/>
        <v>0</v>
      </c>
      <c r="M145" s="61">
        <f t="shared" si="51"/>
        <v>0</v>
      </c>
      <c r="N145" s="61">
        <f t="shared" si="53"/>
        <v>0.61468977294585025</v>
      </c>
      <c r="O145" s="61">
        <f t="shared" si="40"/>
        <v>0</v>
      </c>
      <c r="P145" s="79">
        <f t="shared" si="45"/>
        <v>0.3980703498175911</v>
      </c>
      <c r="Q145" s="79">
        <f t="shared" si="46"/>
        <v>0.55470248670249467</v>
      </c>
      <c r="R145" s="95">
        <f t="shared" si="52"/>
        <v>0</v>
      </c>
      <c r="S145" s="95">
        <f t="shared" si="54"/>
        <v>0</v>
      </c>
      <c r="T145" s="62">
        <f t="shared" si="47"/>
        <v>0.24468977294585026</v>
      </c>
      <c r="U145" s="61">
        <f t="shared" si="38"/>
        <v>0</v>
      </c>
    </row>
    <row r="146" spans="1:21" x14ac:dyDescent="0.35">
      <c r="A146" s="1">
        <f t="shared" si="55"/>
        <v>46321</v>
      </c>
      <c r="C146" s="11">
        <f>C142</f>
        <v>152470.58823529413</v>
      </c>
      <c r="E146" s="11">
        <f>E142</f>
        <v>120000</v>
      </c>
      <c r="F146" s="11">
        <f t="shared" si="48"/>
        <v>9449788.2352941148</v>
      </c>
      <c r="G146" s="11">
        <f t="shared" si="41"/>
        <v>9351810</v>
      </c>
      <c r="H146" s="11">
        <f t="shared" si="49"/>
        <v>97978.235294114798</v>
      </c>
      <c r="I146" s="61">
        <f t="shared" si="44"/>
        <v>0.2737198273421953</v>
      </c>
      <c r="J146" s="61">
        <f t="shared" si="50"/>
        <v>41734.223086527665</v>
      </c>
      <c r="K146" s="94">
        <f t="shared" si="43"/>
        <v>0.37</v>
      </c>
      <c r="L146" s="61">
        <f t="shared" si="39"/>
        <v>44400</v>
      </c>
      <c r="M146" s="61">
        <f t="shared" si="51"/>
        <v>-2665.7769134723349</v>
      </c>
      <c r="N146" s="61">
        <f t="shared" si="53"/>
        <v>0.61468977294585025</v>
      </c>
      <c r="O146" s="61">
        <f t="shared" si="40"/>
        <v>73762.772753502024</v>
      </c>
      <c r="P146" s="79">
        <f t="shared" si="45"/>
        <v>0.3980703498175911</v>
      </c>
      <c r="Q146" s="79">
        <f t="shared" si="46"/>
        <v>0.55470248670249467</v>
      </c>
      <c r="R146" s="95">
        <f t="shared" si="52"/>
        <v>93722.111263273167</v>
      </c>
      <c r="S146" s="95">
        <f t="shared" si="54"/>
        <v>73762.772753502024</v>
      </c>
      <c r="T146" s="62">
        <f t="shared" si="47"/>
        <v>0.24468977294585026</v>
      </c>
      <c r="U146" s="61">
        <f t="shared" si="38"/>
        <v>29362.772753502031</v>
      </c>
    </row>
    <row r="147" spans="1:21" x14ac:dyDescent="0.35">
      <c r="A147" s="1">
        <f t="shared" si="55"/>
        <v>46322</v>
      </c>
      <c r="C147" s="11">
        <f>C146</f>
        <v>152470.58823529413</v>
      </c>
      <c r="E147" s="11">
        <f>E146</f>
        <v>120000</v>
      </c>
      <c r="F147" s="11">
        <f t="shared" si="48"/>
        <v>9602258.8235294092</v>
      </c>
      <c r="G147" s="11">
        <f t="shared" si="41"/>
        <v>9471810</v>
      </c>
      <c r="H147" s="11">
        <f t="shared" si="49"/>
        <v>130448.82352940924</v>
      </c>
      <c r="I147" s="61">
        <f t="shared" si="44"/>
        <v>0.2737198273421953</v>
      </c>
      <c r="J147" s="61">
        <f t="shared" si="50"/>
        <v>41734.223086527665</v>
      </c>
      <c r="K147" s="94">
        <f t="shared" si="43"/>
        <v>0.37</v>
      </c>
      <c r="L147" s="61">
        <f t="shared" si="39"/>
        <v>44400</v>
      </c>
      <c r="M147" s="61">
        <f t="shared" si="51"/>
        <v>-2665.7769134723349</v>
      </c>
      <c r="N147" s="61">
        <f t="shared" si="53"/>
        <v>0.61468977294585025</v>
      </c>
      <c r="O147" s="61">
        <f t="shared" si="40"/>
        <v>73762.772753502024</v>
      </c>
      <c r="P147" s="79">
        <f t="shared" si="45"/>
        <v>0.3980703498175911</v>
      </c>
      <c r="Q147" s="79">
        <f t="shared" si="46"/>
        <v>0.55470248670249467</v>
      </c>
      <c r="R147" s="95">
        <f t="shared" si="52"/>
        <v>93722.111263273167</v>
      </c>
      <c r="S147" s="95">
        <f t="shared" si="54"/>
        <v>73762.772753502024</v>
      </c>
      <c r="T147" s="62">
        <f t="shared" si="47"/>
        <v>0.24468977294585026</v>
      </c>
      <c r="U147" s="61">
        <f t="shared" ref="U147:U210" si="56">T147*(D147+E147)</f>
        <v>29362.772753502031</v>
      </c>
    </row>
    <row r="148" spans="1:21" x14ac:dyDescent="0.35">
      <c r="A148" s="1">
        <f t="shared" si="55"/>
        <v>46323</v>
      </c>
      <c r="C148" s="11">
        <f>C147</f>
        <v>152470.58823529413</v>
      </c>
      <c r="E148" s="11">
        <f>E147</f>
        <v>120000</v>
      </c>
      <c r="F148" s="11">
        <f t="shared" si="48"/>
        <v>9754729.4117647037</v>
      </c>
      <c r="G148" s="11">
        <f t="shared" si="41"/>
        <v>9591810</v>
      </c>
      <c r="H148" s="11">
        <f t="shared" si="49"/>
        <v>162919.41176470369</v>
      </c>
      <c r="I148" s="61">
        <f t="shared" si="44"/>
        <v>0.2737198273421953</v>
      </c>
      <c r="J148" s="61">
        <f t="shared" si="50"/>
        <v>41734.223086527665</v>
      </c>
      <c r="K148" s="94">
        <f t="shared" si="43"/>
        <v>0.37</v>
      </c>
      <c r="L148" s="61">
        <f t="shared" si="39"/>
        <v>44400</v>
      </c>
      <c r="M148" s="61">
        <f t="shared" si="51"/>
        <v>-2665.7769134723349</v>
      </c>
      <c r="N148" s="61">
        <f t="shared" si="53"/>
        <v>0.61468977294585025</v>
      </c>
      <c r="O148" s="61">
        <f t="shared" si="40"/>
        <v>73762.772753502024</v>
      </c>
      <c r="P148" s="79">
        <f t="shared" si="45"/>
        <v>0.3980703498175911</v>
      </c>
      <c r="Q148" s="79">
        <f t="shared" si="46"/>
        <v>0.55470248670249467</v>
      </c>
      <c r="R148" s="95">
        <f t="shared" si="52"/>
        <v>93722.111263273167</v>
      </c>
      <c r="S148" s="95">
        <f t="shared" si="54"/>
        <v>73762.772753502024</v>
      </c>
      <c r="T148" s="62">
        <f t="shared" si="47"/>
        <v>0.24468977294585026</v>
      </c>
      <c r="U148" s="61">
        <f t="shared" si="56"/>
        <v>29362.772753502031</v>
      </c>
    </row>
    <row r="149" spans="1:21" x14ac:dyDescent="0.35">
      <c r="A149" s="1">
        <f t="shared" si="55"/>
        <v>46324</v>
      </c>
      <c r="C149" s="11">
        <f>C148</f>
        <v>152470.58823529413</v>
      </c>
      <c r="E149" s="11">
        <f>E148</f>
        <v>120000</v>
      </c>
      <c r="F149" s="11">
        <f t="shared" si="48"/>
        <v>9907199.9999999981</v>
      </c>
      <c r="G149" s="11">
        <f t="shared" si="41"/>
        <v>9711810</v>
      </c>
      <c r="H149" s="11">
        <f t="shared" si="49"/>
        <v>195389.99999999814</v>
      </c>
      <c r="I149" s="61">
        <f t="shared" si="44"/>
        <v>0.2737198273421953</v>
      </c>
      <c r="J149" s="61">
        <f t="shared" si="50"/>
        <v>41734.223086527665</v>
      </c>
      <c r="K149" s="94">
        <f t="shared" si="43"/>
        <v>0.37</v>
      </c>
      <c r="L149" s="61">
        <f t="shared" ref="L149:L212" si="57">K149*(D149+E149)</f>
        <v>44400</v>
      </c>
      <c r="M149" s="61">
        <f t="shared" si="51"/>
        <v>-2665.7769134723349</v>
      </c>
      <c r="N149" s="61">
        <f t="shared" si="53"/>
        <v>0.61468977294585025</v>
      </c>
      <c r="O149" s="61">
        <f t="shared" ref="O149:O212" si="58">N149*(D149+E149)</f>
        <v>73762.772753502024</v>
      </c>
      <c r="P149" s="79">
        <f t="shared" si="45"/>
        <v>0.3980703498175911</v>
      </c>
      <c r="Q149" s="79">
        <f t="shared" si="46"/>
        <v>0.55470248670249467</v>
      </c>
      <c r="R149" s="95">
        <f t="shared" si="52"/>
        <v>93722.111263273167</v>
      </c>
      <c r="S149" s="95">
        <f t="shared" si="54"/>
        <v>73762.772753502024</v>
      </c>
      <c r="T149" s="62">
        <f t="shared" si="47"/>
        <v>0.24468977294585026</v>
      </c>
      <c r="U149" s="61">
        <f t="shared" si="56"/>
        <v>29362.772753502031</v>
      </c>
    </row>
    <row r="150" spans="1:21" x14ac:dyDescent="0.35">
      <c r="A150" s="1">
        <f t="shared" si="55"/>
        <v>46325</v>
      </c>
      <c r="C150" s="11">
        <v>0</v>
      </c>
      <c r="E150" s="11">
        <f>E143</f>
        <v>120000</v>
      </c>
      <c r="F150" s="11">
        <f t="shared" si="48"/>
        <v>9907199.9999999981</v>
      </c>
      <c r="G150" s="11">
        <f t="shared" si="41"/>
        <v>9831810</v>
      </c>
      <c r="H150" s="11">
        <f t="shared" si="49"/>
        <v>75389.999999998137</v>
      </c>
      <c r="I150" s="61">
        <f t="shared" si="44"/>
        <v>0.2737198273421953</v>
      </c>
      <c r="J150" s="61">
        <f t="shared" si="50"/>
        <v>0</v>
      </c>
      <c r="K150" s="94">
        <f t="shared" si="43"/>
        <v>0.37</v>
      </c>
      <c r="L150" s="61">
        <f t="shared" si="57"/>
        <v>44400</v>
      </c>
      <c r="M150" s="61">
        <f t="shared" si="51"/>
        <v>-44400</v>
      </c>
      <c r="N150" s="61">
        <f t="shared" si="53"/>
        <v>0.61468977294585025</v>
      </c>
      <c r="O150" s="61">
        <f t="shared" si="58"/>
        <v>73762.772753502024</v>
      </c>
      <c r="P150" s="79">
        <f t="shared" si="45"/>
        <v>0.3980703498175911</v>
      </c>
      <c r="Q150" s="79">
        <f t="shared" si="46"/>
        <v>0.55470248670249467</v>
      </c>
      <c r="R150" s="95">
        <f t="shared" si="52"/>
        <v>0</v>
      </c>
      <c r="S150" s="95">
        <f t="shared" si="54"/>
        <v>73762.772753502024</v>
      </c>
      <c r="T150" s="62">
        <f t="shared" si="47"/>
        <v>0.24468977294585026</v>
      </c>
      <c r="U150" s="61">
        <f t="shared" si="56"/>
        <v>29362.772753502031</v>
      </c>
    </row>
    <row r="151" spans="1:21" x14ac:dyDescent="0.35">
      <c r="A151" s="1">
        <f t="shared" si="55"/>
        <v>46326</v>
      </c>
      <c r="C151" s="11">
        <f>B151</f>
        <v>0</v>
      </c>
      <c r="F151" s="11">
        <f t="shared" si="48"/>
        <v>9907199.9999999981</v>
      </c>
      <c r="G151" s="11">
        <f t="shared" si="41"/>
        <v>9831810</v>
      </c>
      <c r="H151" s="11">
        <f t="shared" si="49"/>
        <v>75389.999999998137</v>
      </c>
      <c r="I151" s="61">
        <f t="shared" si="44"/>
        <v>0.2737198273421953</v>
      </c>
      <c r="J151" s="61">
        <f t="shared" si="50"/>
        <v>0</v>
      </c>
      <c r="K151" s="94">
        <f t="shared" si="43"/>
        <v>0.37</v>
      </c>
      <c r="L151" s="61">
        <f t="shared" si="57"/>
        <v>0</v>
      </c>
      <c r="M151" s="61">
        <f t="shared" si="51"/>
        <v>0</v>
      </c>
      <c r="N151" s="61">
        <f t="shared" si="53"/>
        <v>0.61468977294585025</v>
      </c>
      <c r="O151" s="61">
        <f t="shared" si="58"/>
        <v>0</v>
      </c>
      <c r="P151" s="79">
        <f t="shared" si="45"/>
        <v>0.3980703498175911</v>
      </c>
      <c r="Q151" s="79">
        <f t="shared" si="46"/>
        <v>0.55470248670249467</v>
      </c>
      <c r="R151" s="95">
        <f t="shared" si="52"/>
        <v>0</v>
      </c>
      <c r="S151" s="95">
        <f t="shared" si="54"/>
        <v>0</v>
      </c>
      <c r="T151" s="62">
        <f t="shared" si="47"/>
        <v>0.24468977294585026</v>
      </c>
      <c r="U151" s="61">
        <f t="shared" si="56"/>
        <v>0</v>
      </c>
    </row>
    <row r="152" spans="1:21" x14ac:dyDescent="0.35">
      <c r="A152" s="1">
        <f t="shared" si="55"/>
        <v>46327</v>
      </c>
      <c r="B152" s="93" t="s">
        <v>205</v>
      </c>
      <c r="C152" s="11">
        <v>0</v>
      </c>
      <c r="D152" s="93" t="s">
        <v>212</v>
      </c>
      <c r="F152" s="11">
        <f t="shared" si="48"/>
        <v>9907199.9999999981</v>
      </c>
      <c r="G152" s="11">
        <f>G151+E152</f>
        <v>9831810</v>
      </c>
      <c r="H152" s="11">
        <f t="shared" si="49"/>
        <v>75389.999999998137</v>
      </c>
      <c r="I152" s="61">
        <f>'[1]Ramp Plan'!Z255</f>
        <v>0.28805010496960959</v>
      </c>
      <c r="J152" s="61">
        <f t="shared" si="50"/>
        <v>0</v>
      </c>
      <c r="K152" s="94">
        <v>0.35</v>
      </c>
      <c r="L152" s="61">
        <f>K152*(E152)</f>
        <v>0</v>
      </c>
      <c r="M152" s="61">
        <f t="shared" si="51"/>
        <v>0</v>
      </c>
      <c r="N152" s="61">
        <f t="shared" si="53"/>
        <v>0.61468977294585025</v>
      </c>
      <c r="O152" s="61">
        <f>N152*(E152)</f>
        <v>0</v>
      </c>
      <c r="P152" s="79">
        <f t="shared" si="45"/>
        <v>0.43060708766528893</v>
      </c>
      <c r="Q152" s="79">
        <f t="shared" si="46"/>
        <v>0.53138946238009932</v>
      </c>
      <c r="R152" s="95">
        <f t="shared" si="52"/>
        <v>0</v>
      </c>
      <c r="S152" s="95">
        <f>(E152)*N152</f>
        <v>0</v>
      </c>
      <c r="T152" s="62">
        <f t="shared" si="47"/>
        <v>0.26468977294585028</v>
      </c>
      <c r="U152" s="61">
        <f>T152*(E152)</f>
        <v>0</v>
      </c>
    </row>
    <row r="153" spans="1:21" x14ac:dyDescent="0.35">
      <c r="A153" s="1">
        <f t="shared" si="55"/>
        <v>46328</v>
      </c>
      <c r="C153" s="11">
        <f>'[1]Ramp Plan'!Z94/16</f>
        <v>123120</v>
      </c>
      <c r="E153" s="11">
        <f>40000*4</f>
        <v>160000</v>
      </c>
      <c r="F153" s="11">
        <f t="shared" si="48"/>
        <v>10030319.999999998</v>
      </c>
      <c r="G153" s="11">
        <f t="shared" si="41"/>
        <v>9991810</v>
      </c>
      <c r="H153" s="11">
        <f t="shared" si="49"/>
        <v>38509.999999998137</v>
      </c>
      <c r="I153" s="61">
        <f>$I$152</f>
        <v>0.28805010496960959</v>
      </c>
      <c r="J153" s="61">
        <f t="shared" si="50"/>
        <v>35464.728923858333</v>
      </c>
      <c r="K153" s="94">
        <f>K152</f>
        <v>0.35</v>
      </c>
      <c r="L153" s="61">
        <f t="shared" si="57"/>
        <v>56000</v>
      </c>
      <c r="M153" s="61">
        <f t="shared" si="51"/>
        <v>-20535.271076141667</v>
      </c>
      <c r="N153" s="61">
        <f t="shared" si="53"/>
        <v>0.61468977294585025</v>
      </c>
      <c r="O153" s="61">
        <f t="shared" si="58"/>
        <v>98350.363671336047</v>
      </c>
      <c r="P153" s="79">
        <f t="shared" si="45"/>
        <v>0.43060708766528893</v>
      </c>
      <c r="Q153" s="79">
        <f t="shared" si="46"/>
        <v>0.53138946238009932</v>
      </c>
      <c r="R153" s="95">
        <f t="shared" si="52"/>
        <v>75680.604845093083</v>
      </c>
      <c r="S153" s="95">
        <f t="shared" si="54"/>
        <v>98350.363671336047</v>
      </c>
      <c r="T153" s="62">
        <f t="shared" si="47"/>
        <v>0.26468977294585028</v>
      </c>
      <c r="U153" s="61">
        <f t="shared" si="56"/>
        <v>42350.363671336047</v>
      </c>
    </row>
    <row r="154" spans="1:21" x14ac:dyDescent="0.35">
      <c r="A154" s="1">
        <f t="shared" si="55"/>
        <v>46329</v>
      </c>
      <c r="C154" s="11">
        <f>C153</f>
        <v>123120</v>
      </c>
      <c r="E154" s="11">
        <f>E153</f>
        <v>160000</v>
      </c>
      <c r="F154" s="11">
        <f t="shared" si="48"/>
        <v>10153439.999999998</v>
      </c>
      <c r="G154" s="11">
        <f t="shared" si="41"/>
        <v>10151810</v>
      </c>
      <c r="H154" s="11">
        <f t="shared" si="49"/>
        <v>1629.9999999981374</v>
      </c>
      <c r="I154" s="61">
        <f t="shared" ref="I154:I181" si="59">$I$152</f>
        <v>0.28805010496960959</v>
      </c>
      <c r="J154" s="61">
        <f t="shared" si="50"/>
        <v>35464.728923858333</v>
      </c>
      <c r="K154" s="94">
        <f t="shared" ref="K154:K212" si="60">K153</f>
        <v>0.35</v>
      </c>
      <c r="L154" s="61">
        <f t="shared" si="57"/>
        <v>56000</v>
      </c>
      <c r="M154" s="61">
        <f t="shared" si="51"/>
        <v>-20535.271076141667</v>
      </c>
      <c r="N154" s="61">
        <f t="shared" si="53"/>
        <v>0.61468977294585025</v>
      </c>
      <c r="O154" s="61">
        <f t="shared" si="58"/>
        <v>98350.363671336047</v>
      </c>
      <c r="P154" s="79">
        <f t="shared" si="45"/>
        <v>0.43060708766528893</v>
      </c>
      <c r="Q154" s="79">
        <f t="shared" si="46"/>
        <v>0.53138946238009932</v>
      </c>
      <c r="R154" s="95">
        <f t="shared" si="52"/>
        <v>75680.604845093083</v>
      </c>
      <c r="S154" s="95">
        <f t="shared" si="54"/>
        <v>98350.363671336047</v>
      </c>
      <c r="T154" s="62">
        <f t="shared" si="47"/>
        <v>0.26468977294585028</v>
      </c>
      <c r="U154" s="61">
        <f t="shared" si="56"/>
        <v>42350.363671336047</v>
      </c>
    </row>
    <row r="155" spans="1:21" x14ac:dyDescent="0.35">
      <c r="A155" s="1">
        <f t="shared" si="55"/>
        <v>46330</v>
      </c>
      <c r="C155" s="11">
        <f>C154</f>
        <v>123120</v>
      </c>
      <c r="E155" s="11">
        <f>E154</f>
        <v>160000</v>
      </c>
      <c r="F155" s="11">
        <f t="shared" si="48"/>
        <v>10276559.999999998</v>
      </c>
      <c r="G155" s="11">
        <f t="shared" si="41"/>
        <v>10311810</v>
      </c>
      <c r="H155" s="11">
        <f t="shared" si="49"/>
        <v>-35250.000000001863</v>
      </c>
      <c r="I155" s="61">
        <f t="shared" si="59"/>
        <v>0.28805010496960959</v>
      </c>
      <c r="J155" s="61">
        <f t="shared" si="50"/>
        <v>35464.728923858333</v>
      </c>
      <c r="K155" s="94">
        <f t="shared" si="60"/>
        <v>0.35</v>
      </c>
      <c r="L155" s="61">
        <f t="shared" si="57"/>
        <v>56000</v>
      </c>
      <c r="M155" s="61">
        <f t="shared" si="51"/>
        <v>-20535.271076141667</v>
      </c>
      <c r="N155" s="61">
        <f t="shared" si="53"/>
        <v>0.61468977294585025</v>
      </c>
      <c r="O155" s="61">
        <f t="shared" si="58"/>
        <v>98350.363671336047</v>
      </c>
      <c r="P155" s="79">
        <f t="shared" si="45"/>
        <v>0.43060708766528893</v>
      </c>
      <c r="Q155" s="79">
        <f t="shared" si="46"/>
        <v>0.53138946238009932</v>
      </c>
      <c r="R155" s="95">
        <f t="shared" si="52"/>
        <v>75680.604845093083</v>
      </c>
      <c r="S155" s="95">
        <f t="shared" si="54"/>
        <v>98350.363671336047</v>
      </c>
      <c r="T155" s="62">
        <f t="shared" si="47"/>
        <v>0.26468977294585028</v>
      </c>
      <c r="U155" s="61">
        <f t="shared" si="56"/>
        <v>42350.363671336047</v>
      </c>
    </row>
    <row r="156" spans="1:21" x14ac:dyDescent="0.35">
      <c r="A156" s="1">
        <f t="shared" si="55"/>
        <v>46331</v>
      </c>
      <c r="C156" s="11">
        <f>C155</f>
        <v>123120</v>
      </c>
      <c r="E156" s="11">
        <f>E155</f>
        <v>160000</v>
      </c>
      <c r="F156" s="11">
        <f t="shared" si="48"/>
        <v>10399679.999999998</v>
      </c>
      <c r="G156" s="11">
        <f t="shared" ref="G156:G212" si="61">G155+D156+E156</f>
        <v>10471810</v>
      </c>
      <c r="H156" s="11">
        <f t="shared" si="49"/>
        <v>-72130.000000001863</v>
      </c>
      <c r="I156" s="61">
        <f t="shared" si="59"/>
        <v>0.28805010496960959</v>
      </c>
      <c r="J156" s="61">
        <f t="shared" si="50"/>
        <v>35464.728923858333</v>
      </c>
      <c r="K156" s="94">
        <f t="shared" si="60"/>
        <v>0.35</v>
      </c>
      <c r="L156" s="61">
        <f t="shared" si="57"/>
        <v>56000</v>
      </c>
      <c r="M156" s="61">
        <f t="shared" si="51"/>
        <v>-20535.271076141667</v>
      </c>
      <c r="N156" s="61">
        <f t="shared" si="53"/>
        <v>0.61468977294585025</v>
      </c>
      <c r="O156" s="61">
        <f t="shared" si="58"/>
        <v>98350.363671336047</v>
      </c>
      <c r="P156" s="79">
        <f t="shared" si="45"/>
        <v>0.43060708766528893</v>
      </c>
      <c r="Q156" s="79">
        <f t="shared" si="46"/>
        <v>0.53138946238009932</v>
      </c>
      <c r="R156" s="95">
        <f t="shared" si="52"/>
        <v>75680.604845093083</v>
      </c>
      <c r="S156" s="95">
        <f t="shared" si="54"/>
        <v>98350.363671336047</v>
      </c>
      <c r="T156" s="62">
        <f t="shared" si="47"/>
        <v>0.26468977294585028</v>
      </c>
      <c r="U156" s="61">
        <f t="shared" si="56"/>
        <v>42350.363671336047</v>
      </c>
    </row>
    <row r="157" spans="1:21" x14ac:dyDescent="0.35">
      <c r="A157" s="1">
        <f t="shared" si="55"/>
        <v>46332</v>
      </c>
      <c r="C157" s="11">
        <v>0</v>
      </c>
      <c r="E157" s="11">
        <v>160000</v>
      </c>
      <c r="F157" s="11">
        <f t="shared" si="48"/>
        <v>10399679.999999998</v>
      </c>
      <c r="G157" s="11">
        <f t="shared" si="61"/>
        <v>10631810</v>
      </c>
      <c r="H157" s="11">
        <f t="shared" si="49"/>
        <v>-232130.00000000186</v>
      </c>
      <c r="I157" s="61">
        <f t="shared" si="59"/>
        <v>0.28805010496960959</v>
      </c>
      <c r="J157" s="61">
        <f t="shared" si="50"/>
        <v>0</v>
      </c>
      <c r="K157" s="94">
        <f t="shared" si="60"/>
        <v>0.35</v>
      </c>
      <c r="L157" s="61">
        <f t="shared" si="57"/>
        <v>56000</v>
      </c>
      <c r="M157" s="61">
        <f t="shared" si="51"/>
        <v>-56000</v>
      </c>
      <c r="N157" s="61">
        <f t="shared" si="53"/>
        <v>0.61468977294585025</v>
      </c>
      <c r="O157" s="61">
        <f t="shared" si="58"/>
        <v>98350.363671336047</v>
      </c>
      <c r="P157" s="79">
        <f t="shared" si="45"/>
        <v>0.43060708766528893</v>
      </c>
      <c r="Q157" s="79">
        <f t="shared" si="46"/>
        <v>0.53138946238009932</v>
      </c>
      <c r="R157" s="95">
        <f t="shared" si="52"/>
        <v>0</v>
      </c>
      <c r="S157" s="95">
        <f t="shared" si="54"/>
        <v>98350.363671336047</v>
      </c>
      <c r="T157" s="62">
        <f t="shared" si="47"/>
        <v>0.26468977294585028</v>
      </c>
      <c r="U157" s="61">
        <f t="shared" si="56"/>
        <v>42350.363671336047</v>
      </c>
    </row>
    <row r="158" spans="1:21" x14ac:dyDescent="0.35">
      <c r="A158" s="1">
        <f t="shared" si="55"/>
        <v>46333</v>
      </c>
      <c r="C158" s="11">
        <f>B158</f>
        <v>0</v>
      </c>
      <c r="F158" s="11">
        <f t="shared" si="48"/>
        <v>10399679.999999998</v>
      </c>
      <c r="G158" s="11">
        <f t="shared" si="61"/>
        <v>10631810</v>
      </c>
      <c r="H158" s="11">
        <f t="shared" si="49"/>
        <v>-232130.00000000186</v>
      </c>
      <c r="I158" s="61">
        <f t="shared" si="59"/>
        <v>0.28805010496960959</v>
      </c>
      <c r="J158" s="61">
        <f t="shared" si="50"/>
        <v>0</v>
      </c>
      <c r="K158" s="94">
        <f t="shared" si="60"/>
        <v>0.35</v>
      </c>
      <c r="L158" s="61">
        <f t="shared" si="57"/>
        <v>0</v>
      </c>
      <c r="M158" s="61">
        <f t="shared" si="51"/>
        <v>0</v>
      </c>
      <c r="N158" s="61">
        <f t="shared" si="53"/>
        <v>0.61468977294585025</v>
      </c>
      <c r="O158" s="61">
        <f t="shared" si="58"/>
        <v>0</v>
      </c>
      <c r="P158" s="79">
        <f t="shared" si="45"/>
        <v>0.43060708766528893</v>
      </c>
      <c r="Q158" s="79">
        <f t="shared" si="46"/>
        <v>0.53138946238009932</v>
      </c>
      <c r="R158" s="95">
        <f t="shared" si="52"/>
        <v>0</v>
      </c>
      <c r="S158" s="95">
        <f t="shared" si="54"/>
        <v>0</v>
      </c>
      <c r="T158" s="62">
        <f t="shared" si="47"/>
        <v>0.26468977294585028</v>
      </c>
      <c r="U158" s="61">
        <f t="shared" si="56"/>
        <v>0</v>
      </c>
    </row>
    <row r="159" spans="1:21" x14ac:dyDescent="0.35">
      <c r="A159" s="1">
        <f t="shared" si="55"/>
        <v>46334</v>
      </c>
      <c r="B159" s="93" t="s">
        <v>205</v>
      </c>
      <c r="C159" s="11">
        <v>0</v>
      </c>
      <c r="F159" s="11">
        <f t="shared" si="48"/>
        <v>10399679.999999998</v>
      </c>
      <c r="G159" s="11">
        <f t="shared" si="61"/>
        <v>10631810</v>
      </c>
      <c r="H159" s="11">
        <f t="shared" si="49"/>
        <v>-232130.00000000186</v>
      </c>
      <c r="I159" s="61">
        <f t="shared" si="59"/>
        <v>0.28805010496960959</v>
      </c>
      <c r="J159" s="61">
        <f t="shared" si="50"/>
        <v>0</v>
      </c>
      <c r="K159" s="94">
        <f t="shared" si="60"/>
        <v>0.35</v>
      </c>
      <c r="L159" s="61">
        <f t="shared" si="57"/>
        <v>0</v>
      </c>
      <c r="M159" s="61">
        <f t="shared" si="51"/>
        <v>0</v>
      </c>
      <c r="N159" s="61">
        <f t="shared" si="53"/>
        <v>0.61468977294585025</v>
      </c>
      <c r="O159" s="61">
        <f t="shared" si="58"/>
        <v>0</v>
      </c>
      <c r="P159" s="79">
        <f t="shared" si="45"/>
        <v>0.43060708766528893</v>
      </c>
      <c r="Q159" s="79">
        <f t="shared" si="46"/>
        <v>0.53138946238009932</v>
      </c>
      <c r="R159" s="95">
        <f t="shared" si="52"/>
        <v>0</v>
      </c>
      <c r="S159" s="95">
        <f t="shared" si="54"/>
        <v>0</v>
      </c>
      <c r="T159" s="62">
        <f t="shared" si="47"/>
        <v>0.26468977294585028</v>
      </c>
      <c r="U159" s="61">
        <f t="shared" si="56"/>
        <v>0</v>
      </c>
    </row>
    <row r="160" spans="1:21" x14ac:dyDescent="0.35">
      <c r="A160" s="1">
        <f t="shared" si="55"/>
        <v>46335</v>
      </c>
      <c r="C160" s="11">
        <f>C156</f>
        <v>123120</v>
      </c>
      <c r="E160" s="11">
        <f>E157</f>
        <v>160000</v>
      </c>
      <c r="F160" s="11">
        <f t="shared" si="48"/>
        <v>10522799.999999998</v>
      </c>
      <c r="G160" s="11">
        <f t="shared" si="61"/>
        <v>10791810</v>
      </c>
      <c r="H160" s="11">
        <f t="shared" si="49"/>
        <v>-269010.00000000186</v>
      </c>
      <c r="I160" s="61">
        <f t="shared" si="59"/>
        <v>0.28805010496960959</v>
      </c>
      <c r="J160" s="61">
        <f t="shared" si="50"/>
        <v>35464.728923858333</v>
      </c>
      <c r="K160" s="94">
        <f t="shared" si="60"/>
        <v>0.35</v>
      </c>
      <c r="L160" s="61">
        <f t="shared" si="57"/>
        <v>56000</v>
      </c>
      <c r="M160" s="61">
        <f t="shared" si="51"/>
        <v>-20535.271076141667</v>
      </c>
      <c r="N160" s="61">
        <f t="shared" si="53"/>
        <v>0.61468977294585025</v>
      </c>
      <c r="O160" s="61">
        <f t="shared" si="58"/>
        <v>98350.363671336047</v>
      </c>
      <c r="P160" s="79">
        <f t="shared" si="45"/>
        <v>0.43060708766528893</v>
      </c>
      <c r="Q160" s="79">
        <f t="shared" si="46"/>
        <v>0.53138946238009932</v>
      </c>
      <c r="R160" s="95">
        <f t="shared" si="52"/>
        <v>75680.604845093083</v>
      </c>
      <c r="S160" s="95">
        <f t="shared" si="54"/>
        <v>98350.363671336047</v>
      </c>
      <c r="T160" s="62">
        <f t="shared" si="47"/>
        <v>0.26468977294585028</v>
      </c>
      <c r="U160" s="61">
        <f t="shared" si="56"/>
        <v>42350.363671336047</v>
      </c>
    </row>
    <row r="161" spans="1:21" x14ac:dyDescent="0.35">
      <c r="A161" s="1">
        <f t="shared" si="55"/>
        <v>46336</v>
      </c>
      <c r="C161" s="11">
        <f>C160</f>
        <v>123120</v>
      </c>
      <c r="E161" s="11">
        <f>E160</f>
        <v>160000</v>
      </c>
      <c r="F161" s="11">
        <f t="shared" si="48"/>
        <v>10645919.999999998</v>
      </c>
      <c r="G161" s="11">
        <f t="shared" si="61"/>
        <v>10951810</v>
      </c>
      <c r="H161" s="11">
        <f t="shared" si="49"/>
        <v>-305890.00000000186</v>
      </c>
      <c r="I161" s="61">
        <f t="shared" si="59"/>
        <v>0.28805010496960959</v>
      </c>
      <c r="J161" s="61">
        <f t="shared" si="50"/>
        <v>35464.728923858333</v>
      </c>
      <c r="K161" s="94">
        <f t="shared" si="60"/>
        <v>0.35</v>
      </c>
      <c r="L161" s="61">
        <f t="shared" si="57"/>
        <v>56000</v>
      </c>
      <c r="M161" s="61">
        <f t="shared" si="51"/>
        <v>-20535.271076141667</v>
      </c>
      <c r="N161" s="61">
        <f t="shared" si="53"/>
        <v>0.61468977294585025</v>
      </c>
      <c r="O161" s="61">
        <f t="shared" si="58"/>
        <v>98350.363671336047</v>
      </c>
      <c r="P161" s="79">
        <f t="shared" si="45"/>
        <v>0.43060708766528893</v>
      </c>
      <c r="Q161" s="79">
        <f t="shared" si="46"/>
        <v>0.53138946238009932</v>
      </c>
      <c r="R161" s="95">
        <f t="shared" si="52"/>
        <v>75680.604845093083</v>
      </c>
      <c r="S161" s="95">
        <f t="shared" si="54"/>
        <v>98350.363671336047</v>
      </c>
      <c r="T161" s="62">
        <f t="shared" si="47"/>
        <v>0.26468977294585028</v>
      </c>
      <c r="U161" s="61">
        <f t="shared" si="56"/>
        <v>42350.363671336047</v>
      </c>
    </row>
    <row r="162" spans="1:21" x14ac:dyDescent="0.35">
      <c r="A162" s="1">
        <f t="shared" si="55"/>
        <v>46337</v>
      </c>
      <c r="C162" s="11">
        <f>C161</f>
        <v>123120</v>
      </c>
      <c r="E162" s="11">
        <f>E161</f>
        <v>160000</v>
      </c>
      <c r="F162" s="11">
        <f t="shared" si="48"/>
        <v>10769039.999999998</v>
      </c>
      <c r="G162" s="11">
        <f t="shared" si="61"/>
        <v>11111810</v>
      </c>
      <c r="H162" s="11">
        <f t="shared" si="49"/>
        <v>-342770.00000000186</v>
      </c>
      <c r="I162" s="61">
        <f t="shared" si="59"/>
        <v>0.28805010496960959</v>
      </c>
      <c r="J162" s="61">
        <f t="shared" si="50"/>
        <v>35464.728923858333</v>
      </c>
      <c r="K162" s="94">
        <f t="shared" si="60"/>
        <v>0.35</v>
      </c>
      <c r="L162" s="61">
        <f t="shared" si="57"/>
        <v>56000</v>
      </c>
      <c r="M162" s="61">
        <f t="shared" si="51"/>
        <v>-20535.271076141667</v>
      </c>
      <c r="N162" s="61">
        <f t="shared" si="53"/>
        <v>0.61468977294585025</v>
      </c>
      <c r="O162" s="61">
        <f t="shared" si="58"/>
        <v>98350.363671336047</v>
      </c>
      <c r="P162" s="79">
        <f t="shared" si="45"/>
        <v>0.43060708766528893</v>
      </c>
      <c r="Q162" s="79">
        <f t="shared" si="46"/>
        <v>0.53138946238009932</v>
      </c>
      <c r="R162" s="95">
        <f t="shared" si="52"/>
        <v>75680.604845093083</v>
      </c>
      <c r="S162" s="95">
        <f t="shared" si="54"/>
        <v>98350.363671336047</v>
      </c>
      <c r="T162" s="62">
        <f t="shared" si="47"/>
        <v>0.26468977294585028</v>
      </c>
      <c r="U162" s="61">
        <f t="shared" si="56"/>
        <v>42350.363671336047</v>
      </c>
    </row>
    <row r="163" spans="1:21" x14ac:dyDescent="0.35">
      <c r="A163" s="1">
        <f t="shared" si="55"/>
        <v>46338</v>
      </c>
      <c r="C163" s="11">
        <f>C162</f>
        <v>123120</v>
      </c>
      <c r="E163" s="11">
        <f>E162</f>
        <v>160000</v>
      </c>
      <c r="F163" s="11">
        <f t="shared" si="48"/>
        <v>10892159.999999998</v>
      </c>
      <c r="G163" s="11">
        <f t="shared" si="61"/>
        <v>11271810</v>
      </c>
      <c r="H163" s="11">
        <f t="shared" si="49"/>
        <v>-379650.00000000186</v>
      </c>
      <c r="I163" s="61">
        <f t="shared" si="59"/>
        <v>0.28805010496960959</v>
      </c>
      <c r="J163" s="61">
        <f t="shared" si="50"/>
        <v>35464.728923858333</v>
      </c>
      <c r="K163" s="94">
        <f t="shared" si="60"/>
        <v>0.35</v>
      </c>
      <c r="L163" s="61">
        <f t="shared" si="57"/>
        <v>56000</v>
      </c>
      <c r="M163" s="61">
        <f t="shared" si="51"/>
        <v>-20535.271076141667</v>
      </c>
      <c r="N163" s="61">
        <f t="shared" si="53"/>
        <v>0.61468977294585025</v>
      </c>
      <c r="O163" s="61">
        <f t="shared" si="58"/>
        <v>98350.363671336047</v>
      </c>
      <c r="P163" s="79">
        <f t="shared" si="45"/>
        <v>0.43060708766528893</v>
      </c>
      <c r="Q163" s="79">
        <f t="shared" si="46"/>
        <v>0.53138946238009932</v>
      </c>
      <c r="R163" s="95">
        <f t="shared" si="52"/>
        <v>75680.604845093083</v>
      </c>
      <c r="S163" s="95">
        <f t="shared" si="54"/>
        <v>98350.363671336047</v>
      </c>
      <c r="T163" s="62">
        <f t="shared" si="47"/>
        <v>0.26468977294585028</v>
      </c>
      <c r="U163" s="61">
        <f t="shared" si="56"/>
        <v>42350.363671336047</v>
      </c>
    </row>
    <row r="164" spans="1:21" x14ac:dyDescent="0.35">
      <c r="A164" s="1">
        <f t="shared" si="55"/>
        <v>46339</v>
      </c>
      <c r="C164" s="11">
        <v>0</v>
      </c>
      <c r="E164" s="11">
        <v>160000</v>
      </c>
      <c r="F164" s="11">
        <f t="shared" si="48"/>
        <v>10892159.999999998</v>
      </c>
      <c r="G164" s="11">
        <f t="shared" si="61"/>
        <v>11431810</v>
      </c>
      <c r="H164" s="11">
        <f t="shared" si="49"/>
        <v>-539650.00000000186</v>
      </c>
      <c r="I164" s="61">
        <f t="shared" si="59"/>
        <v>0.28805010496960959</v>
      </c>
      <c r="J164" s="61">
        <f t="shared" si="50"/>
        <v>0</v>
      </c>
      <c r="K164" s="94">
        <f t="shared" si="60"/>
        <v>0.35</v>
      </c>
      <c r="L164" s="61">
        <f t="shared" si="57"/>
        <v>56000</v>
      </c>
      <c r="M164" s="61">
        <f t="shared" si="51"/>
        <v>-56000</v>
      </c>
      <c r="N164" s="61">
        <f t="shared" si="53"/>
        <v>0.61468977294585025</v>
      </c>
      <c r="O164" s="61">
        <f t="shared" si="58"/>
        <v>98350.363671336047</v>
      </c>
      <c r="P164" s="79">
        <f t="shared" si="45"/>
        <v>0.43060708766528893</v>
      </c>
      <c r="Q164" s="79">
        <f t="shared" si="46"/>
        <v>0.53138946238009932</v>
      </c>
      <c r="R164" s="95">
        <f t="shared" si="52"/>
        <v>0</v>
      </c>
      <c r="S164" s="95">
        <f t="shared" si="54"/>
        <v>98350.363671336047</v>
      </c>
      <c r="T164" s="62">
        <f t="shared" si="47"/>
        <v>0.26468977294585028</v>
      </c>
      <c r="U164" s="61">
        <f t="shared" si="56"/>
        <v>42350.363671336047</v>
      </c>
    </row>
    <row r="165" spans="1:21" x14ac:dyDescent="0.35">
      <c r="A165" s="1">
        <f t="shared" si="55"/>
        <v>46340</v>
      </c>
      <c r="C165" s="11">
        <f>B165</f>
        <v>0</v>
      </c>
      <c r="F165" s="11">
        <f t="shared" si="48"/>
        <v>10892159.999999998</v>
      </c>
      <c r="G165" s="11">
        <f t="shared" si="61"/>
        <v>11431810</v>
      </c>
      <c r="H165" s="11">
        <f t="shared" si="49"/>
        <v>-539650.00000000186</v>
      </c>
      <c r="I165" s="61">
        <f t="shared" si="59"/>
        <v>0.28805010496960959</v>
      </c>
      <c r="J165" s="61">
        <f t="shared" si="50"/>
        <v>0</v>
      </c>
      <c r="K165" s="94">
        <f t="shared" si="60"/>
        <v>0.35</v>
      </c>
      <c r="L165" s="61">
        <f t="shared" si="57"/>
        <v>0</v>
      </c>
      <c r="M165" s="61">
        <f t="shared" si="51"/>
        <v>0</v>
      </c>
      <c r="N165" s="61">
        <f t="shared" si="53"/>
        <v>0.61468977294585025</v>
      </c>
      <c r="O165" s="61">
        <f t="shared" si="58"/>
        <v>0</v>
      </c>
      <c r="P165" s="79">
        <f t="shared" si="45"/>
        <v>0.43060708766528893</v>
      </c>
      <c r="Q165" s="79">
        <f t="shared" si="46"/>
        <v>0.53138946238009932</v>
      </c>
      <c r="R165" s="95">
        <f t="shared" si="52"/>
        <v>0</v>
      </c>
      <c r="S165" s="95">
        <f t="shared" si="54"/>
        <v>0</v>
      </c>
      <c r="T165" s="62">
        <f t="shared" si="47"/>
        <v>0.26468977294585028</v>
      </c>
      <c r="U165" s="61">
        <f t="shared" si="56"/>
        <v>0</v>
      </c>
    </row>
    <row r="166" spans="1:21" x14ac:dyDescent="0.35">
      <c r="A166" s="1">
        <f t="shared" si="55"/>
        <v>46341</v>
      </c>
      <c r="B166" s="93" t="s">
        <v>205</v>
      </c>
      <c r="C166" s="11">
        <v>0</v>
      </c>
      <c r="F166" s="11">
        <f t="shared" si="48"/>
        <v>10892159.999999998</v>
      </c>
      <c r="G166" s="11">
        <f t="shared" si="61"/>
        <v>11431810</v>
      </c>
      <c r="H166" s="11">
        <f t="shared" si="49"/>
        <v>-539650.00000000186</v>
      </c>
      <c r="I166" s="61">
        <f t="shared" si="59"/>
        <v>0.28805010496960959</v>
      </c>
      <c r="J166" s="61">
        <f t="shared" si="50"/>
        <v>0</v>
      </c>
      <c r="K166" s="94">
        <f t="shared" si="60"/>
        <v>0.35</v>
      </c>
      <c r="L166" s="61">
        <f t="shared" si="57"/>
        <v>0</v>
      </c>
      <c r="M166" s="61">
        <f t="shared" si="51"/>
        <v>0</v>
      </c>
      <c r="N166" s="61">
        <f t="shared" si="53"/>
        <v>0.61468977294585025</v>
      </c>
      <c r="O166" s="61">
        <f t="shared" si="58"/>
        <v>0</v>
      </c>
      <c r="P166" s="79">
        <f t="shared" si="45"/>
        <v>0.43060708766528893</v>
      </c>
      <c r="Q166" s="79">
        <f t="shared" si="46"/>
        <v>0.53138946238009932</v>
      </c>
      <c r="R166" s="95">
        <f t="shared" si="52"/>
        <v>0</v>
      </c>
      <c r="S166" s="95">
        <f t="shared" si="54"/>
        <v>0</v>
      </c>
      <c r="T166" s="62">
        <f t="shared" si="47"/>
        <v>0.26468977294585028</v>
      </c>
      <c r="U166" s="61">
        <f t="shared" si="56"/>
        <v>0</v>
      </c>
    </row>
    <row r="167" spans="1:21" x14ac:dyDescent="0.35">
      <c r="A167" s="1">
        <f t="shared" si="55"/>
        <v>46342</v>
      </c>
      <c r="C167" s="11">
        <f>C163</f>
        <v>123120</v>
      </c>
      <c r="E167" s="11">
        <f>E164</f>
        <v>160000</v>
      </c>
      <c r="F167" s="11">
        <f t="shared" si="48"/>
        <v>11015279.999999998</v>
      </c>
      <c r="G167" s="11">
        <f t="shared" si="61"/>
        <v>11591810</v>
      </c>
      <c r="H167" s="11">
        <f t="shared" si="49"/>
        <v>-576530.00000000186</v>
      </c>
      <c r="I167" s="61">
        <f t="shared" si="59"/>
        <v>0.28805010496960959</v>
      </c>
      <c r="J167" s="61">
        <f t="shared" si="50"/>
        <v>35464.728923858333</v>
      </c>
      <c r="K167" s="94">
        <f t="shared" si="60"/>
        <v>0.35</v>
      </c>
      <c r="L167" s="61">
        <f t="shared" si="57"/>
        <v>56000</v>
      </c>
      <c r="M167" s="61">
        <f t="shared" si="51"/>
        <v>-20535.271076141667</v>
      </c>
      <c r="N167" s="61">
        <f t="shared" si="53"/>
        <v>0.61468977294585025</v>
      </c>
      <c r="O167" s="61">
        <f t="shared" si="58"/>
        <v>98350.363671336047</v>
      </c>
      <c r="P167" s="79">
        <f t="shared" si="45"/>
        <v>0.43060708766528893</v>
      </c>
      <c r="Q167" s="79">
        <f t="shared" si="46"/>
        <v>0.53138946238009932</v>
      </c>
      <c r="R167" s="95">
        <f t="shared" si="52"/>
        <v>75680.604845093083</v>
      </c>
      <c r="S167" s="95">
        <f t="shared" si="54"/>
        <v>98350.363671336047</v>
      </c>
      <c r="T167" s="62">
        <f t="shared" si="47"/>
        <v>0.26468977294585028</v>
      </c>
      <c r="U167" s="61">
        <f t="shared" si="56"/>
        <v>42350.363671336047</v>
      </c>
    </row>
    <row r="168" spans="1:21" x14ac:dyDescent="0.35">
      <c r="A168" s="1">
        <f t="shared" si="55"/>
        <v>46343</v>
      </c>
      <c r="C168" s="11">
        <f>C167</f>
        <v>123120</v>
      </c>
      <c r="E168" s="11">
        <f>E167</f>
        <v>160000</v>
      </c>
      <c r="F168" s="11">
        <f t="shared" si="48"/>
        <v>11138399.999999998</v>
      </c>
      <c r="G168" s="11">
        <f t="shared" si="61"/>
        <v>11751810</v>
      </c>
      <c r="H168" s="11">
        <f t="shared" si="49"/>
        <v>-613410.00000000186</v>
      </c>
      <c r="I168" s="61">
        <f t="shared" si="59"/>
        <v>0.28805010496960959</v>
      </c>
      <c r="J168" s="61">
        <f t="shared" si="50"/>
        <v>35464.728923858333</v>
      </c>
      <c r="K168" s="94">
        <f t="shared" si="60"/>
        <v>0.35</v>
      </c>
      <c r="L168" s="61">
        <f t="shared" si="57"/>
        <v>56000</v>
      </c>
      <c r="M168" s="61">
        <f t="shared" si="51"/>
        <v>-20535.271076141667</v>
      </c>
      <c r="N168" s="61">
        <f t="shared" si="53"/>
        <v>0.61468977294585025</v>
      </c>
      <c r="O168" s="61">
        <f t="shared" si="58"/>
        <v>98350.363671336047</v>
      </c>
      <c r="P168" s="79">
        <f t="shared" si="45"/>
        <v>0.43060708766528893</v>
      </c>
      <c r="Q168" s="79">
        <f t="shared" si="46"/>
        <v>0.53138946238009932</v>
      </c>
      <c r="R168" s="95">
        <f t="shared" si="52"/>
        <v>75680.604845093083</v>
      </c>
      <c r="S168" s="95">
        <f t="shared" si="54"/>
        <v>98350.363671336047</v>
      </c>
      <c r="T168" s="62">
        <f t="shared" si="47"/>
        <v>0.26468977294585028</v>
      </c>
      <c r="U168" s="61">
        <f t="shared" si="56"/>
        <v>42350.363671336047</v>
      </c>
    </row>
    <row r="169" spans="1:21" x14ac:dyDescent="0.35">
      <c r="A169" s="1">
        <f t="shared" si="55"/>
        <v>46344</v>
      </c>
      <c r="C169" s="11">
        <f>C168</f>
        <v>123120</v>
      </c>
      <c r="E169" s="11">
        <f>E168</f>
        <v>160000</v>
      </c>
      <c r="F169" s="11">
        <f t="shared" si="48"/>
        <v>11261519.999999998</v>
      </c>
      <c r="G169" s="11">
        <f t="shared" si="61"/>
        <v>11911810</v>
      </c>
      <c r="H169" s="11">
        <f t="shared" si="49"/>
        <v>-650290.00000000186</v>
      </c>
      <c r="I169" s="61">
        <f t="shared" si="59"/>
        <v>0.28805010496960959</v>
      </c>
      <c r="J169" s="61">
        <f t="shared" si="50"/>
        <v>35464.728923858333</v>
      </c>
      <c r="K169" s="94">
        <f t="shared" si="60"/>
        <v>0.35</v>
      </c>
      <c r="L169" s="61">
        <f t="shared" si="57"/>
        <v>56000</v>
      </c>
      <c r="M169" s="61">
        <f t="shared" si="51"/>
        <v>-20535.271076141667</v>
      </c>
      <c r="N169" s="61">
        <f t="shared" si="53"/>
        <v>0.61468977294585025</v>
      </c>
      <c r="O169" s="61">
        <f t="shared" si="58"/>
        <v>98350.363671336047</v>
      </c>
      <c r="P169" s="79">
        <f t="shared" si="45"/>
        <v>0.43060708766528893</v>
      </c>
      <c r="Q169" s="79">
        <f t="shared" si="46"/>
        <v>0.53138946238009932</v>
      </c>
      <c r="R169" s="95">
        <f t="shared" si="52"/>
        <v>75680.604845093083</v>
      </c>
      <c r="S169" s="95">
        <f t="shared" si="54"/>
        <v>98350.363671336047</v>
      </c>
      <c r="T169" s="62">
        <f t="shared" si="47"/>
        <v>0.26468977294585028</v>
      </c>
      <c r="U169" s="61">
        <f t="shared" si="56"/>
        <v>42350.363671336047</v>
      </c>
    </row>
    <row r="170" spans="1:21" x14ac:dyDescent="0.35">
      <c r="A170" s="1">
        <f t="shared" si="55"/>
        <v>46345</v>
      </c>
      <c r="C170" s="11">
        <f>C169</f>
        <v>123120</v>
      </c>
      <c r="E170" s="11">
        <f>E169</f>
        <v>160000</v>
      </c>
      <c r="F170" s="11">
        <f t="shared" si="48"/>
        <v>11384639.999999998</v>
      </c>
      <c r="G170" s="11">
        <f t="shared" si="61"/>
        <v>12071810</v>
      </c>
      <c r="H170" s="11">
        <f t="shared" si="49"/>
        <v>-687170.00000000186</v>
      </c>
      <c r="I170" s="61">
        <f t="shared" si="59"/>
        <v>0.28805010496960959</v>
      </c>
      <c r="J170" s="61">
        <f t="shared" si="50"/>
        <v>35464.728923858333</v>
      </c>
      <c r="K170" s="94">
        <f t="shared" si="60"/>
        <v>0.35</v>
      </c>
      <c r="L170" s="61">
        <f t="shared" si="57"/>
        <v>56000</v>
      </c>
      <c r="M170" s="61">
        <f t="shared" si="51"/>
        <v>-20535.271076141667</v>
      </c>
      <c r="N170" s="61">
        <f t="shared" si="53"/>
        <v>0.61468977294585025</v>
      </c>
      <c r="O170" s="61">
        <f t="shared" si="58"/>
        <v>98350.363671336047</v>
      </c>
      <c r="P170" s="79">
        <f t="shared" si="45"/>
        <v>0.43060708766528893</v>
      </c>
      <c r="Q170" s="79">
        <f t="shared" si="46"/>
        <v>0.53138946238009932</v>
      </c>
      <c r="R170" s="95">
        <f t="shared" si="52"/>
        <v>75680.604845093083</v>
      </c>
      <c r="S170" s="95">
        <f t="shared" si="54"/>
        <v>98350.363671336047</v>
      </c>
      <c r="T170" s="62">
        <f t="shared" si="47"/>
        <v>0.26468977294585028</v>
      </c>
      <c r="U170" s="61">
        <f t="shared" si="56"/>
        <v>42350.363671336047</v>
      </c>
    </row>
    <row r="171" spans="1:21" x14ac:dyDescent="0.35">
      <c r="A171" s="1">
        <f t="shared" si="55"/>
        <v>46346</v>
      </c>
      <c r="C171" s="11">
        <v>0</v>
      </c>
      <c r="E171" s="11">
        <v>160000</v>
      </c>
      <c r="F171" s="11">
        <f t="shared" si="48"/>
        <v>11384639.999999998</v>
      </c>
      <c r="G171" s="11">
        <f t="shared" si="61"/>
        <v>12231810</v>
      </c>
      <c r="H171" s="11">
        <f t="shared" si="49"/>
        <v>-847170.00000000186</v>
      </c>
      <c r="I171" s="61">
        <f t="shared" si="59"/>
        <v>0.28805010496960959</v>
      </c>
      <c r="J171" s="61">
        <f t="shared" si="50"/>
        <v>0</v>
      </c>
      <c r="K171" s="94">
        <f t="shared" si="60"/>
        <v>0.35</v>
      </c>
      <c r="L171" s="61">
        <f t="shared" si="57"/>
        <v>56000</v>
      </c>
      <c r="M171" s="61">
        <f t="shared" si="51"/>
        <v>-56000</v>
      </c>
      <c r="N171" s="61">
        <f t="shared" si="53"/>
        <v>0.61468977294585025</v>
      </c>
      <c r="O171" s="61">
        <f t="shared" si="58"/>
        <v>98350.363671336047</v>
      </c>
      <c r="P171" s="79">
        <f t="shared" si="45"/>
        <v>0.43060708766528893</v>
      </c>
      <c r="Q171" s="79">
        <f t="shared" si="46"/>
        <v>0.53138946238009932</v>
      </c>
      <c r="R171" s="95">
        <f t="shared" si="52"/>
        <v>0</v>
      </c>
      <c r="S171" s="95">
        <f t="shared" si="54"/>
        <v>98350.363671336047</v>
      </c>
      <c r="T171" s="62">
        <f t="shared" si="47"/>
        <v>0.26468977294585028</v>
      </c>
      <c r="U171" s="61">
        <f t="shared" si="56"/>
        <v>42350.363671336047</v>
      </c>
    </row>
    <row r="172" spans="1:21" x14ac:dyDescent="0.35">
      <c r="A172" s="1">
        <f t="shared" si="55"/>
        <v>46347</v>
      </c>
      <c r="C172" s="11">
        <f>B172</f>
        <v>0</v>
      </c>
      <c r="F172" s="11">
        <f t="shared" si="48"/>
        <v>11384639.999999998</v>
      </c>
      <c r="G172" s="11">
        <f t="shared" si="61"/>
        <v>12231810</v>
      </c>
      <c r="H172" s="11">
        <f t="shared" si="49"/>
        <v>-847170.00000000186</v>
      </c>
      <c r="I172" s="61">
        <f t="shared" si="59"/>
        <v>0.28805010496960959</v>
      </c>
      <c r="J172" s="61">
        <f t="shared" si="50"/>
        <v>0</v>
      </c>
      <c r="K172" s="94">
        <f t="shared" si="60"/>
        <v>0.35</v>
      </c>
      <c r="L172" s="61">
        <f t="shared" si="57"/>
        <v>0</v>
      </c>
      <c r="M172" s="61">
        <f t="shared" si="51"/>
        <v>0</v>
      </c>
      <c r="N172" s="61">
        <f t="shared" si="53"/>
        <v>0.61468977294585025</v>
      </c>
      <c r="O172" s="61">
        <f t="shared" si="58"/>
        <v>0</v>
      </c>
      <c r="P172" s="79">
        <f t="shared" si="45"/>
        <v>0.43060708766528893</v>
      </c>
      <c r="Q172" s="79">
        <f t="shared" si="46"/>
        <v>0.53138946238009932</v>
      </c>
      <c r="R172" s="95">
        <f t="shared" si="52"/>
        <v>0</v>
      </c>
      <c r="S172" s="95">
        <f t="shared" si="54"/>
        <v>0</v>
      </c>
      <c r="T172" s="62">
        <f t="shared" si="47"/>
        <v>0.26468977294585028</v>
      </c>
      <c r="U172" s="61">
        <f t="shared" si="56"/>
        <v>0</v>
      </c>
    </row>
    <row r="173" spans="1:21" x14ac:dyDescent="0.35">
      <c r="A173" s="1">
        <f t="shared" si="55"/>
        <v>46348</v>
      </c>
      <c r="B173" s="93" t="s">
        <v>205</v>
      </c>
      <c r="C173" s="11">
        <v>0</v>
      </c>
      <c r="F173" s="11">
        <f t="shared" si="48"/>
        <v>11384639.999999998</v>
      </c>
      <c r="G173" s="11">
        <f t="shared" si="61"/>
        <v>12231810</v>
      </c>
      <c r="H173" s="11">
        <f t="shared" si="49"/>
        <v>-847170.00000000186</v>
      </c>
      <c r="I173" s="61">
        <f t="shared" si="59"/>
        <v>0.28805010496960959</v>
      </c>
      <c r="J173" s="61">
        <f t="shared" si="50"/>
        <v>0</v>
      </c>
      <c r="K173" s="94">
        <f t="shared" si="60"/>
        <v>0.35</v>
      </c>
      <c r="L173" s="61">
        <f t="shared" si="57"/>
        <v>0</v>
      </c>
      <c r="M173" s="61">
        <f t="shared" si="51"/>
        <v>0</v>
      </c>
      <c r="N173" s="61">
        <f t="shared" si="53"/>
        <v>0.61468977294585025</v>
      </c>
      <c r="O173" s="61">
        <f t="shared" si="58"/>
        <v>0</v>
      </c>
      <c r="P173" s="79">
        <f t="shared" si="45"/>
        <v>0.43060708766528893</v>
      </c>
      <c r="Q173" s="79">
        <f t="shared" si="46"/>
        <v>0.53138946238009932</v>
      </c>
      <c r="R173" s="95">
        <f t="shared" si="52"/>
        <v>0</v>
      </c>
      <c r="S173" s="95">
        <f t="shared" si="54"/>
        <v>0</v>
      </c>
      <c r="T173" s="62">
        <f t="shared" si="47"/>
        <v>0.26468977294585028</v>
      </c>
      <c r="U173" s="61">
        <f t="shared" si="56"/>
        <v>0</v>
      </c>
    </row>
    <row r="174" spans="1:21" x14ac:dyDescent="0.35">
      <c r="A174" s="1">
        <f t="shared" si="55"/>
        <v>46349</v>
      </c>
      <c r="C174" s="11">
        <f>C170</f>
        <v>123120</v>
      </c>
      <c r="E174" s="11">
        <f>E170</f>
        <v>160000</v>
      </c>
      <c r="F174" s="11">
        <f t="shared" si="48"/>
        <v>11507759.999999998</v>
      </c>
      <c r="G174" s="11">
        <f t="shared" si="61"/>
        <v>12391810</v>
      </c>
      <c r="H174" s="11">
        <f t="shared" si="49"/>
        <v>-884050.00000000186</v>
      </c>
      <c r="I174" s="61">
        <f t="shared" si="59"/>
        <v>0.28805010496960959</v>
      </c>
      <c r="J174" s="61">
        <f t="shared" si="50"/>
        <v>35464.728923858333</v>
      </c>
      <c r="K174" s="94">
        <f t="shared" si="60"/>
        <v>0.35</v>
      </c>
      <c r="L174" s="61">
        <f t="shared" si="57"/>
        <v>56000</v>
      </c>
      <c r="M174" s="61">
        <f t="shared" si="51"/>
        <v>-20535.271076141667</v>
      </c>
      <c r="N174" s="61">
        <f t="shared" si="53"/>
        <v>0.61468977294585025</v>
      </c>
      <c r="O174" s="61">
        <f t="shared" si="58"/>
        <v>98350.363671336047</v>
      </c>
      <c r="P174" s="79">
        <f t="shared" si="45"/>
        <v>0.43060708766528893</v>
      </c>
      <c r="Q174" s="79">
        <f t="shared" si="46"/>
        <v>0.53138946238009932</v>
      </c>
      <c r="R174" s="95">
        <f t="shared" si="52"/>
        <v>75680.604845093083</v>
      </c>
      <c r="S174" s="95">
        <f t="shared" si="54"/>
        <v>98350.363671336047</v>
      </c>
      <c r="T174" s="62">
        <f t="shared" si="47"/>
        <v>0.26468977294585028</v>
      </c>
      <c r="U174" s="61">
        <f t="shared" si="56"/>
        <v>42350.363671336047</v>
      </c>
    </row>
    <row r="175" spans="1:21" x14ac:dyDescent="0.35">
      <c r="A175" s="1">
        <f t="shared" si="55"/>
        <v>46350</v>
      </c>
      <c r="C175" s="11">
        <f>C174</f>
        <v>123120</v>
      </c>
      <c r="E175" s="11">
        <f>E174</f>
        <v>160000</v>
      </c>
      <c r="F175" s="11">
        <f t="shared" si="48"/>
        <v>11630879.999999998</v>
      </c>
      <c r="G175" s="11">
        <f t="shared" si="61"/>
        <v>12551810</v>
      </c>
      <c r="H175" s="11">
        <f t="shared" si="49"/>
        <v>-920930.00000000186</v>
      </c>
      <c r="I175" s="61">
        <f t="shared" si="59"/>
        <v>0.28805010496960959</v>
      </c>
      <c r="J175" s="61">
        <f t="shared" si="50"/>
        <v>35464.728923858333</v>
      </c>
      <c r="K175" s="94">
        <f t="shared" si="60"/>
        <v>0.35</v>
      </c>
      <c r="L175" s="61">
        <f t="shared" si="57"/>
        <v>56000</v>
      </c>
      <c r="M175" s="61">
        <f t="shared" si="51"/>
        <v>-20535.271076141667</v>
      </c>
      <c r="N175" s="61">
        <f t="shared" si="53"/>
        <v>0.61468977294585025</v>
      </c>
      <c r="O175" s="61">
        <f t="shared" si="58"/>
        <v>98350.363671336047</v>
      </c>
      <c r="P175" s="79">
        <f t="shared" si="45"/>
        <v>0.43060708766528893</v>
      </c>
      <c r="Q175" s="79">
        <f t="shared" si="46"/>
        <v>0.53138946238009932</v>
      </c>
      <c r="R175" s="95">
        <f t="shared" si="52"/>
        <v>75680.604845093083</v>
      </c>
      <c r="S175" s="95">
        <f t="shared" si="54"/>
        <v>98350.363671336047</v>
      </c>
      <c r="T175" s="62">
        <f t="shared" si="47"/>
        <v>0.26468977294585028</v>
      </c>
      <c r="U175" s="61">
        <f t="shared" si="56"/>
        <v>42350.363671336047</v>
      </c>
    </row>
    <row r="176" spans="1:21" x14ac:dyDescent="0.35">
      <c r="A176" s="1">
        <f t="shared" si="55"/>
        <v>46351</v>
      </c>
      <c r="C176" s="11">
        <f>C175</f>
        <v>123120</v>
      </c>
      <c r="E176" s="11">
        <f>E175</f>
        <v>160000</v>
      </c>
      <c r="F176" s="11">
        <f t="shared" si="48"/>
        <v>11753999.999999998</v>
      </c>
      <c r="G176" s="11">
        <f t="shared" si="61"/>
        <v>12711810</v>
      </c>
      <c r="H176" s="11">
        <f t="shared" si="49"/>
        <v>-957810.00000000186</v>
      </c>
      <c r="I176" s="61">
        <f t="shared" si="59"/>
        <v>0.28805010496960959</v>
      </c>
      <c r="J176" s="61">
        <f t="shared" si="50"/>
        <v>35464.728923858333</v>
      </c>
      <c r="K176" s="94">
        <f t="shared" si="60"/>
        <v>0.35</v>
      </c>
      <c r="L176" s="61">
        <f t="shared" si="57"/>
        <v>56000</v>
      </c>
      <c r="M176" s="61">
        <f t="shared" si="51"/>
        <v>-20535.271076141667</v>
      </c>
      <c r="N176" s="61">
        <f t="shared" si="53"/>
        <v>0.61468977294585025</v>
      </c>
      <c r="O176" s="61">
        <f t="shared" si="58"/>
        <v>98350.363671336047</v>
      </c>
      <c r="P176" s="79">
        <f t="shared" si="45"/>
        <v>0.43060708766528893</v>
      </c>
      <c r="Q176" s="79">
        <f t="shared" si="46"/>
        <v>0.53138946238009932</v>
      </c>
      <c r="R176" s="95">
        <f t="shared" si="52"/>
        <v>75680.604845093083</v>
      </c>
      <c r="S176" s="95">
        <f t="shared" si="54"/>
        <v>98350.363671336047</v>
      </c>
      <c r="T176" s="62">
        <f t="shared" si="47"/>
        <v>0.26468977294585028</v>
      </c>
      <c r="U176" s="61">
        <f t="shared" si="56"/>
        <v>42350.363671336047</v>
      </c>
    </row>
    <row r="177" spans="1:21" x14ac:dyDescent="0.35">
      <c r="A177" s="1">
        <f t="shared" si="55"/>
        <v>46352</v>
      </c>
      <c r="B177" s="93" t="s">
        <v>205</v>
      </c>
      <c r="F177" s="11">
        <f t="shared" si="48"/>
        <v>11753999.999999998</v>
      </c>
      <c r="G177" s="11">
        <f t="shared" si="61"/>
        <v>12711810</v>
      </c>
      <c r="H177" s="11">
        <f t="shared" si="49"/>
        <v>-957810.00000000186</v>
      </c>
      <c r="I177" s="61">
        <f t="shared" si="59"/>
        <v>0.28805010496960959</v>
      </c>
      <c r="J177" s="61">
        <f t="shared" si="50"/>
        <v>0</v>
      </c>
      <c r="K177" s="94">
        <f t="shared" si="60"/>
        <v>0.35</v>
      </c>
      <c r="L177" s="61">
        <f t="shared" si="57"/>
        <v>0</v>
      </c>
      <c r="M177" s="61">
        <f t="shared" si="51"/>
        <v>0</v>
      </c>
      <c r="N177" s="61">
        <f t="shared" si="53"/>
        <v>0.61468977294585025</v>
      </c>
      <c r="O177" s="61">
        <f t="shared" si="58"/>
        <v>0</v>
      </c>
      <c r="P177" s="79">
        <f t="shared" si="45"/>
        <v>0.43060708766528893</v>
      </c>
      <c r="Q177" s="79">
        <f t="shared" si="46"/>
        <v>0.53138946238009932</v>
      </c>
      <c r="R177" s="95">
        <f t="shared" si="52"/>
        <v>0</v>
      </c>
      <c r="S177" s="95">
        <f t="shared" si="54"/>
        <v>0</v>
      </c>
      <c r="T177" s="62">
        <f t="shared" si="47"/>
        <v>0.26468977294585028</v>
      </c>
      <c r="U177" s="61">
        <f t="shared" si="56"/>
        <v>0</v>
      </c>
    </row>
    <row r="178" spans="1:21" x14ac:dyDescent="0.35">
      <c r="A178" s="1">
        <f t="shared" si="55"/>
        <v>46353</v>
      </c>
      <c r="B178" s="93" t="s">
        <v>205</v>
      </c>
      <c r="F178" s="11">
        <f t="shared" si="48"/>
        <v>11753999.999999998</v>
      </c>
      <c r="G178" s="11">
        <f t="shared" si="61"/>
        <v>12711810</v>
      </c>
      <c r="H178" s="11">
        <f t="shared" si="49"/>
        <v>-957810.00000000186</v>
      </c>
      <c r="I178" s="61">
        <f t="shared" si="59"/>
        <v>0.28805010496960959</v>
      </c>
      <c r="J178" s="61">
        <f t="shared" si="50"/>
        <v>0</v>
      </c>
      <c r="K178" s="94">
        <f t="shared" si="60"/>
        <v>0.35</v>
      </c>
      <c r="L178" s="61">
        <f t="shared" si="57"/>
        <v>0</v>
      </c>
      <c r="M178" s="61">
        <f t="shared" si="51"/>
        <v>0</v>
      </c>
      <c r="N178" s="61">
        <f t="shared" si="53"/>
        <v>0.61468977294585025</v>
      </c>
      <c r="O178" s="61">
        <f t="shared" si="58"/>
        <v>0</v>
      </c>
      <c r="P178" s="79">
        <f t="shared" si="45"/>
        <v>0.43060708766528893</v>
      </c>
      <c r="Q178" s="79">
        <f t="shared" si="46"/>
        <v>0.53138946238009932</v>
      </c>
      <c r="R178" s="95">
        <f t="shared" si="52"/>
        <v>0</v>
      </c>
      <c r="S178" s="95">
        <f t="shared" si="54"/>
        <v>0</v>
      </c>
      <c r="T178" s="62">
        <f t="shared" si="47"/>
        <v>0.26468977294585028</v>
      </c>
      <c r="U178" s="61">
        <f t="shared" si="56"/>
        <v>0</v>
      </c>
    </row>
    <row r="179" spans="1:21" x14ac:dyDescent="0.35">
      <c r="A179" s="1">
        <f t="shared" si="55"/>
        <v>46354</v>
      </c>
      <c r="B179" s="93" t="s">
        <v>205</v>
      </c>
      <c r="F179" s="11">
        <f t="shared" si="48"/>
        <v>11753999.999999998</v>
      </c>
      <c r="G179" s="11">
        <f t="shared" si="61"/>
        <v>12711810</v>
      </c>
      <c r="H179" s="11">
        <f t="shared" si="49"/>
        <v>-957810.00000000186</v>
      </c>
      <c r="I179" s="61">
        <f t="shared" si="59"/>
        <v>0.28805010496960959</v>
      </c>
      <c r="J179" s="61">
        <f t="shared" si="50"/>
        <v>0</v>
      </c>
      <c r="K179" s="94">
        <f t="shared" si="60"/>
        <v>0.35</v>
      </c>
      <c r="L179" s="61">
        <f t="shared" si="57"/>
        <v>0</v>
      </c>
      <c r="M179" s="61">
        <f t="shared" si="51"/>
        <v>0</v>
      </c>
      <c r="N179" s="61">
        <f t="shared" si="53"/>
        <v>0.61468977294585025</v>
      </c>
      <c r="O179" s="61">
        <f t="shared" si="58"/>
        <v>0</v>
      </c>
      <c r="P179" s="79">
        <f t="shared" si="45"/>
        <v>0.43060708766528893</v>
      </c>
      <c r="Q179" s="79">
        <f t="shared" si="46"/>
        <v>0.53138946238009932</v>
      </c>
      <c r="R179" s="95">
        <f t="shared" si="52"/>
        <v>0</v>
      </c>
      <c r="S179" s="95">
        <f t="shared" si="54"/>
        <v>0</v>
      </c>
      <c r="T179" s="62">
        <f t="shared" si="47"/>
        <v>0.26468977294585028</v>
      </c>
      <c r="U179" s="61">
        <f t="shared" si="56"/>
        <v>0</v>
      </c>
    </row>
    <row r="180" spans="1:21" x14ac:dyDescent="0.35">
      <c r="A180" s="1">
        <f t="shared" si="55"/>
        <v>46355</v>
      </c>
      <c r="B180" s="93" t="s">
        <v>205</v>
      </c>
      <c r="F180" s="11">
        <f t="shared" si="48"/>
        <v>11753999.999999998</v>
      </c>
      <c r="G180" s="11">
        <f t="shared" si="61"/>
        <v>12711810</v>
      </c>
      <c r="H180" s="11">
        <f t="shared" si="49"/>
        <v>-957810.00000000186</v>
      </c>
      <c r="I180" s="61">
        <f t="shared" si="59"/>
        <v>0.28805010496960959</v>
      </c>
      <c r="J180" s="61">
        <f t="shared" si="50"/>
        <v>0</v>
      </c>
      <c r="K180" s="94">
        <f t="shared" si="60"/>
        <v>0.35</v>
      </c>
      <c r="L180" s="61">
        <f t="shared" si="57"/>
        <v>0</v>
      </c>
      <c r="M180" s="61">
        <f t="shared" si="51"/>
        <v>0</v>
      </c>
      <c r="N180" s="61">
        <f t="shared" si="53"/>
        <v>0.61468977294585025</v>
      </c>
      <c r="O180" s="61">
        <f t="shared" si="58"/>
        <v>0</v>
      </c>
      <c r="P180" s="79">
        <f t="shared" si="45"/>
        <v>0.43060708766528893</v>
      </c>
      <c r="Q180" s="79">
        <f t="shared" si="46"/>
        <v>0.53138946238009932</v>
      </c>
      <c r="R180" s="95">
        <f t="shared" si="52"/>
        <v>0</v>
      </c>
      <c r="S180" s="95">
        <f t="shared" si="54"/>
        <v>0</v>
      </c>
      <c r="T180" s="62">
        <f t="shared" si="47"/>
        <v>0.26468977294585028</v>
      </c>
      <c r="U180" s="61">
        <f t="shared" si="56"/>
        <v>0</v>
      </c>
    </row>
    <row r="181" spans="1:21" x14ac:dyDescent="0.35">
      <c r="A181" s="1">
        <f t="shared" si="55"/>
        <v>46356</v>
      </c>
      <c r="C181" s="11">
        <f>C176</f>
        <v>123120</v>
      </c>
      <c r="E181" s="11">
        <f>E176</f>
        <v>160000</v>
      </c>
      <c r="F181" s="11">
        <f t="shared" si="48"/>
        <v>11877119.999999998</v>
      </c>
      <c r="G181" s="11">
        <f t="shared" si="61"/>
        <v>12871810</v>
      </c>
      <c r="H181" s="11">
        <f t="shared" si="49"/>
        <v>-994690.00000000186</v>
      </c>
      <c r="I181" s="61">
        <f t="shared" si="59"/>
        <v>0.28805010496960959</v>
      </c>
      <c r="J181" s="61">
        <f t="shared" si="50"/>
        <v>35464.728923858333</v>
      </c>
      <c r="K181" s="94">
        <f t="shared" si="60"/>
        <v>0.35</v>
      </c>
      <c r="L181" s="61">
        <f t="shared" si="57"/>
        <v>56000</v>
      </c>
      <c r="M181" s="61">
        <f t="shared" si="51"/>
        <v>-20535.271076141667</v>
      </c>
      <c r="N181" s="61">
        <f t="shared" si="53"/>
        <v>0.61468977294585025</v>
      </c>
      <c r="O181" s="61">
        <f t="shared" si="58"/>
        <v>98350.363671336047</v>
      </c>
      <c r="P181" s="79">
        <f t="shared" si="45"/>
        <v>0.43060708766528893</v>
      </c>
      <c r="Q181" s="79">
        <f t="shared" si="46"/>
        <v>0.53138946238009932</v>
      </c>
      <c r="R181" s="95">
        <f t="shared" si="52"/>
        <v>75680.604845093083</v>
      </c>
      <c r="S181" s="95">
        <f t="shared" si="54"/>
        <v>98350.363671336047</v>
      </c>
      <c r="T181" s="62">
        <f t="shared" si="47"/>
        <v>0.26468977294585028</v>
      </c>
      <c r="U181" s="61">
        <f t="shared" si="56"/>
        <v>42350.363671336047</v>
      </c>
    </row>
    <row r="182" spans="1:21" x14ac:dyDescent="0.35">
      <c r="A182" s="1">
        <f t="shared" si="55"/>
        <v>46357</v>
      </c>
      <c r="C182" s="11">
        <f>'[1]Ramp Plan'!AA94/14</f>
        <v>140708.57142857142</v>
      </c>
      <c r="E182" s="11">
        <f>E181</f>
        <v>160000</v>
      </c>
      <c r="F182" s="11">
        <f t="shared" si="48"/>
        <v>12017828.571428569</v>
      </c>
      <c r="G182" s="11">
        <f t="shared" si="61"/>
        <v>13031810</v>
      </c>
      <c r="H182" s="11">
        <f t="shared" si="49"/>
        <v>-1013981.428571431</v>
      </c>
      <c r="I182" s="61">
        <f>'[1]Ramp Plan'!AA255</f>
        <v>0.28805010496960959</v>
      </c>
      <c r="J182" s="61">
        <f t="shared" si="50"/>
        <v>40531.118770123809</v>
      </c>
      <c r="K182" s="94">
        <v>0.31</v>
      </c>
      <c r="L182" s="61">
        <f t="shared" si="57"/>
        <v>49600</v>
      </c>
      <c r="M182" s="61">
        <f t="shared" si="51"/>
        <v>-9068.8812298761914</v>
      </c>
      <c r="N182" s="61">
        <f t="shared" si="53"/>
        <v>0.61468977294585025</v>
      </c>
      <c r="O182" s="61">
        <f t="shared" si="58"/>
        <v>98350.363671336047</v>
      </c>
      <c r="P182" s="79">
        <f t="shared" si="45"/>
        <v>0.49568056336068445</v>
      </c>
      <c r="Q182" s="79">
        <f t="shared" si="46"/>
        <v>0.53138946238009932</v>
      </c>
      <c r="R182" s="95">
        <f t="shared" si="52"/>
        <v>86492.119822963519</v>
      </c>
      <c r="S182" s="95">
        <f t="shared" si="54"/>
        <v>98350.363671336047</v>
      </c>
      <c r="T182" s="62">
        <f t="shared" si="47"/>
        <v>0.30468977294585026</v>
      </c>
      <c r="U182" s="61">
        <f t="shared" si="56"/>
        <v>48750.363671336039</v>
      </c>
    </row>
    <row r="183" spans="1:21" x14ac:dyDescent="0.35">
      <c r="A183" s="1">
        <f t="shared" si="55"/>
        <v>46358</v>
      </c>
      <c r="C183" s="11">
        <f>C182</f>
        <v>140708.57142857142</v>
      </c>
      <c r="E183" s="11">
        <f>E182</f>
        <v>160000</v>
      </c>
      <c r="F183" s="11">
        <f t="shared" si="48"/>
        <v>12158537.14285714</v>
      </c>
      <c r="G183" s="11">
        <f t="shared" si="61"/>
        <v>13191810</v>
      </c>
      <c r="H183" s="11">
        <f t="shared" si="49"/>
        <v>-1033272.8571428601</v>
      </c>
      <c r="I183" s="61">
        <f>$I$182</f>
        <v>0.28805010496960959</v>
      </c>
      <c r="J183" s="61">
        <f t="shared" si="50"/>
        <v>40531.118770123809</v>
      </c>
      <c r="K183" s="94">
        <f t="shared" si="60"/>
        <v>0.31</v>
      </c>
      <c r="L183" s="61">
        <f t="shared" si="57"/>
        <v>49600</v>
      </c>
      <c r="M183" s="61">
        <f t="shared" si="51"/>
        <v>-9068.8812298761914</v>
      </c>
      <c r="N183" s="61">
        <f t="shared" si="53"/>
        <v>0.61468977294585025</v>
      </c>
      <c r="O183" s="61">
        <f t="shared" si="58"/>
        <v>98350.363671336047</v>
      </c>
      <c r="P183" s="79">
        <f t="shared" si="45"/>
        <v>0.49568056336068445</v>
      </c>
      <c r="Q183" s="79">
        <f t="shared" si="46"/>
        <v>0.53138946238009932</v>
      </c>
      <c r="R183" s="95">
        <f t="shared" si="52"/>
        <v>86492.119822963519</v>
      </c>
      <c r="S183" s="95">
        <f t="shared" si="54"/>
        <v>98350.363671336047</v>
      </c>
      <c r="T183" s="62">
        <f t="shared" si="47"/>
        <v>0.30468977294585026</v>
      </c>
      <c r="U183" s="61">
        <f t="shared" si="56"/>
        <v>48750.363671336039</v>
      </c>
    </row>
    <row r="184" spans="1:21" x14ac:dyDescent="0.35">
      <c r="A184" s="1">
        <f t="shared" si="55"/>
        <v>46359</v>
      </c>
      <c r="C184" s="11">
        <f>C183</f>
        <v>140708.57142857142</v>
      </c>
      <c r="E184" s="11">
        <f>E183</f>
        <v>160000</v>
      </c>
      <c r="F184" s="11">
        <f t="shared" si="48"/>
        <v>12299245.714285711</v>
      </c>
      <c r="G184" s="11">
        <f t="shared" si="61"/>
        <v>13351810</v>
      </c>
      <c r="H184" s="11">
        <f t="shared" si="49"/>
        <v>-1052564.2857142892</v>
      </c>
      <c r="I184" s="61">
        <f t="shared" ref="I184:I212" si="62">$I$182</f>
        <v>0.28805010496960959</v>
      </c>
      <c r="J184" s="61">
        <f t="shared" si="50"/>
        <v>40531.118770123809</v>
      </c>
      <c r="K184" s="94">
        <f t="shared" si="60"/>
        <v>0.31</v>
      </c>
      <c r="L184" s="61">
        <f t="shared" si="57"/>
        <v>49600</v>
      </c>
      <c r="M184" s="61">
        <f t="shared" si="51"/>
        <v>-9068.8812298761914</v>
      </c>
      <c r="N184" s="61">
        <f t="shared" si="53"/>
        <v>0.61468977294585025</v>
      </c>
      <c r="O184" s="61">
        <f t="shared" si="58"/>
        <v>98350.363671336047</v>
      </c>
      <c r="P184" s="79">
        <f t="shared" si="45"/>
        <v>0.49568056336068445</v>
      </c>
      <c r="Q184" s="79">
        <f t="shared" si="46"/>
        <v>0.53138946238009932</v>
      </c>
      <c r="R184" s="95">
        <f t="shared" si="52"/>
        <v>86492.119822963519</v>
      </c>
      <c r="S184" s="95">
        <f t="shared" si="54"/>
        <v>98350.363671336047</v>
      </c>
      <c r="T184" s="62">
        <f t="shared" si="47"/>
        <v>0.30468977294585026</v>
      </c>
      <c r="U184" s="61">
        <f t="shared" si="56"/>
        <v>48750.363671336039</v>
      </c>
    </row>
    <row r="185" spans="1:21" x14ac:dyDescent="0.35">
      <c r="A185" s="1">
        <f t="shared" si="55"/>
        <v>46360</v>
      </c>
      <c r="C185" s="11">
        <v>0</v>
      </c>
      <c r="E185" s="11">
        <v>160000</v>
      </c>
      <c r="F185" s="11">
        <f t="shared" si="48"/>
        <v>12299245.714285711</v>
      </c>
      <c r="G185" s="11">
        <f t="shared" si="61"/>
        <v>13511810</v>
      </c>
      <c r="H185" s="11">
        <f t="shared" si="49"/>
        <v>-1212564.2857142892</v>
      </c>
      <c r="I185" s="61">
        <f t="shared" si="62"/>
        <v>0.28805010496960959</v>
      </c>
      <c r="J185" s="61">
        <f t="shared" si="50"/>
        <v>0</v>
      </c>
      <c r="K185" s="94">
        <f t="shared" si="60"/>
        <v>0.31</v>
      </c>
      <c r="L185" s="61">
        <f t="shared" si="57"/>
        <v>49600</v>
      </c>
      <c r="M185" s="61">
        <f t="shared" si="51"/>
        <v>-49600</v>
      </c>
      <c r="N185" s="61">
        <f t="shared" si="53"/>
        <v>0.61468977294585025</v>
      </c>
      <c r="O185" s="61">
        <f t="shared" si="58"/>
        <v>98350.363671336047</v>
      </c>
      <c r="P185" s="79">
        <f t="shared" si="45"/>
        <v>0.49568056336068445</v>
      </c>
      <c r="Q185" s="79">
        <f t="shared" si="46"/>
        <v>0.53138946238009932</v>
      </c>
      <c r="R185" s="95">
        <f t="shared" si="52"/>
        <v>0</v>
      </c>
      <c r="S185" s="95">
        <f t="shared" si="54"/>
        <v>98350.363671336047</v>
      </c>
      <c r="T185" s="62">
        <f t="shared" si="47"/>
        <v>0.30468977294585026</v>
      </c>
      <c r="U185" s="61">
        <f t="shared" si="56"/>
        <v>48750.363671336039</v>
      </c>
    </row>
    <row r="186" spans="1:21" x14ac:dyDescent="0.35">
      <c r="A186" s="1">
        <f t="shared" si="55"/>
        <v>46361</v>
      </c>
      <c r="C186" s="11">
        <f>B186</f>
        <v>0</v>
      </c>
      <c r="F186" s="11">
        <f t="shared" si="48"/>
        <v>12299245.714285711</v>
      </c>
      <c r="G186" s="11">
        <f t="shared" si="61"/>
        <v>13511810</v>
      </c>
      <c r="H186" s="11">
        <f t="shared" si="49"/>
        <v>-1212564.2857142892</v>
      </c>
      <c r="I186" s="61">
        <f t="shared" si="62"/>
        <v>0.28805010496960959</v>
      </c>
      <c r="J186" s="61">
        <f t="shared" si="50"/>
        <v>0</v>
      </c>
      <c r="K186" s="94">
        <f t="shared" si="60"/>
        <v>0.31</v>
      </c>
      <c r="L186" s="61">
        <f t="shared" si="57"/>
        <v>0</v>
      </c>
      <c r="M186" s="61">
        <f t="shared" si="51"/>
        <v>0</v>
      </c>
      <c r="N186" s="61">
        <f t="shared" si="53"/>
        <v>0.61468977294585025</v>
      </c>
      <c r="O186" s="61">
        <f t="shared" si="58"/>
        <v>0</v>
      </c>
      <c r="P186" s="79">
        <f t="shared" si="45"/>
        <v>0.49568056336068445</v>
      </c>
      <c r="Q186" s="79">
        <f t="shared" si="46"/>
        <v>0.53138946238009932</v>
      </c>
      <c r="R186" s="95">
        <f t="shared" si="52"/>
        <v>0</v>
      </c>
      <c r="S186" s="95">
        <f t="shared" si="54"/>
        <v>0</v>
      </c>
      <c r="T186" s="62">
        <f t="shared" si="47"/>
        <v>0.30468977294585026</v>
      </c>
      <c r="U186" s="61">
        <f t="shared" si="56"/>
        <v>0</v>
      </c>
    </row>
    <row r="187" spans="1:21" x14ac:dyDescent="0.35">
      <c r="A187" s="1">
        <f t="shared" si="55"/>
        <v>46362</v>
      </c>
      <c r="B187" s="93" t="s">
        <v>205</v>
      </c>
      <c r="C187" s="11">
        <v>0</v>
      </c>
      <c r="F187" s="11">
        <f t="shared" si="48"/>
        <v>12299245.714285711</v>
      </c>
      <c r="G187" s="11">
        <f t="shared" si="61"/>
        <v>13511810</v>
      </c>
      <c r="H187" s="11">
        <f t="shared" si="49"/>
        <v>-1212564.2857142892</v>
      </c>
      <c r="I187" s="61">
        <f t="shared" si="62"/>
        <v>0.28805010496960959</v>
      </c>
      <c r="J187" s="61">
        <f t="shared" si="50"/>
        <v>0</v>
      </c>
      <c r="K187" s="94">
        <f t="shared" si="60"/>
        <v>0.31</v>
      </c>
      <c r="L187" s="61">
        <f t="shared" si="57"/>
        <v>0</v>
      </c>
      <c r="M187" s="61">
        <f t="shared" si="51"/>
        <v>0</v>
      </c>
      <c r="N187" s="61">
        <f t="shared" si="53"/>
        <v>0.61468977294585025</v>
      </c>
      <c r="O187" s="61">
        <f t="shared" si="58"/>
        <v>0</v>
      </c>
      <c r="P187" s="79">
        <f t="shared" si="45"/>
        <v>0.49568056336068445</v>
      </c>
      <c r="Q187" s="79">
        <f t="shared" si="46"/>
        <v>0.53138946238009932</v>
      </c>
      <c r="R187" s="95">
        <f t="shared" si="52"/>
        <v>0</v>
      </c>
      <c r="S187" s="95">
        <f t="shared" si="54"/>
        <v>0</v>
      </c>
      <c r="T187" s="62">
        <f t="shared" si="47"/>
        <v>0.30468977294585026</v>
      </c>
      <c r="U187" s="61">
        <f t="shared" si="56"/>
        <v>0</v>
      </c>
    </row>
    <row r="188" spans="1:21" x14ac:dyDescent="0.35">
      <c r="A188" s="1">
        <f t="shared" si="55"/>
        <v>46363</v>
      </c>
      <c r="C188" s="11">
        <f>C184</f>
        <v>140708.57142857142</v>
      </c>
      <c r="E188" s="11">
        <f>E185</f>
        <v>160000</v>
      </c>
      <c r="F188" s="11">
        <f t="shared" si="48"/>
        <v>12439954.285714282</v>
      </c>
      <c r="G188" s="11">
        <f t="shared" si="61"/>
        <v>13671810</v>
      </c>
      <c r="H188" s="11">
        <f t="shared" si="49"/>
        <v>-1231855.7142857183</v>
      </c>
      <c r="I188" s="61">
        <f t="shared" si="62"/>
        <v>0.28805010496960959</v>
      </c>
      <c r="J188" s="61">
        <f t="shared" si="50"/>
        <v>40531.118770123809</v>
      </c>
      <c r="K188" s="94">
        <f t="shared" si="60"/>
        <v>0.31</v>
      </c>
      <c r="L188" s="61">
        <f t="shared" si="57"/>
        <v>49600</v>
      </c>
      <c r="M188" s="61">
        <f t="shared" si="51"/>
        <v>-9068.8812298761914</v>
      </c>
      <c r="N188" s="61">
        <f t="shared" si="53"/>
        <v>0.61468977294585025</v>
      </c>
      <c r="O188" s="61">
        <f t="shared" si="58"/>
        <v>98350.363671336047</v>
      </c>
      <c r="P188" s="79">
        <f t="shared" si="45"/>
        <v>0.49568056336068445</v>
      </c>
      <c r="Q188" s="79">
        <f t="shared" si="46"/>
        <v>0.53138946238009932</v>
      </c>
      <c r="R188" s="95">
        <f t="shared" si="52"/>
        <v>86492.119822963519</v>
      </c>
      <c r="S188" s="95">
        <f t="shared" si="54"/>
        <v>98350.363671336047</v>
      </c>
      <c r="T188" s="62">
        <f t="shared" si="47"/>
        <v>0.30468977294585026</v>
      </c>
      <c r="U188" s="61">
        <f t="shared" si="56"/>
        <v>48750.363671336039</v>
      </c>
    </row>
    <row r="189" spans="1:21" x14ac:dyDescent="0.35">
      <c r="A189" s="1">
        <f t="shared" si="55"/>
        <v>46364</v>
      </c>
      <c r="C189" s="11">
        <f>C188</f>
        <v>140708.57142857142</v>
      </c>
      <c r="E189" s="11">
        <f>E188</f>
        <v>160000</v>
      </c>
      <c r="F189" s="11">
        <f t="shared" si="48"/>
        <v>12580662.857142853</v>
      </c>
      <c r="G189" s="11">
        <f t="shared" si="61"/>
        <v>13831810</v>
      </c>
      <c r="H189" s="11">
        <f t="shared" si="49"/>
        <v>-1251147.1428571474</v>
      </c>
      <c r="I189" s="61">
        <f t="shared" si="62"/>
        <v>0.28805010496960959</v>
      </c>
      <c r="J189" s="61">
        <f t="shared" si="50"/>
        <v>40531.118770123809</v>
      </c>
      <c r="K189" s="94">
        <f t="shared" si="60"/>
        <v>0.31</v>
      </c>
      <c r="L189" s="61">
        <f t="shared" si="57"/>
        <v>49600</v>
      </c>
      <c r="M189" s="61">
        <f t="shared" si="51"/>
        <v>-9068.8812298761914</v>
      </c>
      <c r="N189" s="61">
        <f t="shared" si="53"/>
        <v>0.61468977294585025</v>
      </c>
      <c r="O189" s="61">
        <f t="shared" si="58"/>
        <v>98350.363671336047</v>
      </c>
      <c r="P189" s="79">
        <f t="shared" si="45"/>
        <v>0.49568056336068445</v>
      </c>
      <c r="Q189" s="79">
        <f t="shared" si="46"/>
        <v>0.53138946238009932</v>
      </c>
      <c r="R189" s="95">
        <f t="shared" si="52"/>
        <v>86492.119822963519</v>
      </c>
      <c r="S189" s="95">
        <f t="shared" si="54"/>
        <v>98350.363671336047</v>
      </c>
      <c r="T189" s="62">
        <f t="shared" si="47"/>
        <v>0.30468977294585026</v>
      </c>
      <c r="U189" s="61">
        <f t="shared" si="56"/>
        <v>48750.363671336039</v>
      </c>
    </row>
    <row r="190" spans="1:21" x14ac:dyDescent="0.35">
      <c r="A190" s="1">
        <f t="shared" si="55"/>
        <v>46365</v>
      </c>
      <c r="C190" s="11">
        <f>C189</f>
        <v>140708.57142857142</v>
      </c>
      <c r="E190" s="11">
        <f>E189</f>
        <v>160000</v>
      </c>
      <c r="F190" s="11">
        <f t="shared" si="48"/>
        <v>12721371.428571424</v>
      </c>
      <c r="G190" s="11">
        <f t="shared" si="61"/>
        <v>13991810</v>
      </c>
      <c r="H190" s="11">
        <f t="shared" si="49"/>
        <v>-1270438.5714285765</v>
      </c>
      <c r="I190" s="61">
        <f t="shared" si="62"/>
        <v>0.28805010496960959</v>
      </c>
      <c r="J190" s="61">
        <f t="shared" si="50"/>
        <v>40531.118770123809</v>
      </c>
      <c r="K190" s="94">
        <f t="shared" si="60"/>
        <v>0.31</v>
      </c>
      <c r="L190" s="61">
        <f t="shared" si="57"/>
        <v>49600</v>
      </c>
      <c r="M190" s="61">
        <f t="shared" si="51"/>
        <v>-9068.8812298761914</v>
      </c>
      <c r="N190" s="61">
        <f t="shared" si="53"/>
        <v>0.61468977294585025</v>
      </c>
      <c r="O190" s="61">
        <f t="shared" si="58"/>
        <v>98350.363671336047</v>
      </c>
      <c r="P190" s="79">
        <f t="shared" si="45"/>
        <v>0.49568056336068445</v>
      </c>
      <c r="Q190" s="79">
        <f t="shared" si="46"/>
        <v>0.53138946238009932</v>
      </c>
      <c r="R190" s="95">
        <f t="shared" si="52"/>
        <v>86492.119822963519</v>
      </c>
      <c r="S190" s="95">
        <f t="shared" si="54"/>
        <v>98350.363671336047</v>
      </c>
      <c r="T190" s="62">
        <f t="shared" si="47"/>
        <v>0.30468977294585026</v>
      </c>
      <c r="U190" s="61">
        <f t="shared" si="56"/>
        <v>48750.363671336039</v>
      </c>
    </row>
    <row r="191" spans="1:21" x14ac:dyDescent="0.35">
      <c r="A191" s="1">
        <f t="shared" si="55"/>
        <v>46366</v>
      </c>
      <c r="C191" s="11">
        <f>C190</f>
        <v>140708.57142857142</v>
      </c>
      <c r="E191" s="11">
        <f>E190</f>
        <v>160000</v>
      </c>
      <c r="F191" s="11">
        <f t="shared" si="48"/>
        <v>12862079.999999994</v>
      </c>
      <c r="G191" s="11">
        <f t="shared" si="61"/>
        <v>14151810</v>
      </c>
      <c r="H191" s="11">
        <f t="shared" si="49"/>
        <v>-1289730.0000000056</v>
      </c>
      <c r="I191" s="61">
        <f t="shared" si="62"/>
        <v>0.28805010496960959</v>
      </c>
      <c r="J191" s="61">
        <f t="shared" si="50"/>
        <v>40531.118770123809</v>
      </c>
      <c r="K191" s="94">
        <f t="shared" si="60"/>
        <v>0.31</v>
      </c>
      <c r="L191" s="61">
        <f t="shared" si="57"/>
        <v>49600</v>
      </c>
      <c r="M191" s="61">
        <f t="shared" si="51"/>
        <v>-9068.8812298761914</v>
      </c>
      <c r="N191" s="61">
        <f t="shared" si="53"/>
        <v>0.61468977294585025</v>
      </c>
      <c r="O191" s="61">
        <f t="shared" si="58"/>
        <v>98350.363671336047</v>
      </c>
      <c r="P191" s="79">
        <f t="shared" si="45"/>
        <v>0.49568056336068445</v>
      </c>
      <c r="Q191" s="79">
        <f t="shared" si="46"/>
        <v>0.53138946238009932</v>
      </c>
      <c r="R191" s="95">
        <f t="shared" si="52"/>
        <v>86492.119822963519</v>
      </c>
      <c r="S191" s="95">
        <f t="shared" si="54"/>
        <v>98350.363671336047</v>
      </c>
      <c r="T191" s="62">
        <f t="shared" si="47"/>
        <v>0.30468977294585026</v>
      </c>
      <c r="U191" s="61">
        <f t="shared" si="56"/>
        <v>48750.363671336039</v>
      </c>
    </row>
    <row r="192" spans="1:21" x14ac:dyDescent="0.35">
      <c r="A192" s="1">
        <f t="shared" si="55"/>
        <v>46367</v>
      </c>
      <c r="C192" s="11">
        <v>0</v>
      </c>
      <c r="E192" s="11">
        <v>160000</v>
      </c>
      <c r="F192" s="11">
        <f t="shared" si="48"/>
        <v>12862079.999999994</v>
      </c>
      <c r="G192" s="11">
        <f t="shared" si="61"/>
        <v>14311810</v>
      </c>
      <c r="H192" s="11">
        <f t="shared" si="49"/>
        <v>-1449730.0000000056</v>
      </c>
      <c r="I192" s="61">
        <f t="shared" si="62"/>
        <v>0.28805010496960959</v>
      </c>
      <c r="J192" s="61">
        <f t="shared" si="50"/>
        <v>0</v>
      </c>
      <c r="K192" s="94">
        <f t="shared" si="60"/>
        <v>0.31</v>
      </c>
      <c r="L192" s="61">
        <f t="shared" si="57"/>
        <v>49600</v>
      </c>
      <c r="M192" s="61">
        <f t="shared" si="51"/>
        <v>-49600</v>
      </c>
      <c r="N192" s="61">
        <f t="shared" si="53"/>
        <v>0.61468977294585025</v>
      </c>
      <c r="O192" s="61">
        <f t="shared" si="58"/>
        <v>98350.363671336047</v>
      </c>
      <c r="P192" s="79">
        <f t="shared" si="45"/>
        <v>0.49568056336068445</v>
      </c>
      <c r="Q192" s="79">
        <f t="shared" si="46"/>
        <v>0.53138946238009932</v>
      </c>
      <c r="R192" s="95">
        <f t="shared" si="52"/>
        <v>0</v>
      </c>
      <c r="S192" s="95">
        <f t="shared" si="54"/>
        <v>98350.363671336047</v>
      </c>
      <c r="T192" s="62">
        <f t="shared" si="47"/>
        <v>0.30468977294585026</v>
      </c>
      <c r="U192" s="61">
        <f t="shared" si="56"/>
        <v>48750.363671336039</v>
      </c>
    </row>
    <row r="193" spans="1:21" x14ac:dyDescent="0.35">
      <c r="A193" s="1">
        <f t="shared" si="55"/>
        <v>46368</v>
      </c>
      <c r="C193" s="11">
        <f>B193</f>
        <v>0</v>
      </c>
      <c r="F193" s="11">
        <f t="shared" si="48"/>
        <v>12862079.999999994</v>
      </c>
      <c r="G193" s="11">
        <f t="shared" si="61"/>
        <v>14311810</v>
      </c>
      <c r="H193" s="11">
        <f t="shared" si="49"/>
        <v>-1449730.0000000056</v>
      </c>
      <c r="I193" s="61">
        <f t="shared" si="62"/>
        <v>0.28805010496960959</v>
      </c>
      <c r="J193" s="61">
        <f t="shared" si="50"/>
        <v>0</v>
      </c>
      <c r="K193" s="94">
        <f t="shared" si="60"/>
        <v>0.31</v>
      </c>
      <c r="L193" s="61">
        <f t="shared" si="57"/>
        <v>0</v>
      </c>
      <c r="M193" s="61">
        <f t="shared" si="51"/>
        <v>0</v>
      </c>
      <c r="N193" s="61">
        <f t="shared" si="53"/>
        <v>0.61468977294585025</v>
      </c>
      <c r="O193" s="61">
        <f t="shared" si="58"/>
        <v>0</v>
      </c>
      <c r="P193" s="79">
        <f t="shared" si="45"/>
        <v>0.49568056336068445</v>
      </c>
      <c r="Q193" s="79">
        <f t="shared" si="46"/>
        <v>0.53138946238009932</v>
      </c>
      <c r="R193" s="95">
        <f t="shared" si="52"/>
        <v>0</v>
      </c>
      <c r="S193" s="95">
        <f t="shared" si="54"/>
        <v>0</v>
      </c>
      <c r="T193" s="62">
        <f t="shared" si="47"/>
        <v>0.30468977294585026</v>
      </c>
      <c r="U193" s="61">
        <f t="shared" si="56"/>
        <v>0</v>
      </c>
    </row>
    <row r="194" spans="1:21" x14ac:dyDescent="0.35">
      <c r="A194" s="1">
        <f t="shared" si="55"/>
        <v>46369</v>
      </c>
      <c r="B194" s="93" t="s">
        <v>205</v>
      </c>
      <c r="C194" s="11">
        <v>0</v>
      </c>
      <c r="F194" s="11">
        <f t="shared" si="48"/>
        <v>12862079.999999994</v>
      </c>
      <c r="G194" s="11">
        <f t="shared" si="61"/>
        <v>14311810</v>
      </c>
      <c r="H194" s="11">
        <f t="shared" si="49"/>
        <v>-1449730.0000000056</v>
      </c>
      <c r="I194" s="61">
        <f t="shared" si="62"/>
        <v>0.28805010496960959</v>
      </c>
      <c r="J194" s="61">
        <f t="shared" si="50"/>
        <v>0</v>
      </c>
      <c r="K194" s="94">
        <f t="shared" si="60"/>
        <v>0.31</v>
      </c>
      <c r="L194" s="61">
        <f t="shared" si="57"/>
        <v>0</v>
      </c>
      <c r="M194" s="61">
        <f t="shared" si="51"/>
        <v>0</v>
      </c>
      <c r="N194" s="61">
        <f t="shared" si="53"/>
        <v>0.61468977294585025</v>
      </c>
      <c r="O194" s="61">
        <f t="shared" si="58"/>
        <v>0</v>
      </c>
      <c r="P194" s="79">
        <f t="shared" si="45"/>
        <v>0.49568056336068445</v>
      </c>
      <c r="Q194" s="79">
        <f t="shared" si="46"/>
        <v>0.53138946238009932</v>
      </c>
      <c r="R194" s="95">
        <f t="shared" si="52"/>
        <v>0</v>
      </c>
      <c r="S194" s="95">
        <f t="shared" si="54"/>
        <v>0</v>
      </c>
      <c r="T194" s="62">
        <f t="shared" si="47"/>
        <v>0.30468977294585026</v>
      </c>
      <c r="U194" s="61">
        <f t="shared" si="56"/>
        <v>0</v>
      </c>
    </row>
    <row r="195" spans="1:21" x14ac:dyDescent="0.35">
      <c r="A195" s="1">
        <f t="shared" si="55"/>
        <v>46370</v>
      </c>
      <c r="C195" s="11">
        <f>C191</f>
        <v>140708.57142857142</v>
      </c>
      <c r="E195" s="11">
        <f>E192</f>
        <v>160000</v>
      </c>
      <c r="F195" s="11">
        <f t="shared" si="48"/>
        <v>13002788.571428565</v>
      </c>
      <c r="G195" s="11">
        <f t="shared" si="61"/>
        <v>14471810</v>
      </c>
      <c r="H195" s="11">
        <f t="shared" si="49"/>
        <v>-1469021.4285714347</v>
      </c>
      <c r="I195" s="61">
        <f t="shared" si="62"/>
        <v>0.28805010496960959</v>
      </c>
      <c r="J195" s="61">
        <f t="shared" si="50"/>
        <v>40531.118770123809</v>
      </c>
      <c r="K195" s="94">
        <f t="shared" si="60"/>
        <v>0.31</v>
      </c>
      <c r="L195" s="61">
        <f t="shared" si="57"/>
        <v>49600</v>
      </c>
      <c r="M195" s="61">
        <f t="shared" si="51"/>
        <v>-9068.8812298761914</v>
      </c>
      <c r="N195" s="61">
        <f t="shared" si="53"/>
        <v>0.61468977294585025</v>
      </c>
      <c r="O195" s="61">
        <f t="shared" si="58"/>
        <v>98350.363671336047</v>
      </c>
      <c r="P195" s="79">
        <f t="shared" ref="P195:P212" si="63">(N195-K195)/N195</f>
        <v>0.49568056336068445</v>
      </c>
      <c r="Q195" s="79">
        <f t="shared" ref="Q195:Q212" si="64">(N195-I195)/N195</f>
        <v>0.53138946238009932</v>
      </c>
      <c r="R195" s="95">
        <f t="shared" si="52"/>
        <v>86492.119822963519</v>
      </c>
      <c r="S195" s="95">
        <f t="shared" si="54"/>
        <v>98350.363671336047</v>
      </c>
      <c r="T195" s="62">
        <f t="shared" ref="T195:T212" si="65">N195-K195</f>
        <v>0.30468977294585026</v>
      </c>
      <c r="U195" s="61">
        <f t="shared" si="56"/>
        <v>48750.363671336039</v>
      </c>
    </row>
    <row r="196" spans="1:21" x14ac:dyDescent="0.35">
      <c r="A196" s="1">
        <f t="shared" si="55"/>
        <v>46371</v>
      </c>
      <c r="C196" s="11">
        <f>C195</f>
        <v>140708.57142857142</v>
      </c>
      <c r="E196" s="11">
        <f>E195</f>
        <v>160000</v>
      </c>
      <c r="F196" s="11">
        <f t="shared" ref="F196:F212" si="66">C196+F195</f>
        <v>13143497.142857136</v>
      </c>
      <c r="G196" s="11">
        <f t="shared" si="61"/>
        <v>14631810</v>
      </c>
      <c r="H196" s="11">
        <f t="shared" ref="H196:H212" si="67">F196-G196</f>
        <v>-1488312.8571428638</v>
      </c>
      <c r="I196" s="61">
        <f t="shared" si="62"/>
        <v>0.28805010496960959</v>
      </c>
      <c r="J196" s="61">
        <f t="shared" ref="J196:J212" si="68">I196*C196</f>
        <v>40531.118770123809</v>
      </c>
      <c r="K196" s="94">
        <f t="shared" si="60"/>
        <v>0.31</v>
      </c>
      <c r="L196" s="61">
        <f t="shared" si="57"/>
        <v>49600</v>
      </c>
      <c r="M196" s="61">
        <f t="shared" ref="M196:M212" si="69">J196-L196</f>
        <v>-9068.8812298761914</v>
      </c>
      <c r="N196" s="61">
        <f t="shared" si="53"/>
        <v>0.61468977294585025</v>
      </c>
      <c r="O196" s="61">
        <f t="shared" si="58"/>
        <v>98350.363671336047</v>
      </c>
      <c r="P196" s="79">
        <f t="shared" si="63"/>
        <v>0.49568056336068445</v>
      </c>
      <c r="Q196" s="79">
        <f t="shared" si="64"/>
        <v>0.53138946238009932</v>
      </c>
      <c r="R196" s="95">
        <f t="shared" ref="R196:R212" si="70">C196*N196</f>
        <v>86492.119822963519</v>
      </c>
      <c r="S196" s="95">
        <f t="shared" si="54"/>
        <v>98350.363671336047</v>
      </c>
      <c r="T196" s="62">
        <f t="shared" si="65"/>
        <v>0.30468977294585026</v>
      </c>
      <c r="U196" s="61">
        <f t="shared" si="56"/>
        <v>48750.363671336039</v>
      </c>
    </row>
    <row r="197" spans="1:21" x14ac:dyDescent="0.35">
      <c r="A197" s="1">
        <f t="shared" si="55"/>
        <v>46372</v>
      </c>
      <c r="C197" s="11">
        <f>C196</f>
        <v>140708.57142857142</v>
      </c>
      <c r="E197" s="11">
        <f>E196</f>
        <v>160000</v>
      </c>
      <c r="F197" s="11">
        <f t="shared" si="66"/>
        <v>13284205.714285707</v>
      </c>
      <c r="G197" s="11">
        <f t="shared" si="61"/>
        <v>14791810</v>
      </c>
      <c r="H197" s="11">
        <f t="shared" si="67"/>
        <v>-1507604.2857142929</v>
      </c>
      <c r="I197" s="61">
        <f t="shared" si="62"/>
        <v>0.28805010496960959</v>
      </c>
      <c r="J197" s="61">
        <f t="shared" si="68"/>
        <v>40531.118770123809</v>
      </c>
      <c r="K197" s="94">
        <f t="shared" si="60"/>
        <v>0.31</v>
      </c>
      <c r="L197" s="61">
        <f t="shared" si="57"/>
        <v>49600</v>
      </c>
      <c r="M197" s="61">
        <f t="shared" si="69"/>
        <v>-9068.8812298761914</v>
      </c>
      <c r="N197" s="61">
        <f t="shared" ref="N197:N212" si="71">N196</f>
        <v>0.61468977294585025</v>
      </c>
      <c r="O197" s="61">
        <f t="shared" si="58"/>
        <v>98350.363671336047</v>
      </c>
      <c r="P197" s="79">
        <f t="shared" si="63"/>
        <v>0.49568056336068445</v>
      </c>
      <c r="Q197" s="79">
        <f t="shared" si="64"/>
        <v>0.53138946238009932</v>
      </c>
      <c r="R197" s="95">
        <f t="shared" si="70"/>
        <v>86492.119822963519</v>
      </c>
      <c r="S197" s="95">
        <f t="shared" ref="S197:S212" si="72">(D197+E197)*N197</f>
        <v>98350.363671336047</v>
      </c>
      <c r="T197" s="62">
        <f t="shared" si="65"/>
        <v>0.30468977294585026</v>
      </c>
      <c r="U197" s="61">
        <f t="shared" si="56"/>
        <v>48750.363671336039</v>
      </c>
    </row>
    <row r="198" spans="1:21" x14ac:dyDescent="0.35">
      <c r="A198" s="1">
        <f t="shared" si="55"/>
        <v>46373</v>
      </c>
      <c r="C198" s="11">
        <f>C197</f>
        <v>140708.57142857142</v>
      </c>
      <c r="E198" s="11">
        <f>E197</f>
        <v>160000</v>
      </c>
      <c r="F198" s="11">
        <f t="shared" si="66"/>
        <v>13424914.285714278</v>
      </c>
      <c r="G198" s="11">
        <f t="shared" si="61"/>
        <v>14951810</v>
      </c>
      <c r="H198" s="11">
        <f t="shared" si="67"/>
        <v>-1526895.714285722</v>
      </c>
      <c r="I198" s="61">
        <f t="shared" si="62"/>
        <v>0.28805010496960959</v>
      </c>
      <c r="J198" s="61">
        <f t="shared" si="68"/>
        <v>40531.118770123809</v>
      </c>
      <c r="K198" s="94">
        <f t="shared" si="60"/>
        <v>0.31</v>
      </c>
      <c r="L198" s="61">
        <f t="shared" si="57"/>
        <v>49600</v>
      </c>
      <c r="M198" s="61">
        <f t="shared" si="69"/>
        <v>-9068.8812298761914</v>
      </c>
      <c r="N198" s="61">
        <f t="shared" si="71"/>
        <v>0.61468977294585025</v>
      </c>
      <c r="O198" s="61">
        <f t="shared" si="58"/>
        <v>98350.363671336047</v>
      </c>
      <c r="P198" s="79">
        <f t="shared" si="63"/>
        <v>0.49568056336068445</v>
      </c>
      <c r="Q198" s="79">
        <f t="shared" si="64"/>
        <v>0.53138946238009932</v>
      </c>
      <c r="R198" s="95">
        <f t="shared" si="70"/>
        <v>86492.119822963519</v>
      </c>
      <c r="S198" s="95">
        <f t="shared" si="72"/>
        <v>98350.363671336047</v>
      </c>
      <c r="T198" s="62">
        <f t="shared" si="65"/>
        <v>0.30468977294585026</v>
      </c>
      <c r="U198" s="61">
        <f t="shared" si="56"/>
        <v>48750.363671336039</v>
      </c>
    </row>
    <row r="199" spans="1:21" x14ac:dyDescent="0.35">
      <c r="A199" s="1">
        <f t="shared" si="55"/>
        <v>46374</v>
      </c>
      <c r="C199" s="11">
        <v>0</v>
      </c>
      <c r="E199" s="11">
        <v>160000</v>
      </c>
      <c r="F199" s="11">
        <f t="shared" si="66"/>
        <v>13424914.285714278</v>
      </c>
      <c r="G199" s="11">
        <f t="shared" si="61"/>
        <v>15111810</v>
      </c>
      <c r="H199" s="11">
        <f t="shared" si="67"/>
        <v>-1686895.714285722</v>
      </c>
      <c r="I199" s="61">
        <f t="shared" si="62"/>
        <v>0.28805010496960959</v>
      </c>
      <c r="J199" s="61">
        <f t="shared" si="68"/>
        <v>0</v>
      </c>
      <c r="K199" s="94">
        <f t="shared" si="60"/>
        <v>0.31</v>
      </c>
      <c r="L199" s="61">
        <f t="shared" si="57"/>
        <v>49600</v>
      </c>
      <c r="M199" s="61">
        <f t="shared" si="69"/>
        <v>-49600</v>
      </c>
      <c r="N199" s="61">
        <f t="shared" si="71"/>
        <v>0.61468977294585025</v>
      </c>
      <c r="O199" s="61">
        <f t="shared" si="58"/>
        <v>98350.363671336047</v>
      </c>
      <c r="P199" s="79">
        <f t="shared" si="63"/>
        <v>0.49568056336068445</v>
      </c>
      <c r="Q199" s="79">
        <f t="shared" si="64"/>
        <v>0.53138946238009932</v>
      </c>
      <c r="R199" s="95">
        <f t="shared" si="70"/>
        <v>0</v>
      </c>
      <c r="S199" s="95">
        <f t="shared" si="72"/>
        <v>98350.363671336047</v>
      </c>
      <c r="T199" s="62">
        <f t="shared" si="65"/>
        <v>0.30468977294585026</v>
      </c>
      <c r="U199" s="61">
        <f t="shared" si="56"/>
        <v>48750.363671336039</v>
      </c>
    </row>
    <row r="200" spans="1:21" x14ac:dyDescent="0.35">
      <c r="A200" s="1">
        <f t="shared" si="55"/>
        <v>46375</v>
      </c>
      <c r="C200" s="11">
        <f>B200</f>
        <v>0</v>
      </c>
      <c r="F200" s="11">
        <f t="shared" si="66"/>
        <v>13424914.285714278</v>
      </c>
      <c r="G200" s="11">
        <f t="shared" si="61"/>
        <v>15111810</v>
      </c>
      <c r="H200" s="11">
        <f t="shared" si="67"/>
        <v>-1686895.714285722</v>
      </c>
      <c r="I200" s="61">
        <f t="shared" si="62"/>
        <v>0.28805010496960959</v>
      </c>
      <c r="J200" s="61">
        <f t="shared" si="68"/>
        <v>0</v>
      </c>
      <c r="K200" s="94">
        <f t="shared" si="60"/>
        <v>0.31</v>
      </c>
      <c r="L200" s="61">
        <f t="shared" si="57"/>
        <v>0</v>
      </c>
      <c r="M200" s="61">
        <f t="shared" si="69"/>
        <v>0</v>
      </c>
      <c r="N200" s="61">
        <f t="shared" si="71"/>
        <v>0.61468977294585025</v>
      </c>
      <c r="O200" s="61">
        <f t="shared" si="58"/>
        <v>0</v>
      </c>
      <c r="P200" s="79">
        <f t="shared" si="63"/>
        <v>0.49568056336068445</v>
      </c>
      <c r="Q200" s="79">
        <f t="shared" si="64"/>
        <v>0.53138946238009932</v>
      </c>
      <c r="R200" s="95">
        <f t="shared" si="70"/>
        <v>0</v>
      </c>
      <c r="S200" s="95">
        <f t="shared" si="72"/>
        <v>0</v>
      </c>
      <c r="T200" s="62">
        <f t="shared" si="65"/>
        <v>0.30468977294585026</v>
      </c>
      <c r="U200" s="61">
        <f t="shared" si="56"/>
        <v>0</v>
      </c>
    </row>
    <row r="201" spans="1:21" x14ac:dyDescent="0.35">
      <c r="A201" s="1">
        <f t="shared" si="55"/>
        <v>46376</v>
      </c>
      <c r="B201" s="93" t="s">
        <v>205</v>
      </c>
      <c r="C201" s="11">
        <v>0</v>
      </c>
      <c r="F201" s="11">
        <f t="shared" si="66"/>
        <v>13424914.285714278</v>
      </c>
      <c r="G201" s="11">
        <f t="shared" si="61"/>
        <v>15111810</v>
      </c>
      <c r="H201" s="11">
        <f t="shared" si="67"/>
        <v>-1686895.714285722</v>
      </c>
      <c r="I201" s="61">
        <f t="shared" si="62"/>
        <v>0.28805010496960959</v>
      </c>
      <c r="J201" s="61">
        <f t="shared" si="68"/>
        <v>0</v>
      </c>
      <c r="K201" s="94">
        <f t="shared" si="60"/>
        <v>0.31</v>
      </c>
      <c r="L201" s="61">
        <f t="shared" si="57"/>
        <v>0</v>
      </c>
      <c r="M201" s="61">
        <f t="shared" si="69"/>
        <v>0</v>
      </c>
      <c r="N201" s="61">
        <f t="shared" si="71"/>
        <v>0.61468977294585025</v>
      </c>
      <c r="O201" s="61">
        <f t="shared" si="58"/>
        <v>0</v>
      </c>
      <c r="P201" s="79">
        <f t="shared" si="63"/>
        <v>0.49568056336068445</v>
      </c>
      <c r="Q201" s="79">
        <f t="shared" si="64"/>
        <v>0.53138946238009932</v>
      </c>
      <c r="R201" s="95">
        <f t="shared" si="70"/>
        <v>0</v>
      </c>
      <c r="S201" s="95">
        <f t="shared" si="72"/>
        <v>0</v>
      </c>
      <c r="T201" s="62">
        <f t="shared" si="65"/>
        <v>0.30468977294585026</v>
      </c>
      <c r="U201" s="61">
        <f t="shared" si="56"/>
        <v>0</v>
      </c>
    </row>
    <row r="202" spans="1:21" x14ac:dyDescent="0.35">
      <c r="A202" s="1">
        <f t="shared" si="55"/>
        <v>46377</v>
      </c>
      <c r="C202" s="11">
        <f>C198</f>
        <v>140708.57142857142</v>
      </c>
      <c r="E202" s="11">
        <f>E198</f>
        <v>160000</v>
      </c>
      <c r="F202" s="11">
        <f t="shared" si="66"/>
        <v>13565622.857142849</v>
      </c>
      <c r="G202" s="11">
        <f t="shared" si="61"/>
        <v>15271810</v>
      </c>
      <c r="H202" s="11">
        <f t="shared" si="67"/>
        <v>-1706187.1428571511</v>
      </c>
      <c r="I202" s="61">
        <f t="shared" si="62"/>
        <v>0.28805010496960959</v>
      </c>
      <c r="J202" s="61">
        <f t="shared" si="68"/>
        <v>40531.118770123809</v>
      </c>
      <c r="K202" s="94">
        <f t="shared" si="60"/>
        <v>0.31</v>
      </c>
      <c r="L202" s="61">
        <f t="shared" si="57"/>
        <v>49600</v>
      </c>
      <c r="M202" s="61">
        <f t="shared" si="69"/>
        <v>-9068.8812298761914</v>
      </c>
      <c r="N202" s="61">
        <f t="shared" si="71"/>
        <v>0.61468977294585025</v>
      </c>
      <c r="O202" s="61">
        <f t="shared" si="58"/>
        <v>98350.363671336047</v>
      </c>
      <c r="P202" s="79">
        <f t="shared" si="63"/>
        <v>0.49568056336068445</v>
      </c>
      <c r="Q202" s="79">
        <f t="shared" si="64"/>
        <v>0.53138946238009932</v>
      </c>
      <c r="R202" s="95">
        <f t="shared" si="70"/>
        <v>86492.119822963519</v>
      </c>
      <c r="S202" s="95">
        <f t="shared" si="72"/>
        <v>98350.363671336047</v>
      </c>
      <c r="T202" s="62">
        <f t="shared" si="65"/>
        <v>0.30468977294585026</v>
      </c>
      <c r="U202" s="61">
        <f t="shared" si="56"/>
        <v>48750.363671336039</v>
      </c>
    </row>
    <row r="203" spans="1:21" x14ac:dyDescent="0.35">
      <c r="A203" s="1">
        <f t="shared" si="55"/>
        <v>46378</v>
      </c>
      <c r="C203" s="11">
        <f>C202</f>
        <v>140708.57142857142</v>
      </c>
      <c r="E203" s="11">
        <f>E202</f>
        <v>160000</v>
      </c>
      <c r="F203" s="11">
        <f t="shared" si="66"/>
        <v>13706331.42857142</v>
      </c>
      <c r="G203" s="11">
        <f t="shared" si="61"/>
        <v>15431810</v>
      </c>
      <c r="H203" s="11">
        <f t="shared" si="67"/>
        <v>-1725478.5714285802</v>
      </c>
      <c r="I203" s="61">
        <f t="shared" si="62"/>
        <v>0.28805010496960959</v>
      </c>
      <c r="J203" s="61">
        <f t="shared" si="68"/>
        <v>40531.118770123809</v>
      </c>
      <c r="K203" s="94">
        <f t="shared" si="60"/>
        <v>0.31</v>
      </c>
      <c r="L203" s="61">
        <f t="shared" si="57"/>
        <v>49600</v>
      </c>
      <c r="M203" s="61">
        <f t="shared" si="69"/>
        <v>-9068.8812298761914</v>
      </c>
      <c r="N203" s="61">
        <f t="shared" si="71"/>
        <v>0.61468977294585025</v>
      </c>
      <c r="O203" s="61">
        <f t="shared" si="58"/>
        <v>98350.363671336047</v>
      </c>
      <c r="P203" s="79">
        <f t="shared" si="63"/>
        <v>0.49568056336068445</v>
      </c>
      <c r="Q203" s="79">
        <f t="shared" si="64"/>
        <v>0.53138946238009932</v>
      </c>
      <c r="R203" s="95">
        <f t="shared" si="70"/>
        <v>86492.119822963519</v>
      </c>
      <c r="S203" s="95">
        <f t="shared" si="72"/>
        <v>98350.363671336047</v>
      </c>
      <c r="T203" s="62">
        <f t="shared" si="65"/>
        <v>0.30468977294585026</v>
      </c>
      <c r="U203" s="61">
        <f t="shared" si="56"/>
        <v>48750.363671336039</v>
      </c>
    </row>
    <row r="204" spans="1:21" x14ac:dyDescent="0.35">
      <c r="A204" s="1">
        <f t="shared" si="55"/>
        <v>46379</v>
      </c>
      <c r="C204" s="11">
        <f>C203</f>
        <v>140708.57142857142</v>
      </c>
      <c r="E204" s="11">
        <f>E203</f>
        <v>160000</v>
      </c>
      <c r="F204" s="11">
        <f t="shared" si="66"/>
        <v>13847039.999999991</v>
      </c>
      <c r="G204" s="11">
        <f t="shared" si="61"/>
        <v>15591810</v>
      </c>
      <c r="H204" s="11">
        <f t="shared" si="67"/>
        <v>-1744770.0000000093</v>
      </c>
      <c r="I204" s="61">
        <f t="shared" si="62"/>
        <v>0.28805010496960959</v>
      </c>
      <c r="J204" s="61">
        <f t="shared" si="68"/>
        <v>40531.118770123809</v>
      </c>
      <c r="K204" s="94">
        <f t="shared" si="60"/>
        <v>0.31</v>
      </c>
      <c r="L204" s="61">
        <f t="shared" si="57"/>
        <v>49600</v>
      </c>
      <c r="M204" s="61">
        <f t="shared" si="69"/>
        <v>-9068.8812298761914</v>
      </c>
      <c r="N204" s="61">
        <f t="shared" si="71"/>
        <v>0.61468977294585025</v>
      </c>
      <c r="O204" s="61">
        <f t="shared" si="58"/>
        <v>98350.363671336047</v>
      </c>
      <c r="P204" s="79">
        <f t="shared" si="63"/>
        <v>0.49568056336068445</v>
      </c>
      <c r="Q204" s="79">
        <f t="shared" si="64"/>
        <v>0.53138946238009932</v>
      </c>
      <c r="R204" s="95">
        <f t="shared" si="70"/>
        <v>86492.119822963519</v>
      </c>
      <c r="S204" s="95">
        <f t="shared" si="72"/>
        <v>98350.363671336047</v>
      </c>
      <c r="T204" s="62">
        <f>N204-K204</f>
        <v>0.30468977294585026</v>
      </c>
      <c r="U204" s="61">
        <f>T204*(D204+E204)</f>
        <v>48750.363671336039</v>
      </c>
    </row>
    <row r="205" spans="1:21" x14ac:dyDescent="0.35">
      <c r="A205" s="1">
        <f t="shared" si="55"/>
        <v>46380</v>
      </c>
      <c r="B205" s="93" t="s">
        <v>205</v>
      </c>
      <c r="F205" s="11">
        <f t="shared" si="66"/>
        <v>13847039.999999991</v>
      </c>
      <c r="G205" s="11">
        <f t="shared" si="61"/>
        <v>15591810</v>
      </c>
      <c r="H205" s="11">
        <f t="shared" si="67"/>
        <v>-1744770.0000000093</v>
      </c>
      <c r="I205" s="61">
        <f t="shared" si="62"/>
        <v>0.28805010496960959</v>
      </c>
      <c r="J205" s="61">
        <f t="shared" si="68"/>
        <v>0</v>
      </c>
      <c r="K205" s="94">
        <f t="shared" si="60"/>
        <v>0.31</v>
      </c>
      <c r="L205" s="61">
        <f t="shared" si="57"/>
        <v>0</v>
      </c>
      <c r="M205" s="61">
        <f t="shared" si="69"/>
        <v>0</v>
      </c>
      <c r="N205" s="61">
        <f t="shared" si="71"/>
        <v>0.61468977294585025</v>
      </c>
      <c r="O205" s="61">
        <f t="shared" si="58"/>
        <v>0</v>
      </c>
      <c r="P205" s="79">
        <f t="shared" si="63"/>
        <v>0.49568056336068445</v>
      </c>
      <c r="Q205" s="79">
        <f t="shared" si="64"/>
        <v>0.53138946238009932</v>
      </c>
      <c r="R205" s="95">
        <f t="shared" si="70"/>
        <v>0</v>
      </c>
      <c r="S205" s="95">
        <f t="shared" si="72"/>
        <v>0</v>
      </c>
      <c r="T205" s="62">
        <f t="shared" si="65"/>
        <v>0.30468977294585026</v>
      </c>
      <c r="U205" s="61">
        <f t="shared" si="56"/>
        <v>0</v>
      </c>
    </row>
    <row r="206" spans="1:21" x14ac:dyDescent="0.35">
      <c r="A206" s="1">
        <f t="shared" si="55"/>
        <v>46381</v>
      </c>
      <c r="B206" s="93" t="s">
        <v>205</v>
      </c>
      <c r="F206" s="11">
        <f t="shared" si="66"/>
        <v>13847039.999999991</v>
      </c>
      <c r="G206" s="11">
        <f t="shared" si="61"/>
        <v>15591810</v>
      </c>
      <c r="H206" s="11">
        <f t="shared" si="67"/>
        <v>-1744770.0000000093</v>
      </c>
      <c r="I206" s="61">
        <f t="shared" si="62"/>
        <v>0.28805010496960959</v>
      </c>
      <c r="J206" s="61">
        <f t="shared" si="68"/>
        <v>0</v>
      </c>
      <c r="K206" s="94">
        <f t="shared" si="60"/>
        <v>0.31</v>
      </c>
      <c r="L206" s="61">
        <f t="shared" si="57"/>
        <v>0</v>
      </c>
      <c r="M206" s="61">
        <f t="shared" si="69"/>
        <v>0</v>
      </c>
      <c r="N206" s="61">
        <f t="shared" si="71"/>
        <v>0.61468977294585025</v>
      </c>
      <c r="O206" s="61">
        <f t="shared" si="58"/>
        <v>0</v>
      </c>
      <c r="P206" s="79">
        <f t="shared" si="63"/>
        <v>0.49568056336068445</v>
      </c>
      <c r="Q206" s="79">
        <f t="shared" si="64"/>
        <v>0.53138946238009932</v>
      </c>
      <c r="R206" s="95">
        <f t="shared" si="70"/>
        <v>0</v>
      </c>
      <c r="S206" s="95">
        <f t="shared" si="72"/>
        <v>0</v>
      </c>
      <c r="T206" s="62">
        <f t="shared" si="65"/>
        <v>0.30468977294585026</v>
      </c>
      <c r="U206" s="61">
        <f t="shared" si="56"/>
        <v>0</v>
      </c>
    </row>
    <row r="207" spans="1:21" x14ac:dyDescent="0.35">
      <c r="A207" s="1">
        <f t="shared" ref="A207:A212" si="73">A206+1</f>
        <v>46382</v>
      </c>
      <c r="B207" s="93" t="s">
        <v>205</v>
      </c>
      <c r="F207" s="11">
        <f t="shared" si="66"/>
        <v>13847039.999999991</v>
      </c>
      <c r="G207" s="11">
        <f t="shared" si="61"/>
        <v>15591810</v>
      </c>
      <c r="H207" s="11">
        <f t="shared" si="67"/>
        <v>-1744770.0000000093</v>
      </c>
      <c r="I207" s="61">
        <f t="shared" si="62"/>
        <v>0.28805010496960959</v>
      </c>
      <c r="J207" s="61">
        <f t="shared" si="68"/>
        <v>0</v>
      </c>
      <c r="K207" s="94">
        <f t="shared" si="60"/>
        <v>0.31</v>
      </c>
      <c r="L207" s="61">
        <f t="shared" si="57"/>
        <v>0</v>
      </c>
      <c r="M207" s="61">
        <f t="shared" si="69"/>
        <v>0</v>
      </c>
      <c r="N207" s="61">
        <f t="shared" si="71"/>
        <v>0.61468977294585025</v>
      </c>
      <c r="O207" s="61">
        <f t="shared" si="58"/>
        <v>0</v>
      </c>
      <c r="P207" s="79">
        <f t="shared" si="63"/>
        <v>0.49568056336068445</v>
      </c>
      <c r="Q207" s="79">
        <f t="shared" si="64"/>
        <v>0.53138946238009932</v>
      </c>
      <c r="R207" s="95">
        <f t="shared" si="70"/>
        <v>0</v>
      </c>
      <c r="S207" s="95">
        <f t="shared" si="72"/>
        <v>0</v>
      </c>
      <c r="T207" s="62">
        <f t="shared" si="65"/>
        <v>0.30468977294585026</v>
      </c>
      <c r="U207" s="61">
        <f t="shared" si="56"/>
        <v>0</v>
      </c>
    </row>
    <row r="208" spans="1:21" x14ac:dyDescent="0.35">
      <c r="A208" s="1">
        <f t="shared" si="73"/>
        <v>46383</v>
      </c>
      <c r="B208" s="93" t="s">
        <v>205</v>
      </c>
      <c r="F208" s="11">
        <f t="shared" si="66"/>
        <v>13847039.999999991</v>
      </c>
      <c r="G208" s="11">
        <f t="shared" si="61"/>
        <v>15591810</v>
      </c>
      <c r="H208" s="11">
        <f t="shared" si="67"/>
        <v>-1744770.0000000093</v>
      </c>
      <c r="I208" s="61">
        <f t="shared" si="62"/>
        <v>0.28805010496960959</v>
      </c>
      <c r="J208" s="61">
        <f t="shared" si="68"/>
        <v>0</v>
      </c>
      <c r="K208" s="94">
        <f t="shared" si="60"/>
        <v>0.31</v>
      </c>
      <c r="L208" s="61">
        <f t="shared" si="57"/>
        <v>0</v>
      </c>
      <c r="M208" s="61">
        <f t="shared" si="69"/>
        <v>0</v>
      </c>
      <c r="N208" s="61">
        <f t="shared" si="71"/>
        <v>0.61468977294585025</v>
      </c>
      <c r="O208" s="61">
        <f t="shared" si="58"/>
        <v>0</v>
      </c>
      <c r="P208" s="79">
        <f t="shared" si="63"/>
        <v>0.49568056336068445</v>
      </c>
      <c r="Q208" s="79">
        <f t="shared" si="64"/>
        <v>0.53138946238009932</v>
      </c>
      <c r="R208" s="95">
        <f t="shared" si="70"/>
        <v>0</v>
      </c>
      <c r="S208" s="95">
        <f t="shared" si="72"/>
        <v>0</v>
      </c>
      <c r="T208" s="62">
        <f t="shared" si="65"/>
        <v>0.30468977294585026</v>
      </c>
      <c r="U208" s="61">
        <f t="shared" si="56"/>
        <v>0</v>
      </c>
    </row>
    <row r="209" spans="1:21" x14ac:dyDescent="0.35">
      <c r="A209" s="1">
        <f t="shared" si="73"/>
        <v>46384</v>
      </c>
      <c r="B209" s="93" t="s">
        <v>205</v>
      </c>
      <c r="F209" s="11">
        <f t="shared" si="66"/>
        <v>13847039.999999991</v>
      </c>
      <c r="G209" s="11">
        <f t="shared" si="61"/>
        <v>15591810</v>
      </c>
      <c r="H209" s="11">
        <f t="shared" si="67"/>
        <v>-1744770.0000000093</v>
      </c>
      <c r="I209" s="61">
        <f t="shared" si="62"/>
        <v>0.28805010496960959</v>
      </c>
      <c r="J209" s="61">
        <f t="shared" si="68"/>
        <v>0</v>
      </c>
      <c r="K209" s="94">
        <f t="shared" si="60"/>
        <v>0.31</v>
      </c>
      <c r="L209" s="61">
        <f t="shared" si="57"/>
        <v>0</v>
      </c>
      <c r="M209" s="61">
        <f t="shared" si="69"/>
        <v>0</v>
      </c>
      <c r="N209" s="61">
        <f t="shared" si="71"/>
        <v>0.61468977294585025</v>
      </c>
      <c r="O209" s="61">
        <f t="shared" si="58"/>
        <v>0</v>
      </c>
      <c r="P209" s="79">
        <f t="shared" si="63"/>
        <v>0.49568056336068445</v>
      </c>
      <c r="Q209" s="79">
        <f t="shared" si="64"/>
        <v>0.53138946238009932</v>
      </c>
      <c r="R209" s="95">
        <f t="shared" si="70"/>
        <v>0</v>
      </c>
      <c r="S209" s="95">
        <f t="shared" si="72"/>
        <v>0</v>
      </c>
      <c r="T209" s="62">
        <f t="shared" si="65"/>
        <v>0.30468977294585026</v>
      </c>
      <c r="U209" s="61">
        <f t="shared" si="56"/>
        <v>0</v>
      </c>
    </row>
    <row r="210" spans="1:21" x14ac:dyDescent="0.35">
      <c r="A210" s="1">
        <f t="shared" si="73"/>
        <v>46385</v>
      </c>
      <c r="B210" s="93" t="s">
        <v>205</v>
      </c>
      <c r="F210" s="11">
        <f t="shared" si="66"/>
        <v>13847039.999999991</v>
      </c>
      <c r="G210" s="11">
        <f t="shared" si="61"/>
        <v>15591810</v>
      </c>
      <c r="H210" s="11">
        <f t="shared" si="67"/>
        <v>-1744770.0000000093</v>
      </c>
      <c r="I210" s="61">
        <f t="shared" si="62"/>
        <v>0.28805010496960959</v>
      </c>
      <c r="J210" s="61">
        <f t="shared" si="68"/>
        <v>0</v>
      </c>
      <c r="K210" s="94">
        <f t="shared" si="60"/>
        <v>0.31</v>
      </c>
      <c r="L210" s="61">
        <f t="shared" si="57"/>
        <v>0</v>
      </c>
      <c r="M210" s="61">
        <f t="shared" si="69"/>
        <v>0</v>
      </c>
      <c r="N210" s="61">
        <f t="shared" si="71"/>
        <v>0.61468977294585025</v>
      </c>
      <c r="O210" s="61">
        <f t="shared" si="58"/>
        <v>0</v>
      </c>
      <c r="P210" s="79">
        <f t="shared" si="63"/>
        <v>0.49568056336068445</v>
      </c>
      <c r="Q210" s="79">
        <f t="shared" si="64"/>
        <v>0.53138946238009932</v>
      </c>
      <c r="R210" s="95">
        <f t="shared" si="70"/>
        <v>0</v>
      </c>
      <c r="S210" s="95">
        <f t="shared" si="72"/>
        <v>0</v>
      </c>
      <c r="T210" s="62">
        <f t="shared" si="65"/>
        <v>0.30468977294585026</v>
      </c>
      <c r="U210" s="61">
        <f t="shared" si="56"/>
        <v>0</v>
      </c>
    </row>
    <row r="211" spans="1:21" x14ac:dyDescent="0.35">
      <c r="A211" s="1">
        <f t="shared" si="73"/>
        <v>46386</v>
      </c>
      <c r="B211" s="93" t="s">
        <v>205</v>
      </c>
      <c r="F211" s="11">
        <f t="shared" si="66"/>
        <v>13847039.999999991</v>
      </c>
      <c r="G211" s="11">
        <f t="shared" si="61"/>
        <v>15591810</v>
      </c>
      <c r="H211" s="11">
        <f t="shared" si="67"/>
        <v>-1744770.0000000093</v>
      </c>
      <c r="I211" s="61">
        <f t="shared" si="62"/>
        <v>0.28805010496960959</v>
      </c>
      <c r="J211" s="61">
        <f t="shared" si="68"/>
        <v>0</v>
      </c>
      <c r="K211" s="94">
        <f t="shared" si="60"/>
        <v>0.31</v>
      </c>
      <c r="L211" s="61">
        <f t="shared" si="57"/>
        <v>0</v>
      </c>
      <c r="M211" s="61">
        <f t="shared" si="69"/>
        <v>0</v>
      </c>
      <c r="N211" s="61">
        <f t="shared" si="71"/>
        <v>0.61468977294585025</v>
      </c>
      <c r="O211" s="61">
        <f t="shared" si="58"/>
        <v>0</v>
      </c>
      <c r="P211" s="79">
        <f t="shared" si="63"/>
        <v>0.49568056336068445</v>
      </c>
      <c r="Q211" s="79">
        <f t="shared" si="64"/>
        <v>0.53138946238009932</v>
      </c>
      <c r="R211" s="95">
        <f t="shared" si="70"/>
        <v>0</v>
      </c>
      <c r="S211" s="95">
        <f t="shared" si="72"/>
        <v>0</v>
      </c>
      <c r="T211" s="62">
        <f t="shared" si="65"/>
        <v>0.30468977294585026</v>
      </c>
      <c r="U211" s="61">
        <f>T211*(D211+E211)</f>
        <v>0</v>
      </c>
    </row>
    <row r="212" spans="1:21" x14ac:dyDescent="0.35">
      <c r="A212" s="1">
        <f t="shared" si="73"/>
        <v>46387</v>
      </c>
      <c r="B212" s="93" t="s">
        <v>205</v>
      </c>
      <c r="F212" s="11">
        <f t="shared" si="66"/>
        <v>13847039.999999991</v>
      </c>
      <c r="G212" s="11">
        <f t="shared" si="61"/>
        <v>15591810</v>
      </c>
      <c r="H212" s="11">
        <f t="shared" si="67"/>
        <v>-1744770.0000000093</v>
      </c>
      <c r="I212" s="61">
        <f t="shared" si="62"/>
        <v>0.28805010496960959</v>
      </c>
      <c r="J212" s="61">
        <f t="shared" si="68"/>
        <v>0</v>
      </c>
      <c r="K212" s="94">
        <f t="shared" si="60"/>
        <v>0.31</v>
      </c>
      <c r="L212" s="61">
        <f t="shared" si="57"/>
        <v>0</v>
      </c>
      <c r="M212" s="61">
        <f t="shared" si="69"/>
        <v>0</v>
      </c>
      <c r="N212" s="61">
        <f t="shared" si="71"/>
        <v>0.61468977294585025</v>
      </c>
      <c r="O212" s="61">
        <f t="shared" si="58"/>
        <v>0</v>
      </c>
      <c r="P212" s="79">
        <f t="shared" si="63"/>
        <v>0.49568056336068445</v>
      </c>
      <c r="Q212" s="79">
        <f t="shared" si="64"/>
        <v>0.53138946238009932</v>
      </c>
      <c r="R212" s="95">
        <f t="shared" si="70"/>
        <v>0</v>
      </c>
      <c r="S212" s="95">
        <f t="shared" si="72"/>
        <v>0</v>
      </c>
      <c r="T212" s="62">
        <f t="shared" si="65"/>
        <v>0.30468977294585026</v>
      </c>
      <c r="U212" s="61">
        <f>T212*(D212+E212)</f>
        <v>0</v>
      </c>
    </row>
    <row r="213" spans="1:21" ht="16" x14ac:dyDescent="0.4">
      <c r="R213" s="98">
        <f>SUM(R3:R212)</f>
        <v>8511633.8735720962</v>
      </c>
      <c r="S213" s="98">
        <f>SUM(S3:S212)</f>
        <v>10203655.37424311</v>
      </c>
      <c r="U213" s="99">
        <f>SUM(U3:U212)</f>
        <v>3155257.6088257432</v>
      </c>
    </row>
    <row r="214" spans="1:21" ht="16" x14ac:dyDescent="0.4">
      <c r="A214" t="s">
        <v>213</v>
      </c>
      <c r="E214" s="101"/>
      <c r="S214" s="104">
        <f>S213-R213</f>
        <v>1692021.5006710142</v>
      </c>
    </row>
    <row r="215" spans="1:21" x14ac:dyDescent="0.35">
      <c r="A215" t="s">
        <v>207</v>
      </c>
      <c r="E215" s="101"/>
    </row>
    <row r="216" spans="1:21" x14ac:dyDescent="0.35">
      <c r="A216" t="s">
        <v>214</v>
      </c>
      <c r="E216" s="101"/>
      <c r="S216" s="61"/>
    </row>
    <row r="217" spans="1:21" x14ac:dyDescent="0.35">
      <c r="S217" s="61"/>
    </row>
    <row r="218" spans="1:21" x14ac:dyDescent="0.35">
      <c r="S218" s="62"/>
    </row>
    <row r="219" spans="1:21" x14ac:dyDescent="0.35">
      <c r="S219" s="61"/>
    </row>
    <row r="220" spans="1:21" ht="16" x14ac:dyDescent="0.4">
      <c r="S220" s="105"/>
      <c r="T220" s="102"/>
    </row>
    <row r="222" spans="1:21" x14ac:dyDescent="0.35">
      <c r="S222" s="61">
        <f>E214*N212</f>
        <v>0</v>
      </c>
      <c r="T222" t="s">
        <v>215</v>
      </c>
    </row>
    <row r="223" spans="1:21" x14ac:dyDescent="0.35">
      <c r="S223" s="61">
        <f>N212*E215</f>
        <v>0</v>
      </c>
      <c r="T223" t="s">
        <v>216</v>
      </c>
    </row>
  </sheetData>
  <mergeCells count="1">
    <mergeCell ref="D78:D8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1319D-9933-46EE-8EBB-CCF61DB16728}">
  <dimension ref="A1:W221"/>
  <sheetViews>
    <sheetView workbookViewId="0">
      <selection activeCell="E57" sqref="E57"/>
    </sheetView>
  </sheetViews>
  <sheetFormatPr defaultColWidth="11.6328125" defaultRowHeight="14.5" x14ac:dyDescent="0.35"/>
  <cols>
    <col min="2" max="2" width="12" style="93" bestFit="1" customWidth="1"/>
    <col min="3" max="3" width="12.7265625" style="11" bestFit="1" customWidth="1"/>
    <col min="4" max="4" width="11.6328125" style="11"/>
    <col min="5" max="5" width="14.54296875" style="11" customWidth="1"/>
    <col min="6" max="6" width="15.6328125" style="11" bestFit="1" customWidth="1"/>
    <col min="7" max="7" width="14.36328125" style="11" bestFit="1" customWidth="1"/>
    <col min="8" max="8" width="15.6328125" style="11" bestFit="1" customWidth="1"/>
    <col min="10" max="10" width="13.6328125" bestFit="1" customWidth="1"/>
    <col min="12" max="12" width="15.453125" bestFit="1" customWidth="1"/>
    <col min="13" max="13" width="13.6328125" bestFit="1" customWidth="1"/>
    <col min="15" max="15" width="15.453125" bestFit="1" customWidth="1"/>
    <col min="18" max="18" width="13.6328125" bestFit="1" customWidth="1"/>
    <col min="19" max="19" width="16" bestFit="1" customWidth="1"/>
    <col min="20" max="20" width="13.453125" bestFit="1" customWidth="1"/>
    <col min="21" max="21" width="15.6328125" style="61" bestFit="1" customWidth="1"/>
  </cols>
  <sheetData>
    <row r="1" spans="1:23" s="91" customFormat="1" ht="43.5" x14ac:dyDescent="0.35">
      <c r="A1" s="86" t="s">
        <v>187</v>
      </c>
      <c r="B1" s="87"/>
      <c r="C1" s="87" t="s">
        <v>188</v>
      </c>
      <c r="D1" s="88" t="s">
        <v>189</v>
      </c>
      <c r="E1" s="88" t="s">
        <v>190</v>
      </c>
      <c r="F1" s="88" t="s">
        <v>191</v>
      </c>
      <c r="G1" s="88" t="s">
        <v>192</v>
      </c>
      <c r="H1" s="89" t="s">
        <v>193</v>
      </c>
      <c r="I1" s="90" t="s">
        <v>194</v>
      </c>
      <c r="J1" s="91" t="s">
        <v>195</v>
      </c>
      <c r="K1" s="90" t="s">
        <v>196</v>
      </c>
      <c r="L1" s="91" t="s">
        <v>195</v>
      </c>
      <c r="M1" s="91" t="s">
        <v>197</v>
      </c>
      <c r="N1" s="90" t="s">
        <v>198</v>
      </c>
      <c r="O1" s="91" t="s">
        <v>195</v>
      </c>
      <c r="P1" s="90" t="s">
        <v>199</v>
      </c>
      <c r="Q1" s="90" t="s">
        <v>200</v>
      </c>
      <c r="R1" s="90" t="s">
        <v>201</v>
      </c>
      <c r="S1" s="90" t="s">
        <v>202</v>
      </c>
      <c r="T1" s="90" t="s">
        <v>203</v>
      </c>
      <c r="U1" s="92" t="s">
        <v>204</v>
      </c>
    </row>
    <row r="2" spans="1:23" x14ac:dyDescent="0.35">
      <c r="A2" s="1">
        <v>46111</v>
      </c>
      <c r="F2" s="11">
        <f>C2</f>
        <v>0</v>
      </c>
      <c r="G2" s="11">
        <f>D2</f>
        <v>0</v>
      </c>
      <c r="H2" s="11">
        <f>F2-G2</f>
        <v>0</v>
      </c>
      <c r="T2" s="62">
        <f>N2-K2</f>
        <v>0</v>
      </c>
      <c r="U2" s="61">
        <f>T2*(D2)</f>
        <v>0</v>
      </c>
      <c r="W2">
        <f>24.52/32</f>
        <v>0.76624999999999999</v>
      </c>
    </row>
    <row r="3" spans="1:23" x14ac:dyDescent="0.35">
      <c r="A3" s="1">
        <f>A2+7</f>
        <v>46118</v>
      </c>
      <c r="C3" s="11">
        <f>'[1]Ramp Plan'!S82/4</f>
        <v>59400</v>
      </c>
      <c r="D3" s="11">
        <f>('[1]Inventory 0626'!E13+'[1]Inventory 0626'!E14+'[1]Inventory 0626'!E15+'[1]Inventory 0626'!E16+'[1]Inventory 0626'!E17+'[1]Inventory 0626'!E18+'[1]Inventory 0626'!E19)*60</f>
        <v>56700</v>
      </c>
      <c r="F3" s="11">
        <f>C3+F2</f>
        <v>59400</v>
      </c>
      <c r="G3" s="11">
        <f>G2+D3+E3</f>
        <v>56700</v>
      </c>
      <c r="H3" s="11">
        <f>F3-G3</f>
        <v>2700</v>
      </c>
      <c r="I3" s="61">
        <f>'[1]Ramp Plan'!T163</f>
        <v>0.74419508374352383</v>
      </c>
      <c r="J3" s="61">
        <f>I3*C3</f>
        <v>44205.187974365319</v>
      </c>
      <c r="K3" s="94">
        <f>N3</f>
        <v>1.105</v>
      </c>
      <c r="L3" s="61">
        <f>K3*(D3+E3)</f>
        <v>62653.5</v>
      </c>
      <c r="M3" s="61">
        <f>J3-L3</f>
        <v>-18448.312025634681</v>
      </c>
      <c r="N3" s="61">
        <f>4.42/4</f>
        <v>1.105</v>
      </c>
      <c r="O3" s="61">
        <f>N3*(D3+E3)</f>
        <v>62653.5</v>
      </c>
      <c r="P3" s="79">
        <f>(N3-K3)/N3</f>
        <v>0</v>
      </c>
      <c r="Q3" s="79">
        <f>(N3-I3)/N3</f>
        <v>0.32652028620495582</v>
      </c>
      <c r="R3" s="95">
        <f>C3*N3</f>
        <v>65637</v>
      </c>
      <c r="S3" s="95">
        <f>(D3+E3)*N3</f>
        <v>62653.5</v>
      </c>
      <c r="T3" s="62">
        <f t="shared" ref="T3:T66" si="0">N3-K3</f>
        <v>0</v>
      </c>
      <c r="U3" s="61">
        <f t="shared" ref="U3:U18" si="1">T3*(D3)</f>
        <v>0</v>
      </c>
    </row>
    <row r="4" spans="1:23" x14ac:dyDescent="0.35">
      <c r="A4" s="1">
        <f t="shared" ref="A4:A13" si="2">A3+7</f>
        <v>46125</v>
      </c>
      <c r="C4" s="11">
        <f>C3</f>
        <v>59400</v>
      </c>
      <c r="F4" s="11">
        <f t="shared" ref="F4:F67" si="3">C4+F3</f>
        <v>118800</v>
      </c>
      <c r="G4" s="11">
        <f t="shared" ref="G4:G67" si="4">G3+D4+E4</f>
        <v>56700</v>
      </c>
      <c r="H4" s="11">
        <f t="shared" ref="H4:H67" si="5">F4-G4</f>
        <v>62100</v>
      </c>
      <c r="I4" s="61">
        <f t="shared" ref="I4:I10" si="6">I3</f>
        <v>0.74419508374352383</v>
      </c>
      <c r="J4" s="61">
        <f t="shared" ref="J4:J67" si="7">I4*C4</f>
        <v>44205.187974365319</v>
      </c>
      <c r="K4" s="94"/>
      <c r="L4" s="61">
        <f t="shared" ref="L4:L67" si="8">K4*(D4+E4)</f>
        <v>0</v>
      </c>
      <c r="M4" s="61">
        <f t="shared" ref="M4:M67" si="9">J4-L4</f>
        <v>44205.187974365319</v>
      </c>
      <c r="N4" s="61">
        <f>N3</f>
        <v>1.105</v>
      </c>
      <c r="O4" s="61">
        <f t="shared" ref="O4:O67" si="10">N4*(D4+E4)</f>
        <v>0</v>
      </c>
      <c r="P4" s="79">
        <f t="shared" ref="P4:P67" si="11">(N4-K4)/N4</f>
        <v>1</v>
      </c>
      <c r="Q4" s="79">
        <f t="shared" ref="Q4:Q67" si="12">(N4-I4)/N4</f>
        <v>0.32652028620495582</v>
      </c>
      <c r="R4" s="95">
        <f t="shared" ref="R4:R67" si="13">C4*N4</f>
        <v>65637</v>
      </c>
      <c r="S4" s="95">
        <f t="shared" ref="S4:S67" si="14">(D4+E4)*N4</f>
        <v>0</v>
      </c>
      <c r="T4" s="62">
        <f t="shared" si="0"/>
        <v>1.105</v>
      </c>
      <c r="U4" s="61">
        <f t="shared" si="1"/>
        <v>0</v>
      </c>
    </row>
    <row r="5" spans="1:23" x14ac:dyDescent="0.35">
      <c r="A5" s="1">
        <f t="shared" si="2"/>
        <v>46132</v>
      </c>
      <c r="C5" s="11">
        <f>C4</f>
        <v>59400</v>
      </c>
      <c r="F5" s="11">
        <f t="shared" si="3"/>
        <v>178200</v>
      </c>
      <c r="G5" s="11">
        <f t="shared" si="4"/>
        <v>56700</v>
      </c>
      <c r="H5" s="11">
        <f t="shared" si="5"/>
        <v>121500</v>
      </c>
      <c r="I5" s="61">
        <f t="shared" si="6"/>
        <v>0.74419508374352383</v>
      </c>
      <c r="J5" s="61">
        <f t="shared" si="7"/>
        <v>44205.187974365319</v>
      </c>
      <c r="K5" s="94"/>
      <c r="L5" s="61">
        <f t="shared" si="8"/>
        <v>0</v>
      </c>
      <c r="M5" s="61">
        <f t="shared" si="9"/>
        <v>44205.187974365319</v>
      </c>
      <c r="N5" s="61">
        <f t="shared" ref="N5:N68" si="15">N4</f>
        <v>1.105</v>
      </c>
      <c r="O5" s="61">
        <f t="shared" si="10"/>
        <v>0</v>
      </c>
      <c r="P5" s="79">
        <f t="shared" si="11"/>
        <v>1</v>
      </c>
      <c r="Q5" s="79">
        <f t="shared" si="12"/>
        <v>0.32652028620495582</v>
      </c>
      <c r="R5" s="95">
        <f t="shared" si="13"/>
        <v>65637</v>
      </c>
      <c r="S5" s="95">
        <f t="shared" si="14"/>
        <v>0</v>
      </c>
      <c r="T5" s="62">
        <f t="shared" si="0"/>
        <v>1.105</v>
      </c>
      <c r="U5" s="61">
        <f t="shared" si="1"/>
        <v>0</v>
      </c>
    </row>
    <row r="6" spans="1:23" x14ac:dyDescent="0.35">
      <c r="A6" s="1">
        <f t="shared" si="2"/>
        <v>46139</v>
      </c>
      <c r="C6" s="11">
        <f>C5</f>
        <v>59400</v>
      </c>
      <c r="F6" s="11">
        <f t="shared" si="3"/>
        <v>237600</v>
      </c>
      <c r="G6" s="11">
        <f t="shared" si="4"/>
        <v>56700</v>
      </c>
      <c r="H6" s="11">
        <f t="shared" si="5"/>
        <v>180900</v>
      </c>
      <c r="I6" s="61">
        <f t="shared" si="6"/>
        <v>0.74419508374352383</v>
      </c>
      <c r="J6" s="61">
        <f t="shared" si="7"/>
        <v>44205.187974365319</v>
      </c>
      <c r="K6" s="94"/>
      <c r="L6" s="61">
        <f t="shared" si="8"/>
        <v>0</v>
      </c>
      <c r="M6" s="61">
        <f t="shared" si="9"/>
        <v>44205.187974365319</v>
      </c>
      <c r="N6" s="61">
        <f t="shared" si="15"/>
        <v>1.105</v>
      </c>
      <c r="O6" s="61">
        <f t="shared" si="10"/>
        <v>0</v>
      </c>
      <c r="P6" s="79">
        <f t="shared" si="11"/>
        <v>1</v>
      </c>
      <c r="Q6" s="79">
        <f t="shared" si="12"/>
        <v>0.32652028620495582</v>
      </c>
      <c r="R6" s="95">
        <f t="shared" si="13"/>
        <v>65637</v>
      </c>
      <c r="S6" s="95">
        <f t="shared" si="14"/>
        <v>0</v>
      </c>
      <c r="T6" s="62">
        <f t="shared" si="0"/>
        <v>1.105</v>
      </c>
      <c r="U6" s="61">
        <f t="shared" si="1"/>
        <v>0</v>
      </c>
    </row>
    <row r="7" spans="1:23" x14ac:dyDescent="0.35">
      <c r="A7" s="1">
        <f t="shared" si="2"/>
        <v>46146</v>
      </c>
      <c r="C7" s="11">
        <f>'[1]Ramp Plan'!T82/4</f>
        <v>103950</v>
      </c>
      <c r="F7" s="11">
        <f t="shared" si="3"/>
        <v>341550</v>
      </c>
      <c r="G7" s="11">
        <f t="shared" si="4"/>
        <v>56700</v>
      </c>
      <c r="H7" s="11">
        <f t="shared" si="5"/>
        <v>284850</v>
      </c>
      <c r="I7" s="61">
        <f t="shared" si="6"/>
        <v>0.74419508374352383</v>
      </c>
      <c r="J7" s="61">
        <f t="shared" si="7"/>
        <v>77359.078955139295</v>
      </c>
      <c r="K7" s="94"/>
      <c r="L7" s="61">
        <f t="shared" si="8"/>
        <v>0</v>
      </c>
      <c r="M7" s="61">
        <f t="shared" si="9"/>
        <v>77359.078955139295</v>
      </c>
      <c r="N7" s="61">
        <f t="shared" si="15"/>
        <v>1.105</v>
      </c>
      <c r="O7" s="61">
        <f t="shared" si="10"/>
        <v>0</v>
      </c>
      <c r="P7" s="79">
        <f t="shared" si="11"/>
        <v>1</v>
      </c>
      <c r="Q7" s="79">
        <f t="shared" si="12"/>
        <v>0.32652028620495582</v>
      </c>
      <c r="R7" s="95">
        <f t="shared" si="13"/>
        <v>114864.75</v>
      </c>
      <c r="S7" s="95">
        <f t="shared" si="14"/>
        <v>0</v>
      </c>
      <c r="T7" s="62">
        <f t="shared" si="0"/>
        <v>1.105</v>
      </c>
      <c r="U7" s="61">
        <f t="shared" si="1"/>
        <v>0</v>
      </c>
    </row>
    <row r="8" spans="1:23" x14ac:dyDescent="0.35">
      <c r="A8" s="1">
        <f t="shared" si="2"/>
        <v>46153</v>
      </c>
      <c r="C8" s="11">
        <v>103950</v>
      </c>
      <c r="F8" s="11">
        <f t="shared" si="3"/>
        <v>445500</v>
      </c>
      <c r="G8" s="11">
        <f t="shared" si="4"/>
        <v>56700</v>
      </c>
      <c r="H8" s="11">
        <f t="shared" si="5"/>
        <v>388800</v>
      </c>
      <c r="I8" s="61">
        <f t="shared" si="6"/>
        <v>0.74419508374352383</v>
      </c>
      <c r="J8" s="61">
        <f t="shared" si="7"/>
        <v>77359.078955139295</v>
      </c>
      <c r="K8" s="94"/>
      <c r="L8" s="61">
        <f t="shared" si="8"/>
        <v>0</v>
      </c>
      <c r="M8" s="61">
        <f t="shared" si="9"/>
        <v>77359.078955139295</v>
      </c>
      <c r="N8" s="61">
        <f t="shared" si="15"/>
        <v>1.105</v>
      </c>
      <c r="O8" s="61">
        <f t="shared" si="10"/>
        <v>0</v>
      </c>
      <c r="P8" s="79">
        <f t="shared" si="11"/>
        <v>1</v>
      </c>
      <c r="Q8" s="79">
        <f t="shared" si="12"/>
        <v>0.32652028620495582</v>
      </c>
      <c r="R8" s="95">
        <f t="shared" si="13"/>
        <v>114864.75</v>
      </c>
      <c r="S8" s="95">
        <f t="shared" si="14"/>
        <v>0</v>
      </c>
      <c r="T8" s="62">
        <f t="shared" si="0"/>
        <v>1.105</v>
      </c>
      <c r="U8" s="61">
        <f t="shared" si="1"/>
        <v>0</v>
      </c>
    </row>
    <row r="9" spans="1:23" x14ac:dyDescent="0.35">
      <c r="A9" s="1">
        <f t="shared" si="2"/>
        <v>46160</v>
      </c>
      <c r="C9" s="11">
        <v>103950</v>
      </c>
      <c r="D9" s="11">
        <f>('[1]Inventory 0626'!E3*32)+('[1]Inventory 0626'!H3*50)+('[1]Inventory 0626'!E4*32)+('[1]Inventory 0626'!H4*50)</f>
        <v>11840</v>
      </c>
      <c r="F9" s="11">
        <f t="shared" si="3"/>
        <v>549450</v>
      </c>
      <c r="G9" s="11">
        <f t="shared" si="4"/>
        <v>68540</v>
      </c>
      <c r="H9" s="11">
        <f t="shared" si="5"/>
        <v>480910</v>
      </c>
      <c r="I9" s="61">
        <f t="shared" si="6"/>
        <v>0.74419508374352383</v>
      </c>
      <c r="J9" s="61">
        <f t="shared" si="7"/>
        <v>77359.078955139295</v>
      </c>
      <c r="K9" s="94">
        <f>K3</f>
        <v>1.105</v>
      </c>
      <c r="L9" s="61">
        <f t="shared" si="8"/>
        <v>13083.199999999999</v>
      </c>
      <c r="M9" s="61">
        <f t="shared" si="9"/>
        <v>64275.878955139298</v>
      </c>
      <c r="N9" s="61">
        <f t="shared" si="15"/>
        <v>1.105</v>
      </c>
      <c r="O9" s="61">
        <f t="shared" si="10"/>
        <v>13083.199999999999</v>
      </c>
      <c r="P9" s="79">
        <f>(N9-K9)/N9</f>
        <v>0</v>
      </c>
      <c r="Q9" s="79">
        <f t="shared" si="12"/>
        <v>0.32652028620495582</v>
      </c>
      <c r="R9" s="95">
        <f t="shared" si="13"/>
        <v>114864.75</v>
      </c>
      <c r="S9" s="95">
        <f t="shared" si="14"/>
        <v>13083.199999999999</v>
      </c>
      <c r="T9" s="62">
        <f t="shared" si="0"/>
        <v>0</v>
      </c>
      <c r="U9" s="61">
        <f t="shared" si="1"/>
        <v>0</v>
      </c>
    </row>
    <row r="10" spans="1:23" x14ac:dyDescent="0.35">
      <c r="A10" s="1">
        <f t="shared" si="2"/>
        <v>46167</v>
      </c>
      <c r="C10" s="11">
        <v>103950</v>
      </c>
      <c r="D10" s="11">
        <f>([1]Sold!G10*32)+([1]Sold!H10*50)+('[1]Inventory 0626'!H5*50)</f>
        <v>50948</v>
      </c>
      <c r="F10" s="11">
        <f t="shared" si="3"/>
        <v>653400</v>
      </c>
      <c r="G10" s="11">
        <f t="shared" si="4"/>
        <v>119488</v>
      </c>
      <c r="H10" s="11">
        <f t="shared" si="5"/>
        <v>533912</v>
      </c>
      <c r="I10" s="61">
        <f t="shared" si="6"/>
        <v>0.74419508374352383</v>
      </c>
      <c r="J10" s="61">
        <f t="shared" si="7"/>
        <v>77359.078955139295</v>
      </c>
      <c r="K10" s="94">
        <f>K9</f>
        <v>1.105</v>
      </c>
      <c r="L10" s="61">
        <f t="shared" si="8"/>
        <v>56297.54</v>
      </c>
      <c r="M10" s="61">
        <f t="shared" si="9"/>
        <v>21061.538955139295</v>
      </c>
      <c r="N10" s="61">
        <f t="shared" si="15"/>
        <v>1.105</v>
      </c>
      <c r="O10" s="61">
        <f t="shared" si="10"/>
        <v>56297.54</v>
      </c>
      <c r="P10" s="79">
        <f t="shared" si="11"/>
        <v>0</v>
      </c>
      <c r="Q10" s="79">
        <f t="shared" si="12"/>
        <v>0.32652028620495582</v>
      </c>
      <c r="R10" s="95">
        <f t="shared" si="13"/>
        <v>114864.75</v>
      </c>
      <c r="S10" s="95">
        <f t="shared" si="14"/>
        <v>56297.54</v>
      </c>
      <c r="T10" s="62">
        <f t="shared" si="0"/>
        <v>0</v>
      </c>
      <c r="U10" s="61">
        <f>T10*(D10)</f>
        <v>0</v>
      </c>
    </row>
    <row r="11" spans="1:23" x14ac:dyDescent="0.35">
      <c r="A11" s="1">
        <f t="shared" si="2"/>
        <v>46174</v>
      </c>
      <c r="C11" s="11">
        <f>'[1]Ramp Plan'!U82/4</f>
        <v>257400</v>
      </c>
      <c r="D11" s="11">
        <f>('[1]Inventory 0626'!E5*32)+('[1]Inventory 0626'!E6*32)</f>
        <v>8800</v>
      </c>
      <c r="F11" s="11">
        <f t="shared" si="3"/>
        <v>910800</v>
      </c>
      <c r="G11" s="11">
        <f t="shared" si="4"/>
        <v>128288</v>
      </c>
      <c r="H11" s="11">
        <f t="shared" si="5"/>
        <v>782512</v>
      </c>
      <c r="I11" s="61">
        <f>'[1]Ramp Plan'!U163</f>
        <v>0.53152201957415701</v>
      </c>
      <c r="J11" s="61">
        <f t="shared" si="7"/>
        <v>136813.76783838801</v>
      </c>
      <c r="K11" s="94">
        <f>K10</f>
        <v>1.105</v>
      </c>
      <c r="L11" s="61">
        <f t="shared" si="8"/>
        <v>9724</v>
      </c>
      <c r="M11" s="61">
        <f t="shared" si="9"/>
        <v>127089.76783838801</v>
      </c>
      <c r="N11" s="61">
        <f t="shared" si="15"/>
        <v>1.105</v>
      </c>
      <c r="O11" s="61">
        <f t="shared" si="10"/>
        <v>9724</v>
      </c>
      <c r="P11" s="79">
        <f t="shared" si="11"/>
        <v>0</v>
      </c>
      <c r="Q11" s="79">
        <f t="shared" si="12"/>
        <v>0.51898459767044613</v>
      </c>
      <c r="R11" s="95">
        <f t="shared" si="13"/>
        <v>284427</v>
      </c>
      <c r="S11" s="95">
        <f t="shared" si="14"/>
        <v>9724</v>
      </c>
      <c r="T11" s="62">
        <f>N11-K11</f>
        <v>0</v>
      </c>
      <c r="U11" s="61">
        <f t="shared" si="1"/>
        <v>0</v>
      </c>
    </row>
    <row r="12" spans="1:23" x14ac:dyDescent="0.35">
      <c r="A12" s="1">
        <f t="shared" si="2"/>
        <v>46181</v>
      </c>
      <c r="C12" s="11">
        <v>257400</v>
      </c>
      <c r="D12" s="11">
        <f>'[1]Inventory 0626'!E7*32</f>
        <v>4320</v>
      </c>
      <c r="F12" s="11">
        <f t="shared" si="3"/>
        <v>1168200</v>
      </c>
      <c r="G12" s="11">
        <f t="shared" si="4"/>
        <v>132608</v>
      </c>
      <c r="H12" s="11">
        <f t="shared" si="5"/>
        <v>1035592</v>
      </c>
      <c r="I12" s="61">
        <f t="shared" ref="I12:I28" si="16">I11</f>
        <v>0.53152201957415701</v>
      </c>
      <c r="J12" s="61">
        <f t="shared" si="7"/>
        <v>136813.76783838801</v>
      </c>
      <c r="K12" s="94">
        <f>K11</f>
        <v>1.105</v>
      </c>
      <c r="L12" s="61">
        <f t="shared" si="8"/>
        <v>4773.6000000000004</v>
      </c>
      <c r="M12" s="61">
        <f t="shared" si="9"/>
        <v>132040.16783838801</v>
      </c>
      <c r="N12" s="61">
        <f t="shared" si="15"/>
        <v>1.105</v>
      </c>
      <c r="O12" s="61">
        <f t="shared" si="10"/>
        <v>4773.6000000000004</v>
      </c>
      <c r="P12" s="79">
        <f t="shared" si="11"/>
        <v>0</v>
      </c>
      <c r="Q12" s="79">
        <f t="shared" si="12"/>
        <v>0.51898459767044613</v>
      </c>
      <c r="R12" s="95">
        <f t="shared" si="13"/>
        <v>284427</v>
      </c>
      <c r="S12" s="95">
        <f t="shared" si="14"/>
        <v>4773.6000000000004</v>
      </c>
      <c r="T12" s="62">
        <f t="shared" si="0"/>
        <v>0</v>
      </c>
      <c r="U12" s="61">
        <f t="shared" si="1"/>
        <v>0</v>
      </c>
    </row>
    <row r="13" spans="1:23" x14ac:dyDescent="0.35">
      <c r="A13" s="1">
        <f t="shared" si="2"/>
        <v>46188</v>
      </c>
      <c r="C13" s="11">
        <f>'[1]Ramp Plan'!U82/2/10</f>
        <v>51480</v>
      </c>
      <c r="F13" s="11">
        <f t="shared" si="3"/>
        <v>1219680</v>
      </c>
      <c r="G13" s="11">
        <f t="shared" si="4"/>
        <v>132608</v>
      </c>
      <c r="H13" s="11">
        <f t="shared" si="5"/>
        <v>1087072</v>
      </c>
      <c r="I13" s="61">
        <f t="shared" si="16"/>
        <v>0.53152201957415701</v>
      </c>
      <c r="J13" s="61">
        <f t="shared" si="7"/>
        <v>27362.753567677602</v>
      </c>
      <c r="K13" s="94">
        <f>K12</f>
        <v>1.105</v>
      </c>
      <c r="L13" s="61">
        <f t="shared" si="8"/>
        <v>0</v>
      </c>
      <c r="M13" s="61">
        <f t="shared" si="9"/>
        <v>27362.753567677602</v>
      </c>
      <c r="N13" s="61">
        <f t="shared" si="15"/>
        <v>1.105</v>
      </c>
      <c r="O13" s="61">
        <f t="shared" si="10"/>
        <v>0</v>
      </c>
      <c r="P13" s="79">
        <f t="shared" si="11"/>
        <v>0</v>
      </c>
      <c r="Q13" s="79">
        <f t="shared" si="12"/>
        <v>0.51898459767044613</v>
      </c>
      <c r="R13" s="95">
        <f t="shared" si="13"/>
        <v>56885.4</v>
      </c>
      <c r="S13" s="95">
        <f t="shared" si="14"/>
        <v>0</v>
      </c>
      <c r="T13" s="62">
        <f t="shared" si="0"/>
        <v>0</v>
      </c>
      <c r="U13" s="61">
        <f t="shared" si="1"/>
        <v>0</v>
      </c>
    </row>
    <row r="14" spans="1:23" x14ac:dyDescent="0.35">
      <c r="A14" s="1">
        <f>A13+1</f>
        <v>46189</v>
      </c>
      <c r="C14" s="11">
        <f>C13</f>
        <v>51480</v>
      </c>
      <c r="F14" s="11">
        <f t="shared" si="3"/>
        <v>1271160</v>
      </c>
      <c r="G14" s="11">
        <f t="shared" si="4"/>
        <v>132608</v>
      </c>
      <c r="H14" s="11">
        <f t="shared" si="5"/>
        <v>1138552</v>
      </c>
      <c r="I14" s="61">
        <f t="shared" si="16"/>
        <v>0.53152201957415701</v>
      </c>
      <c r="J14" s="61">
        <f t="shared" si="7"/>
        <v>27362.753567677602</v>
      </c>
      <c r="K14" s="94">
        <v>0.7</v>
      </c>
      <c r="L14" s="61">
        <f t="shared" si="8"/>
        <v>0</v>
      </c>
      <c r="M14" s="61">
        <f t="shared" si="9"/>
        <v>27362.753567677602</v>
      </c>
      <c r="N14" s="61">
        <f t="shared" si="15"/>
        <v>1.105</v>
      </c>
      <c r="O14" s="61">
        <f t="shared" si="10"/>
        <v>0</v>
      </c>
      <c r="P14" s="79">
        <f t="shared" si="11"/>
        <v>0.36651583710407243</v>
      </c>
      <c r="Q14" s="79">
        <f t="shared" si="12"/>
        <v>0.51898459767044613</v>
      </c>
      <c r="R14" s="95">
        <f t="shared" si="13"/>
        <v>56885.4</v>
      </c>
      <c r="S14" s="95">
        <f t="shared" si="14"/>
        <v>0</v>
      </c>
      <c r="T14" s="62">
        <f t="shared" si="0"/>
        <v>0.40500000000000003</v>
      </c>
      <c r="U14" s="61">
        <f t="shared" si="1"/>
        <v>0</v>
      </c>
    </row>
    <row r="15" spans="1:23" x14ac:dyDescent="0.35">
      <c r="A15" s="1">
        <f t="shared" ref="A15:A78" si="17">A14+1</f>
        <v>46190</v>
      </c>
      <c r="C15" s="11">
        <f>C14</f>
        <v>51480</v>
      </c>
      <c r="D15" s="11">
        <f>'[1]Inventory 0626'!E8*32</f>
        <v>1312</v>
      </c>
      <c r="F15" s="11">
        <f t="shared" si="3"/>
        <v>1322640</v>
      </c>
      <c r="G15" s="11">
        <f t="shared" si="4"/>
        <v>133920</v>
      </c>
      <c r="H15" s="11">
        <f t="shared" si="5"/>
        <v>1188720</v>
      </c>
      <c r="I15" s="61">
        <f t="shared" si="16"/>
        <v>0.53152201957415701</v>
      </c>
      <c r="J15" s="61">
        <f t="shared" si="7"/>
        <v>27362.753567677602</v>
      </c>
      <c r="K15" s="94">
        <f>K14</f>
        <v>0.7</v>
      </c>
      <c r="L15" s="61">
        <f t="shared" si="8"/>
        <v>918.4</v>
      </c>
      <c r="M15" s="61">
        <f t="shared" si="9"/>
        <v>26444.353567677601</v>
      </c>
      <c r="N15" s="61">
        <f t="shared" si="15"/>
        <v>1.105</v>
      </c>
      <c r="O15" s="61">
        <f t="shared" si="10"/>
        <v>1449.76</v>
      </c>
      <c r="P15" s="79">
        <f t="shared" si="11"/>
        <v>0.36651583710407243</v>
      </c>
      <c r="Q15" s="79">
        <f t="shared" si="12"/>
        <v>0.51898459767044613</v>
      </c>
      <c r="R15" s="95">
        <f t="shared" si="13"/>
        <v>56885.4</v>
      </c>
      <c r="S15" s="95">
        <f t="shared" si="14"/>
        <v>1449.76</v>
      </c>
      <c r="T15" s="62">
        <f t="shared" si="0"/>
        <v>0.40500000000000003</v>
      </c>
      <c r="U15" s="61">
        <f t="shared" si="1"/>
        <v>531.36</v>
      </c>
    </row>
    <row r="16" spans="1:23" x14ac:dyDescent="0.35">
      <c r="A16" s="1">
        <f t="shared" si="17"/>
        <v>46191</v>
      </c>
      <c r="C16" s="11">
        <f>C15</f>
        <v>51480</v>
      </c>
      <c r="F16" s="11">
        <f t="shared" si="3"/>
        <v>1374120</v>
      </c>
      <c r="G16" s="11">
        <f t="shared" si="4"/>
        <v>133920</v>
      </c>
      <c r="H16" s="11">
        <f t="shared" si="5"/>
        <v>1240200</v>
      </c>
      <c r="I16" s="61">
        <f t="shared" si="16"/>
        <v>0.53152201957415701</v>
      </c>
      <c r="J16" s="61">
        <f t="shared" si="7"/>
        <v>27362.753567677602</v>
      </c>
      <c r="K16" s="94">
        <f>K15</f>
        <v>0.7</v>
      </c>
      <c r="L16" s="61">
        <f t="shared" si="8"/>
        <v>0</v>
      </c>
      <c r="M16" s="61">
        <f t="shared" si="9"/>
        <v>27362.753567677602</v>
      </c>
      <c r="N16" s="61">
        <f t="shared" si="15"/>
        <v>1.105</v>
      </c>
      <c r="O16" s="61">
        <f t="shared" si="10"/>
        <v>0</v>
      </c>
      <c r="P16" s="79">
        <f t="shared" si="11"/>
        <v>0.36651583710407243</v>
      </c>
      <c r="Q16" s="79">
        <f t="shared" si="12"/>
        <v>0.51898459767044613</v>
      </c>
      <c r="R16" s="95">
        <f t="shared" si="13"/>
        <v>56885.4</v>
      </c>
      <c r="S16" s="95">
        <f t="shared" si="14"/>
        <v>0</v>
      </c>
      <c r="T16" s="62">
        <f t="shared" si="0"/>
        <v>0.40500000000000003</v>
      </c>
      <c r="U16" s="61">
        <f t="shared" si="1"/>
        <v>0</v>
      </c>
    </row>
    <row r="17" spans="1:21" x14ac:dyDescent="0.35">
      <c r="A17" s="1">
        <f t="shared" si="17"/>
        <v>46192</v>
      </c>
      <c r="C17" s="11">
        <v>0</v>
      </c>
      <c r="F17" s="11">
        <f t="shared" si="3"/>
        <v>1374120</v>
      </c>
      <c r="G17" s="11">
        <f t="shared" si="4"/>
        <v>133920</v>
      </c>
      <c r="H17" s="11">
        <f t="shared" si="5"/>
        <v>1240200</v>
      </c>
      <c r="I17" s="61">
        <f t="shared" si="16"/>
        <v>0.53152201957415701</v>
      </c>
      <c r="J17" s="61">
        <f t="shared" si="7"/>
        <v>0</v>
      </c>
      <c r="K17" s="94">
        <f>K16</f>
        <v>0.7</v>
      </c>
      <c r="L17" s="61">
        <f t="shared" si="8"/>
        <v>0</v>
      </c>
      <c r="M17" s="61">
        <f t="shared" si="9"/>
        <v>0</v>
      </c>
      <c r="N17" s="61">
        <f t="shared" si="15"/>
        <v>1.105</v>
      </c>
      <c r="O17" s="61">
        <f t="shared" si="10"/>
        <v>0</v>
      </c>
      <c r="P17" s="79">
        <f t="shared" si="11"/>
        <v>0.36651583710407243</v>
      </c>
      <c r="Q17" s="79">
        <f t="shared" si="12"/>
        <v>0.51898459767044613</v>
      </c>
      <c r="R17" s="95">
        <f t="shared" si="13"/>
        <v>0</v>
      </c>
      <c r="S17" s="95">
        <f t="shared" si="14"/>
        <v>0</v>
      </c>
      <c r="T17" s="62">
        <f t="shared" si="0"/>
        <v>0.40500000000000003</v>
      </c>
      <c r="U17" s="61">
        <f t="shared" si="1"/>
        <v>0</v>
      </c>
    </row>
    <row r="18" spans="1:21" x14ac:dyDescent="0.35">
      <c r="A18" s="1">
        <f t="shared" si="17"/>
        <v>46193</v>
      </c>
      <c r="C18" s="11">
        <f>B18</f>
        <v>0</v>
      </c>
      <c r="F18" s="11">
        <f t="shared" si="3"/>
        <v>1374120</v>
      </c>
      <c r="G18" s="11">
        <f t="shared" si="4"/>
        <v>133920</v>
      </c>
      <c r="H18" s="11">
        <f t="shared" si="5"/>
        <v>1240200</v>
      </c>
      <c r="I18" s="61">
        <f t="shared" si="16"/>
        <v>0.53152201957415701</v>
      </c>
      <c r="J18" s="61">
        <f t="shared" si="7"/>
        <v>0</v>
      </c>
      <c r="K18" s="94">
        <f t="shared" ref="K18:K81" si="18">K17</f>
        <v>0.7</v>
      </c>
      <c r="L18" s="61">
        <f t="shared" si="8"/>
        <v>0</v>
      </c>
      <c r="M18" s="61">
        <f t="shared" si="9"/>
        <v>0</v>
      </c>
      <c r="N18" s="61">
        <f t="shared" si="15"/>
        <v>1.105</v>
      </c>
      <c r="O18" s="61">
        <f t="shared" si="10"/>
        <v>0</v>
      </c>
      <c r="P18" s="79">
        <f t="shared" si="11"/>
        <v>0.36651583710407243</v>
      </c>
      <c r="Q18" s="79">
        <f t="shared" si="12"/>
        <v>0.51898459767044613</v>
      </c>
      <c r="R18" s="95">
        <f t="shared" si="13"/>
        <v>0</v>
      </c>
      <c r="S18" s="95">
        <f t="shared" si="14"/>
        <v>0</v>
      </c>
      <c r="T18" s="62">
        <f t="shared" si="0"/>
        <v>0.40500000000000003</v>
      </c>
      <c r="U18" s="61">
        <f t="shared" si="1"/>
        <v>0</v>
      </c>
    </row>
    <row r="19" spans="1:21" x14ac:dyDescent="0.35">
      <c r="A19" s="1">
        <f t="shared" si="17"/>
        <v>46194</v>
      </c>
      <c r="B19" s="93" t="s">
        <v>205</v>
      </c>
      <c r="C19" s="11">
        <v>0</v>
      </c>
      <c r="F19" s="11">
        <f t="shared" si="3"/>
        <v>1374120</v>
      </c>
      <c r="G19" s="11">
        <f t="shared" si="4"/>
        <v>133920</v>
      </c>
      <c r="H19" s="11">
        <f t="shared" si="5"/>
        <v>1240200</v>
      </c>
      <c r="I19" s="61">
        <f t="shared" si="16"/>
        <v>0.53152201957415701</v>
      </c>
      <c r="J19" s="61">
        <f t="shared" si="7"/>
        <v>0</v>
      </c>
      <c r="K19" s="94">
        <f t="shared" si="18"/>
        <v>0.7</v>
      </c>
      <c r="L19" s="61">
        <f t="shared" si="8"/>
        <v>0</v>
      </c>
      <c r="M19" s="61">
        <f t="shared" si="9"/>
        <v>0</v>
      </c>
      <c r="N19" s="61">
        <f t="shared" si="15"/>
        <v>1.105</v>
      </c>
      <c r="O19" s="61">
        <f t="shared" si="10"/>
        <v>0</v>
      </c>
      <c r="P19" s="79">
        <f t="shared" si="11"/>
        <v>0.36651583710407243</v>
      </c>
      <c r="Q19" s="79">
        <f t="shared" si="12"/>
        <v>0.51898459767044613</v>
      </c>
      <c r="R19" s="95">
        <f t="shared" si="13"/>
        <v>0</v>
      </c>
      <c r="S19" s="95">
        <f t="shared" si="14"/>
        <v>0</v>
      </c>
      <c r="T19" s="62">
        <f t="shared" si="0"/>
        <v>0.40500000000000003</v>
      </c>
      <c r="U19" s="61">
        <f t="shared" ref="U19:U82" si="19">T19*(D19+E19)</f>
        <v>0</v>
      </c>
    </row>
    <row r="20" spans="1:21" x14ac:dyDescent="0.35">
      <c r="A20" s="1">
        <f t="shared" si="17"/>
        <v>46195</v>
      </c>
      <c r="C20" s="11">
        <f>C16</f>
        <v>51480</v>
      </c>
      <c r="D20" s="11">
        <f>'[1]Inventory 0626'!E9*32</f>
        <v>5792</v>
      </c>
      <c r="F20" s="11">
        <f t="shared" si="3"/>
        <v>1425600</v>
      </c>
      <c r="G20" s="11">
        <f t="shared" si="4"/>
        <v>139712</v>
      </c>
      <c r="H20" s="11">
        <f t="shared" si="5"/>
        <v>1285888</v>
      </c>
      <c r="I20" s="61">
        <f t="shared" si="16"/>
        <v>0.53152201957415701</v>
      </c>
      <c r="J20" s="61">
        <f t="shared" si="7"/>
        <v>27362.753567677602</v>
      </c>
      <c r="K20" s="94">
        <f t="shared" si="18"/>
        <v>0.7</v>
      </c>
      <c r="L20" s="61">
        <f t="shared" si="8"/>
        <v>4054.3999999999996</v>
      </c>
      <c r="M20" s="61">
        <f t="shared" si="9"/>
        <v>23308.353567677601</v>
      </c>
      <c r="N20" s="61">
        <f t="shared" si="15"/>
        <v>1.105</v>
      </c>
      <c r="O20" s="61">
        <f t="shared" si="10"/>
        <v>6400.16</v>
      </c>
      <c r="P20" s="79">
        <f t="shared" si="11"/>
        <v>0.36651583710407243</v>
      </c>
      <c r="Q20" s="79">
        <f t="shared" si="12"/>
        <v>0.51898459767044613</v>
      </c>
      <c r="R20" s="95">
        <f t="shared" si="13"/>
        <v>56885.4</v>
      </c>
      <c r="S20" s="95">
        <f t="shared" si="14"/>
        <v>6400.16</v>
      </c>
      <c r="T20" s="62">
        <f t="shared" si="0"/>
        <v>0.40500000000000003</v>
      </c>
      <c r="U20" s="61">
        <f t="shared" si="19"/>
        <v>2345.7600000000002</v>
      </c>
    </row>
    <row r="21" spans="1:21" x14ac:dyDescent="0.35">
      <c r="A21" s="1">
        <f t="shared" si="17"/>
        <v>46196</v>
      </c>
      <c r="C21" s="11">
        <f>C20</f>
        <v>51480</v>
      </c>
      <c r="D21" s="11">
        <f>'[1]Inventory 0626'!E10*32</f>
        <v>7712</v>
      </c>
      <c r="F21" s="11">
        <f t="shared" si="3"/>
        <v>1477080</v>
      </c>
      <c r="G21" s="11">
        <f t="shared" si="4"/>
        <v>147424</v>
      </c>
      <c r="H21" s="11">
        <f t="shared" si="5"/>
        <v>1329656</v>
      </c>
      <c r="I21" s="61">
        <f t="shared" si="16"/>
        <v>0.53152201957415701</v>
      </c>
      <c r="J21" s="61">
        <f t="shared" si="7"/>
        <v>27362.753567677602</v>
      </c>
      <c r="K21" s="94">
        <f t="shared" si="18"/>
        <v>0.7</v>
      </c>
      <c r="L21" s="61">
        <f t="shared" si="8"/>
        <v>5398.4</v>
      </c>
      <c r="M21" s="61">
        <f t="shared" si="9"/>
        <v>21964.353567677601</v>
      </c>
      <c r="N21" s="61">
        <f t="shared" si="15"/>
        <v>1.105</v>
      </c>
      <c r="O21" s="61">
        <f t="shared" si="10"/>
        <v>8521.76</v>
      </c>
      <c r="P21" s="79">
        <f t="shared" si="11"/>
        <v>0.36651583710407243</v>
      </c>
      <c r="Q21" s="79">
        <f t="shared" si="12"/>
        <v>0.51898459767044613</v>
      </c>
      <c r="R21" s="95">
        <f t="shared" si="13"/>
        <v>56885.4</v>
      </c>
      <c r="S21" s="95">
        <f t="shared" si="14"/>
        <v>8521.76</v>
      </c>
      <c r="T21" s="62">
        <f t="shared" si="0"/>
        <v>0.40500000000000003</v>
      </c>
      <c r="U21" s="61">
        <f t="shared" si="19"/>
        <v>3123.36</v>
      </c>
    </row>
    <row r="22" spans="1:21" x14ac:dyDescent="0.35">
      <c r="A22" s="1">
        <f t="shared" si="17"/>
        <v>46197</v>
      </c>
      <c r="C22" s="11">
        <f>C21</f>
        <v>51480</v>
      </c>
      <c r="D22" s="11">
        <f>'[1]Inventory 0626'!E11*32</f>
        <v>12512</v>
      </c>
      <c r="F22" s="11">
        <f t="shared" si="3"/>
        <v>1528560</v>
      </c>
      <c r="G22" s="11">
        <f t="shared" si="4"/>
        <v>159936</v>
      </c>
      <c r="H22" s="11">
        <f t="shared" si="5"/>
        <v>1368624</v>
      </c>
      <c r="I22" s="61">
        <f t="shared" si="16"/>
        <v>0.53152201957415701</v>
      </c>
      <c r="J22" s="61">
        <f t="shared" si="7"/>
        <v>27362.753567677602</v>
      </c>
      <c r="K22" s="94">
        <f t="shared" si="18"/>
        <v>0.7</v>
      </c>
      <c r="L22" s="61">
        <f t="shared" si="8"/>
        <v>8758.4</v>
      </c>
      <c r="M22" s="61">
        <f t="shared" si="9"/>
        <v>18604.353567677601</v>
      </c>
      <c r="N22" s="61">
        <f t="shared" si="15"/>
        <v>1.105</v>
      </c>
      <c r="O22" s="61">
        <f t="shared" si="10"/>
        <v>13825.76</v>
      </c>
      <c r="P22" s="79">
        <f t="shared" si="11"/>
        <v>0.36651583710407243</v>
      </c>
      <c r="Q22" s="79">
        <f t="shared" si="12"/>
        <v>0.51898459767044613</v>
      </c>
      <c r="R22" s="95">
        <f t="shared" si="13"/>
        <v>56885.4</v>
      </c>
      <c r="S22" s="95">
        <f t="shared" si="14"/>
        <v>13825.76</v>
      </c>
      <c r="T22" s="62">
        <f t="shared" si="0"/>
        <v>0.40500000000000003</v>
      </c>
      <c r="U22" s="61">
        <f t="shared" si="19"/>
        <v>5067.3600000000006</v>
      </c>
    </row>
    <row r="23" spans="1:21" x14ac:dyDescent="0.35">
      <c r="A23" s="1">
        <f t="shared" si="17"/>
        <v>46198</v>
      </c>
      <c r="C23" s="11">
        <f>C22</f>
        <v>51480</v>
      </c>
      <c r="D23" s="11">
        <f>'[1]Inventory 0626'!E12*32</f>
        <v>1920</v>
      </c>
      <c r="F23" s="11">
        <f t="shared" si="3"/>
        <v>1580040</v>
      </c>
      <c r="G23" s="11">
        <f t="shared" si="4"/>
        <v>161856</v>
      </c>
      <c r="H23" s="11">
        <f t="shared" si="5"/>
        <v>1418184</v>
      </c>
      <c r="I23" s="61">
        <f t="shared" si="16"/>
        <v>0.53152201957415701</v>
      </c>
      <c r="J23" s="61">
        <f t="shared" si="7"/>
        <v>27362.753567677602</v>
      </c>
      <c r="K23" s="94">
        <f t="shared" si="18"/>
        <v>0.7</v>
      </c>
      <c r="L23" s="61">
        <f t="shared" si="8"/>
        <v>1344</v>
      </c>
      <c r="M23" s="61">
        <f t="shared" si="9"/>
        <v>26018.753567677602</v>
      </c>
      <c r="N23" s="61">
        <f t="shared" si="15"/>
        <v>1.105</v>
      </c>
      <c r="O23" s="61">
        <f t="shared" si="10"/>
        <v>2121.6</v>
      </c>
      <c r="P23" s="79">
        <f t="shared" si="11"/>
        <v>0.36651583710407243</v>
      </c>
      <c r="Q23" s="79">
        <f t="shared" si="12"/>
        <v>0.51898459767044613</v>
      </c>
      <c r="R23" s="95">
        <f t="shared" si="13"/>
        <v>56885.4</v>
      </c>
      <c r="S23" s="95">
        <f t="shared" si="14"/>
        <v>2121.6</v>
      </c>
      <c r="T23" s="62">
        <f t="shared" si="0"/>
        <v>0.40500000000000003</v>
      </c>
      <c r="U23" s="61">
        <f t="shared" si="19"/>
        <v>777.6</v>
      </c>
    </row>
    <row r="24" spans="1:21" x14ac:dyDescent="0.35">
      <c r="A24" s="1">
        <f t="shared" si="17"/>
        <v>46199</v>
      </c>
      <c r="C24" s="11">
        <v>0</v>
      </c>
      <c r="F24" s="11">
        <f t="shared" si="3"/>
        <v>1580040</v>
      </c>
      <c r="G24" s="11">
        <f t="shared" si="4"/>
        <v>161856</v>
      </c>
      <c r="H24" s="11">
        <f t="shared" si="5"/>
        <v>1418184</v>
      </c>
      <c r="I24" s="61">
        <f t="shared" si="16"/>
        <v>0.53152201957415701</v>
      </c>
      <c r="J24" s="61">
        <f t="shared" si="7"/>
        <v>0</v>
      </c>
      <c r="K24" s="94">
        <f t="shared" si="18"/>
        <v>0.7</v>
      </c>
      <c r="L24" s="61">
        <f t="shared" si="8"/>
        <v>0</v>
      </c>
      <c r="M24" s="61">
        <f t="shared" si="9"/>
        <v>0</v>
      </c>
      <c r="N24" s="61">
        <f t="shared" si="15"/>
        <v>1.105</v>
      </c>
      <c r="O24" s="61">
        <f t="shared" si="10"/>
        <v>0</v>
      </c>
      <c r="P24" s="79">
        <f t="shared" si="11"/>
        <v>0.36651583710407243</v>
      </c>
      <c r="Q24" s="79">
        <f t="shared" si="12"/>
        <v>0.51898459767044613</v>
      </c>
      <c r="R24" s="95">
        <f t="shared" si="13"/>
        <v>0</v>
      </c>
      <c r="S24" s="95">
        <f t="shared" si="14"/>
        <v>0</v>
      </c>
      <c r="T24" s="62">
        <f t="shared" si="0"/>
        <v>0.40500000000000003</v>
      </c>
      <c r="U24" s="61">
        <f t="shared" si="19"/>
        <v>0</v>
      </c>
    </row>
    <row r="25" spans="1:21" x14ac:dyDescent="0.35">
      <c r="A25" s="1">
        <f t="shared" si="17"/>
        <v>46200</v>
      </c>
      <c r="C25" s="11">
        <f>B25</f>
        <v>0</v>
      </c>
      <c r="F25" s="11">
        <f t="shared" si="3"/>
        <v>1580040</v>
      </c>
      <c r="G25" s="11">
        <f t="shared" si="4"/>
        <v>161856</v>
      </c>
      <c r="H25" s="11">
        <f t="shared" si="5"/>
        <v>1418184</v>
      </c>
      <c r="I25" s="61">
        <f t="shared" si="16"/>
        <v>0.53152201957415701</v>
      </c>
      <c r="J25" s="61">
        <f t="shared" si="7"/>
        <v>0</v>
      </c>
      <c r="K25" s="94">
        <f t="shared" si="18"/>
        <v>0.7</v>
      </c>
      <c r="L25" s="61">
        <f t="shared" si="8"/>
        <v>0</v>
      </c>
      <c r="M25" s="61">
        <f t="shared" si="9"/>
        <v>0</v>
      </c>
      <c r="N25" s="61">
        <f t="shared" si="15"/>
        <v>1.105</v>
      </c>
      <c r="O25" s="61">
        <f t="shared" si="10"/>
        <v>0</v>
      </c>
      <c r="P25" s="79">
        <f t="shared" si="11"/>
        <v>0.36651583710407243</v>
      </c>
      <c r="Q25" s="79">
        <f t="shared" si="12"/>
        <v>0.51898459767044613</v>
      </c>
      <c r="R25" s="95">
        <f t="shared" si="13"/>
        <v>0</v>
      </c>
      <c r="S25" s="95">
        <f t="shared" si="14"/>
        <v>0</v>
      </c>
      <c r="T25" s="62">
        <f t="shared" si="0"/>
        <v>0.40500000000000003</v>
      </c>
      <c r="U25" s="61">
        <f t="shared" si="19"/>
        <v>0</v>
      </c>
    </row>
    <row r="26" spans="1:21" x14ac:dyDescent="0.35">
      <c r="A26" s="1">
        <f t="shared" si="17"/>
        <v>46201</v>
      </c>
      <c r="B26" s="93" t="s">
        <v>205</v>
      </c>
      <c r="C26" s="11">
        <v>0</v>
      </c>
      <c r="F26" s="11">
        <f t="shared" si="3"/>
        <v>1580040</v>
      </c>
      <c r="G26" s="11">
        <f t="shared" si="4"/>
        <v>161856</v>
      </c>
      <c r="H26" s="11">
        <f t="shared" si="5"/>
        <v>1418184</v>
      </c>
      <c r="I26" s="61">
        <f t="shared" si="16"/>
        <v>0.53152201957415701</v>
      </c>
      <c r="J26" s="61">
        <f t="shared" si="7"/>
        <v>0</v>
      </c>
      <c r="K26" s="94">
        <f t="shared" si="18"/>
        <v>0.7</v>
      </c>
      <c r="L26" s="61">
        <f t="shared" si="8"/>
        <v>0</v>
      </c>
      <c r="M26" s="61">
        <f t="shared" si="9"/>
        <v>0</v>
      </c>
      <c r="N26" s="61">
        <f t="shared" si="15"/>
        <v>1.105</v>
      </c>
      <c r="O26" s="61">
        <f t="shared" si="10"/>
        <v>0</v>
      </c>
      <c r="P26" s="79">
        <f t="shared" si="11"/>
        <v>0.36651583710407243</v>
      </c>
      <c r="Q26" s="79">
        <f t="shared" si="12"/>
        <v>0.51898459767044613</v>
      </c>
      <c r="R26" s="95">
        <f t="shared" si="13"/>
        <v>0</v>
      </c>
      <c r="S26" s="95">
        <f t="shared" si="14"/>
        <v>0</v>
      </c>
      <c r="T26" s="62">
        <f t="shared" si="0"/>
        <v>0.40500000000000003</v>
      </c>
      <c r="U26" s="61">
        <f t="shared" si="19"/>
        <v>0</v>
      </c>
    </row>
    <row r="27" spans="1:21" x14ac:dyDescent="0.35">
      <c r="A27" s="1">
        <f t="shared" si="17"/>
        <v>46202</v>
      </c>
      <c r="C27" s="11">
        <f>C23</f>
        <v>51480</v>
      </c>
      <c r="D27" s="11">
        <v>14304</v>
      </c>
      <c r="F27" s="11">
        <f t="shared" si="3"/>
        <v>1631520</v>
      </c>
      <c r="G27" s="11">
        <f t="shared" si="4"/>
        <v>176160</v>
      </c>
      <c r="H27" s="11">
        <f t="shared" si="5"/>
        <v>1455360</v>
      </c>
      <c r="I27" s="61">
        <f t="shared" si="16"/>
        <v>0.53152201957415701</v>
      </c>
      <c r="J27" s="61">
        <f t="shared" si="7"/>
        <v>27362.753567677602</v>
      </c>
      <c r="K27" s="94">
        <f t="shared" si="18"/>
        <v>0.7</v>
      </c>
      <c r="L27" s="61">
        <f t="shared" si="8"/>
        <v>10012.799999999999</v>
      </c>
      <c r="M27" s="61">
        <f t="shared" si="9"/>
        <v>17349.953567677603</v>
      </c>
      <c r="N27" s="61">
        <f t="shared" si="15"/>
        <v>1.105</v>
      </c>
      <c r="O27" s="61">
        <f t="shared" si="10"/>
        <v>15805.92</v>
      </c>
      <c r="P27" s="79">
        <f t="shared" si="11"/>
        <v>0.36651583710407243</v>
      </c>
      <c r="Q27" s="79">
        <f t="shared" si="12"/>
        <v>0.51898459767044613</v>
      </c>
      <c r="R27" s="95">
        <f t="shared" si="13"/>
        <v>56885.4</v>
      </c>
      <c r="S27" s="95">
        <f t="shared" si="14"/>
        <v>15805.92</v>
      </c>
      <c r="T27" s="62">
        <f t="shared" si="0"/>
        <v>0.40500000000000003</v>
      </c>
      <c r="U27" s="61">
        <f t="shared" si="19"/>
        <v>5793.1200000000008</v>
      </c>
    </row>
    <row r="28" spans="1:21" x14ac:dyDescent="0.35">
      <c r="A28" s="1">
        <f t="shared" si="17"/>
        <v>46203</v>
      </c>
      <c r="C28" s="11">
        <f>C27</f>
        <v>51480</v>
      </c>
      <c r="D28" s="11">
        <v>15104</v>
      </c>
      <c r="F28" s="11">
        <f t="shared" si="3"/>
        <v>1683000</v>
      </c>
      <c r="G28" s="11">
        <f t="shared" si="4"/>
        <v>191264</v>
      </c>
      <c r="H28" s="11">
        <f t="shared" si="5"/>
        <v>1491736</v>
      </c>
      <c r="I28" s="61">
        <f t="shared" si="16"/>
        <v>0.53152201957415701</v>
      </c>
      <c r="J28" s="61">
        <f t="shared" si="7"/>
        <v>27362.753567677602</v>
      </c>
      <c r="K28" s="94">
        <f t="shared" si="18"/>
        <v>0.7</v>
      </c>
      <c r="L28" s="61">
        <f t="shared" si="8"/>
        <v>10572.8</v>
      </c>
      <c r="M28" s="61">
        <f t="shared" si="9"/>
        <v>16789.953567677603</v>
      </c>
      <c r="N28" s="61">
        <f t="shared" si="15"/>
        <v>1.105</v>
      </c>
      <c r="O28" s="61">
        <f t="shared" si="10"/>
        <v>16689.919999999998</v>
      </c>
      <c r="P28" s="79">
        <f t="shared" si="11"/>
        <v>0.36651583710407243</v>
      </c>
      <c r="Q28" s="79">
        <f t="shared" si="12"/>
        <v>0.51898459767044613</v>
      </c>
      <c r="R28" s="95">
        <f t="shared" si="13"/>
        <v>56885.4</v>
      </c>
      <c r="S28" s="95">
        <f t="shared" si="14"/>
        <v>16689.919999999998</v>
      </c>
      <c r="T28" s="62">
        <f t="shared" si="0"/>
        <v>0.40500000000000003</v>
      </c>
      <c r="U28" s="61">
        <f t="shared" si="19"/>
        <v>6117.1200000000008</v>
      </c>
    </row>
    <row r="29" spans="1:21" x14ac:dyDescent="0.35">
      <c r="A29" s="1">
        <f t="shared" si="17"/>
        <v>46204</v>
      </c>
      <c r="C29" s="11">
        <f>'[1]Ramp Plan'!V82/18</f>
        <v>101887.5</v>
      </c>
      <c r="D29" s="11">
        <v>11392</v>
      </c>
      <c r="F29" s="11">
        <f t="shared" si="3"/>
        <v>1784887.5</v>
      </c>
      <c r="G29" s="11">
        <f t="shared" si="4"/>
        <v>202656</v>
      </c>
      <c r="H29" s="11">
        <f t="shared" si="5"/>
        <v>1582231.5</v>
      </c>
      <c r="I29" s="61">
        <f>'[1]Ramp Plan'!V163</f>
        <v>0.48583115845251479</v>
      </c>
      <c r="J29" s="61">
        <f t="shared" si="7"/>
        <v>49500.122156830599</v>
      </c>
      <c r="K29" s="94">
        <f t="shared" si="18"/>
        <v>0.7</v>
      </c>
      <c r="L29" s="61">
        <f t="shared" si="8"/>
        <v>7974.4</v>
      </c>
      <c r="M29" s="61">
        <f t="shared" si="9"/>
        <v>41525.722156830598</v>
      </c>
      <c r="N29" s="61">
        <f t="shared" si="15"/>
        <v>1.105</v>
      </c>
      <c r="O29" s="61">
        <f t="shared" si="10"/>
        <v>12588.16</v>
      </c>
      <c r="P29" s="79">
        <f t="shared" si="11"/>
        <v>0.36651583710407243</v>
      </c>
      <c r="Q29" s="79">
        <f t="shared" si="12"/>
        <v>0.5603337932556427</v>
      </c>
      <c r="R29" s="95">
        <f t="shared" si="13"/>
        <v>112585.6875</v>
      </c>
      <c r="S29" s="95">
        <f t="shared" si="14"/>
        <v>12588.16</v>
      </c>
      <c r="T29" s="62">
        <f t="shared" si="0"/>
        <v>0.40500000000000003</v>
      </c>
      <c r="U29" s="61">
        <f t="shared" si="19"/>
        <v>4613.76</v>
      </c>
    </row>
    <row r="30" spans="1:21" x14ac:dyDescent="0.35">
      <c r="A30" s="1">
        <f t="shared" si="17"/>
        <v>46205</v>
      </c>
      <c r="C30" s="11">
        <f>C29</f>
        <v>101887.5</v>
      </c>
      <c r="D30" s="11">
        <v>17504</v>
      </c>
      <c r="F30" s="11">
        <f t="shared" si="3"/>
        <v>1886775</v>
      </c>
      <c r="G30" s="11">
        <f t="shared" si="4"/>
        <v>220160</v>
      </c>
      <c r="H30" s="11">
        <f t="shared" si="5"/>
        <v>1666615</v>
      </c>
      <c r="I30" s="61">
        <f t="shared" ref="I30:I59" si="20">I29</f>
        <v>0.48583115845251479</v>
      </c>
      <c r="J30" s="61">
        <f t="shared" si="7"/>
        <v>49500.122156830599</v>
      </c>
      <c r="K30" s="94">
        <f t="shared" si="18"/>
        <v>0.7</v>
      </c>
      <c r="L30" s="61">
        <f t="shared" si="8"/>
        <v>12252.8</v>
      </c>
      <c r="M30" s="61">
        <f t="shared" si="9"/>
        <v>37247.322156830603</v>
      </c>
      <c r="N30" s="61">
        <f t="shared" si="15"/>
        <v>1.105</v>
      </c>
      <c r="O30" s="61">
        <f t="shared" si="10"/>
        <v>19341.919999999998</v>
      </c>
      <c r="P30" s="79">
        <f t="shared" si="11"/>
        <v>0.36651583710407243</v>
      </c>
      <c r="Q30" s="79">
        <f t="shared" si="12"/>
        <v>0.5603337932556427</v>
      </c>
      <c r="R30" s="95">
        <f t="shared" si="13"/>
        <v>112585.6875</v>
      </c>
      <c r="S30" s="95">
        <f t="shared" si="14"/>
        <v>19341.919999999998</v>
      </c>
      <c r="T30" s="62">
        <f t="shared" si="0"/>
        <v>0.40500000000000003</v>
      </c>
      <c r="U30" s="61">
        <f t="shared" si="19"/>
        <v>7089.1200000000008</v>
      </c>
    </row>
    <row r="31" spans="1:21" x14ac:dyDescent="0.35">
      <c r="A31" s="1">
        <f t="shared" si="17"/>
        <v>46206</v>
      </c>
      <c r="C31" s="11">
        <v>0</v>
      </c>
      <c r="F31" s="11">
        <f t="shared" si="3"/>
        <v>1886775</v>
      </c>
      <c r="G31" s="11">
        <f t="shared" si="4"/>
        <v>220160</v>
      </c>
      <c r="H31" s="11">
        <f t="shared" si="5"/>
        <v>1666615</v>
      </c>
      <c r="I31" s="61">
        <f t="shared" si="20"/>
        <v>0.48583115845251479</v>
      </c>
      <c r="J31" s="61">
        <f t="shared" si="7"/>
        <v>0</v>
      </c>
      <c r="K31" s="94">
        <f t="shared" si="18"/>
        <v>0.7</v>
      </c>
      <c r="L31" s="61">
        <f t="shared" si="8"/>
        <v>0</v>
      </c>
      <c r="M31" s="61">
        <f t="shared" si="9"/>
        <v>0</v>
      </c>
      <c r="N31" s="61">
        <f t="shared" si="15"/>
        <v>1.105</v>
      </c>
      <c r="O31" s="61">
        <f t="shared" si="10"/>
        <v>0</v>
      </c>
      <c r="P31" s="79">
        <f t="shared" si="11"/>
        <v>0.36651583710407243</v>
      </c>
      <c r="Q31" s="79">
        <f t="shared" si="12"/>
        <v>0.5603337932556427</v>
      </c>
      <c r="R31" s="95">
        <f t="shared" si="13"/>
        <v>0</v>
      </c>
      <c r="S31" s="95">
        <f t="shared" si="14"/>
        <v>0</v>
      </c>
      <c r="T31" s="62">
        <f t="shared" si="0"/>
        <v>0.40500000000000003</v>
      </c>
      <c r="U31" s="61">
        <f t="shared" si="19"/>
        <v>0</v>
      </c>
    </row>
    <row r="32" spans="1:21" x14ac:dyDescent="0.35">
      <c r="A32" s="1">
        <f t="shared" si="17"/>
        <v>46207</v>
      </c>
      <c r="C32" s="11">
        <f>B32</f>
        <v>0</v>
      </c>
      <c r="F32" s="11">
        <f t="shared" si="3"/>
        <v>1886775</v>
      </c>
      <c r="G32" s="11">
        <f t="shared" si="4"/>
        <v>220160</v>
      </c>
      <c r="H32" s="11">
        <f t="shared" si="5"/>
        <v>1666615</v>
      </c>
      <c r="I32" s="61">
        <f t="shared" si="20"/>
        <v>0.48583115845251479</v>
      </c>
      <c r="J32" s="61">
        <f t="shared" si="7"/>
        <v>0</v>
      </c>
      <c r="K32" s="94">
        <f t="shared" si="18"/>
        <v>0.7</v>
      </c>
      <c r="L32" s="61">
        <f t="shared" si="8"/>
        <v>0</v>
      </c>
      <c r="M32" s="61">
        <f t="shared" si="9"/>
        <v>0</v>
      </c>
      <c r="N32" s="61">
        <f t="shared" si="15"/>
        <v>1.105</v>
      </c>
      <c r="O32" s="61">
        <f t="shared" si="10"/>
        <v>0</v>
      </c>
      <c r="P32" s="79">
        <f t="shared" si="11"/>
        <v>0.36651583710407243</v>
      </c>
      <c r="Q32" s="79">
        <f t="shared" si="12"/>
        <v>0.5603337932556427</v>
      </c>
      <c r="R32" s="95">
        <f t="shared" si="13"/>
        <v>0</v>
      </c>
      <c r="S32" s="95">
        <f t="shared" si="14"/>
        <v>0</v>
      </c>
      <c r="T32" s="62">
        <f t="shared" si="0"/>
        <v>0.40500000000000003</v>
      </c>
      <c r="U32" s="61">
        <f t="shared" si="19"/>
        <v>0</v>
      </c>
    </row>
    <row r="33" spans="1:21" x14ac:dyDescent="0.35">
      <c r="A33" s="1">
        <f t="shared" si="17"/>
        <v>46208</v>
      </c>
      <c r="B33" s="93" t="s">
        <v>205</v>
      </c>
      <c r="C33" s="11">
        <v>0</v>
      </c>
      <c r="F33" s="11">
        <f t="shared" si="3"/>
        <v>1886775</v>
      </c>
      <c r="G33" s="11">
        <f t="shared" si="4"/>
        <v>220160</v>
      </c>
      <c r="H33" s="11">
        <f t="shared" si="5"/>
        <v>1666615</v>
      </c>
      <c r="I33" s="61">
        <f t="shared" si="20"/>
        <v>0.48583115845251479</v>
      </c>
      <c r="J33" s="61">
        <f t="shared" si="7"/>
        <v>0</v>
      </c>
      <c r="K33" s="94">
        <f t="shared" si="18"/>
        <v>0.7</v>
      </c>
      <c r="L33" s="61">
        <f t="shared" si="8"/>
        <v>0</v>
      </c>
      <c r="M33" s="61">
        <f t="shared" si="9"/>
        <v>0</v>
      </c>
      <c r="N33" s="61">
        <f t="shared" si="15"/>
        <v>1.105</v>
      </c>
      <c r="O33" s="61">
        <f t="shared" si="10"/>
        <v>0</v>
      </c>
      <c r="P33" s="79">
        <f t="shared" si="11"/>
        <v>0.36651583710407243</v>
      </c>
      <c r="Q33" s="79">
        <f t="shared" si="12"/>
        <v>0.5603337932556427</v>
      </c>
      <c r="R33" s="95">
        <f t="shared" si="13"/>
        <v>0</v>
      </c>
      <c r="S33" s="95">
        <f t="shared" si="14"/>
        <v>0</v>
      </c>
      <c r="T33" s="62">
        <f t="shared" si="0"/>
        <v>0.40500000000000003</v>
      </c>
      <c r="U33" s="61">
        <f t="shared" si="19"/>
        <v>0</v>
      </c>
    </row>
    <row r="34" spans="1:21" x14ac:dyDescent="0.35">
      <c r="A34" s="1">
        <f t="shared" si="17"/>
        <v>46209</v>
      </c>
      <c r="C34" s="11">
        <f>C30</f>
        <v>101887.5</v>
      </c>
      <c r="D34" s="11">
        <v>8470</v>
      </c>
      <c r="F34" s="11">
        <f t="shared" si="3"/>
        <v>1988662.5</v>
      </c>
      <c r="G34" s="11">
        <f t="shared" si="4"/>
        <v>228630</v>
      </c>
      <c r="H34" s="11">
        <f t="shared" si="5"/>
        <v>1760032.5</v>
      </c>
      <c r="I34" s="61">
        <f t="shared" si="20"/>
        <v>0.48583115845251479</v>
      </c>
      <c r="J34" s="61">
        <f t="shared" si="7"/>
        <v>49500.122156830599</v>
      </c>
      <c r="K34" s="94">
        <f t="shared" si="18"/>
        <v>0.7</v>
      </c>
      <c r="L34" s="61">
        <f t="shared" si="8"/>
        <v>5929</v>
      </c>
      <c r="M34" s="61">
        <f t="shared" si="9"/>
        <v>43571.122156830599</v>
      </c>
      <c r="N34" s="61">
        <f t="shared" si="15"/>
        <v>1.105</v>
      </c>
      <c r="O34" s="61">
        <f t="shared" si="10"/>
        <v>9359.35</v>
      </c>
      <c r="P34" s="79">
        <f t="shared" si="11"/>
        <v>0.36651583710407243</v>
      </c>
      <c r="Q34" s="79">
        <f t="shared" si="12"/>
        <v>0.5603337932556427</v>
      </c>
      <c r="R34" s="95">
        <f t="shared" si="13"/>
        <v>112585.6875</v>
      </c>
      <c r="S34" s="95">
        <f t="shared" si="14"/>
        <v>9359.35</v>
      </c>
      <c r="T34" s="62">
        <f t="shared" si="0"/>
        <v>0.40500000000000003</v>
      </c>
      <c r="U34" s="61">
        <f t="shared" si="19"/>
        <v>3430.3500000000004</v>
      </c>
    </row>
    <row r="35" spans="1:21" x14ac:dyDescent="0.35">
      <c r="A35" s="1">
        <f t="shared" si="17"/>
        <v>46210</v>
      </c>
      <c r="C35" s="11">
        <f>C34</f>
        <v>101887.5</v>
      </c>
      <c r="D35" s="11">
        <v>8640</v>
      </c>
      <c r="F35" s="11">
        <f t="shared" si="3"/>
        <v>2090550</v>
      </c>
      <c r="G35" s="11">
        <f t="shared" si="4"/>
        <v>237270</v>
      </c>
      <c r="H35" s="11">
        <f t="shared" si="5"/>
        <v>1853280</v>
      </c>
      <c r="I35" s="61">
        <f t="shared" si="20"/>
        <v>0.48583115845251479</v>
      </c>
      <c r="J35" s="61">
        <f t="shared" si="7"/>
        <v>49500.122156830599</v>
      </c>
      <c r="K35" s="94">
        <f t="shared" si="18"/>
        <v>0.7</v>
      </c>
      <c r="L35" s="61">
        <f t="shared" si="8"/>
        <v>6048</v>
      </c>
      <c r="M35" s="61">
        <f t="shared" si="9"/>
        <v>43452.122156830599</v>
      </c>
      <c r="N35" s="61">
        <f t="shared" si="15"/>
        <v>1.105</v>
      </c>
      <c r="O35" s="61">
        <f t="shared" si="10"/>
        <v>9547.2000000000007</v>
      </c>
      <c r="P35" s="79">
        <f t="shared" si="11"/>
        <v>0.36651583710407243</v>
      </c>
      <c r="Q35" s="79">
        <f t="shared" si="12"/>
        <v>0.5603337932556427</v>
      </c>
      <c r="R35" s="95">
        <f t="shared" si="13"/>
        <v>112585.6875</v>
      </c>
      <c r="S35" s="95">
        <f t="shared" si="14"/>
        <v>9547.2000000000007</v>
      </c>
      <c r="T35" s="62">
        <f t="shared" si="0"/>
        <v>0.40500000000000003</v>
      </c>
      <c r="U35" s="61">
        <f t="shared" si="19"/>
        <v>3499.2000000000003</v>
      </c>
    </row>
    <row r="36" spans="1:21" x14ac:dyDescent="0.35">
      <c r="A36" s="1">
        <f t="shared" si="17"/>
        <v>46211</v>
      </c>
      <c r="C36" s="11">
        <f>C35</f>
        <v>101887.5</v>
      </c>
      <c r="D36" s="11">
        <v>9216</v>
      </c>
      <c r="F36" s="11">
        <f t="shared" si="3"/>
        <v>2192437.5</v>
      </c>
      <c r="G36" s="11">
        <f t="shared" si="4"/>
        <v>246486</v>
      </c>
      <c r="H36" s="11">
        <f t="shared" si="5"/>
        <v>1945951.5</v>
      </c>
      <c r="I36" s="61">
        <f t="shared" si="20"/>
        <v>0.48583115845251479</v>
      </c>
      <c r="J36" s="61">
        <f t="shared" si="7"/>
        <v>49500.122156830599</v>
      </c>
      <c r="K36" s="94">
        <f t="shared" si="18"/>
        <v>0.7</v>
      </c>
      <c r="L36" s="61">
        <f t="shared" si="8"/>
        <v>6451.2</v>
      </c>
      <c r="M36" s="61">
        <f t="shared" si="9"/>
        <v>43048.922156830602</v>
      </c>
      <c r="N36" s="61">
        <f t="shared" si="15"/>
        <v>1.105</v>
      </c>
      <c r="O36" s="61">
        <f t="shared" si="10"/>
        <v>10183.68</v>
      </c>
      <c r="P36" s="79">
        <f t="shared" si="11"/>
        <v>0.36651583710407243</v>
      </c>
      <c r="Q36" s="79">
        <f t="shared" si="12"/>
        <v>0.5603337932556427</v>
      </c>
      <c r="R36" s="95">
        <f t="shared" si="13"/>
        <v>112585.6875</v>
      </c>
      <c r="S36" s="95">
        <f t="shared" si="14"/>
        <v>10183.68</v>
      </c>
      <c r="T36" s="62">
        <f t="shared" si="0"/>
        <v>0.40500000000000003</v>
      </c>
      <c r="U36" s="61">
        <f t="shared" si="19"/>
        <v>3732.4800000000005</v>
      </c>
    </row>
    <row r="37" spans="1:21" x14ac:dyDescent="0.35">
      <c r="A37" s="1">
        <f t="shared" si="17"/>
        <v>46212</v>
      </c>
      <c r="C37" s="11">
        <f>C36</f>
        <v>101887.5</v>
      </c>
      <c r="D37" s="11">
        <v>26775</v>
      </c>
      <c r="F37" s="11">
        <f t="shared" si="3"/>
        <v>2294325</v>
      </c>
      <c r="G37" s="11">
        <f t="shared" si="4"/>
        <v>273261</v>
      </c>
      <c r="H37" s="11">
        <f t="shared" si="5"/>
        <v>2021064</v>
      </c>
      <c r="I37" s="61">
        <f t="shared" si="20"/>
        <v>0.48583115845251479</v>
      </c>
      <c r="J37" s="61">
        <f t="shared" si="7"/>
        <v>49500.122156830599</v>
      </c>
      <c r="K37" s="94">
        <f t="shared" si="18"/>
        <v>0.7</v>
      </c>
      <c r="L37" s="61">
        <f t="shared" si="8"/>
        <v>18742.5</v>
      </c>
      <c r="M37" s="61">
        <f t="shared" si="9"/>
        <v>30757.622156830599</v>
      </c>
      <c r="N37" s="61">
        <f t="shared" si="15"/>
        <v>1.105</v>
      </c>
      <c r="O37" s="61">
        <f t="shared" si="10"/>
        <v>29586.375</v>
      </c>
      <c r="P37" s="79">
        <f t="shared" si="11"/>
        <v>0.36651583710407243</v>
      </c>
      <c r="Q37" s="79">
        <f t="shared" si="12"/>
        <v>0.5603337932556427</v>
      </c>
      <c r="R37" s="95">
        <f t="shared" si="13"/>
        <v>112585.6875</v>
      </c>
      <c r="S37" s="95">
        <f t="shared" si="14"/>
        <v>29586.375</v>
      </c>
      <c r="T37" s="62">
        <f t="shared" si="0"/>
        <v>0.40500000000000003</v>
      </c>
      <c r="U37" s="61">
        <f t="shared" si="19"/>
        <v>10843.875</v>
      </c>
    </row>
    <row r="38" spans="1:21" x14ac:dyDescent="0.35">
      <c r="A38" s="1">
        <f t="shared" si="17"/>
        <v>46213</v>
      </c>
      <c r="C38" s="11">
        <v>0</v>
      </c>
      <c r="E38" s="11">
        <v>0</v>
      </c>
      <c r="F38" s="11">
        <f t="shared" si="3"/>
        <v>2294325</v>
      </c>
      <c r="G38" s="11">
        <f t="shared" si="4"/>
        <v>273261</v>
      </c>
      <c r="H38" s="11">
        <f t="shared" si="5"/>
        <v>2021064</v>
      </c>
      <c r="I38" s="61">
        <f t="shared" si="20"/>
        <v>0.48583115845251479</v>
      </c>
      <c r="J38" s="61">
        <f t="shared" si="7"/>
        <v>0</v>
      </c>
      <c r="K38" s="94">
        <f t="shared" si="18"/>
        <v>0.7</v>
      </c>
      <c r="L38" s="61">
        <f t="shared" si="8"/>
        <v>0</v>
      </c>
      <c r="M38" s="61">
        <f t="shared" si="9"/>
        <v>0</v>
      </c>
      <c r="N38" s="61">
        <f t="shared" si="15"/>
        <v>1.105</v>
      </c>
      <c r="O38" s="61">
        <f t="shared" si="10"/>
        <v>0</v>
      </c>
      <c r="P38" s="79">
        <f t="shared" si="11"/>
        <v>0.36651583710407243</v>
      </c>
      <c r="Q38" s="79">
        <f t="shared" si="12"/>
        <v>0.5603337932556427</v>
      </c>
      <c r="R38" s="95">
        <f t="shared" si="13"/>
        <v>0</v>
      </c>
      <c r="S38" s="95">
        <f t="shared" si="14"/>
        <v>0</v>
      </c>
      <c r="T38" s="62">
        <f t="shared" si="0"/>
        <v>0.40500000000000003</v>
      </c>
      <c r="U38" s="61">
        <f t="shared" si="19"/>
        <v>0</v>
      </c>
    </row>
    <row r="39" spans="1:21" x14ac:dyDescent="0.35">
      <c r="A39" s="1">
        <f t="shared" si="17"/>
        <v>46214</v>
      </c>
      <c r="C39" s="11">
        <f>B39</f>
        <v>0</v>
      </c>
      <c r="F39" s="11">
        <f t="shared" si="3"/>
        <v>2294325</v>
      </c>
      <c r="G39" s="11">
        <f t="shared" si="4"/>
        <v>273261</v>
      </c>
      <c r="H39" s="11">
        <f t="shared" si="5"/>
        <v>2021064</v>
      </c>
      <c r="I39" s="61">
        <f t="shared" si="20"/>
        <v>0.48583115845251479</v>
      </c>
      <c r="J39" s="61">
        <f t="shared" si="7"/>
        <v>0</v>
      </c>
      <c r="K39" s="94">
        <f t="shared" si="18"/>
        <v>0.7</v>
      </c>
      <c r="L39" s="61">
        <f t="shared" si="8"/>
        <v>0</v>
      </c>
      <c r="M39" s="61">
        <f t="shared" si="9"/>
        <v>0</v>
      </c>
      <c r="N39" s="61">
        <f t="shared" si="15"/>
        <v>1.105</v>
      </c>
      <c r="O39" s="61">
        <f t="shared" si="10"/>
        <v>0</v>
      </c>
      <c r="P39" s="79">
        <f t="shared" si="11"/>
        <v>0.36651583710407243</v>
      </c>
      <c r="Q39" s="79">
        <f t="shared" si="12"/>
        <v>0.5603337932556427</v>
      </c>
      <c r="R39" s="95">
        <f t="shared" si="13"/>
        <v>0</v>
      </c>
      <c r="S39" s="95">
        <f t="shared" si="14"/>
        <v>0</v>
      </c>
      <c r="T39" s="62">
        <f t="shared" si="0"/>
        <v>0.40500000000000003</v>
      </c>
      <c r="U39" s="61">
        <f t="shared" si="19"/>
        <v>0</v>
      </c>
    </row>
    <row r="40" spans="1:21" x14ac:dyDescent="0.35">
      <c r="A40" s="1">
        <f t="shared" si="17"/>
        <v>46215</v>
      </c>
      <c r="B40" s="93" t="s">
        <v>205</v>
      </c>
      <c r="C40" s="11">
        <v>0</v>
      </c>
      <c r="F40" s="11">
        <f t="shared" si="3"/>
        <v>2294325</v>
      </c>
      <c r="G40" s="11">
        <f t="shared" si="4"/>
        <v>273261</v>
      </c>
      <c r="H40" s="11">
        <f t="shared" si="5"/>
        <v>2021064</v>
      </c>
      <c r="I40" s="61">
        <f t="shared" si="20"/>
        <v>0.48583115845251479</v>
      </c>
      <c r="J40" s="61">
        <f t="shared" si="7"/>
        <v>0</v>
      </c>
      <c r="K40" s="94">
        <f t="shared" si="18"/>
        <v>0.7</v>
      </c>
      <c r="L40" s="61">
        <f t="shared" si="8"/>
        <v>0</v>
      </c>
      <c r="M40" s="61">
        <f t="shared" si="9"/>
        <v>0</v>
      </c>
      <c r="N40" s="61">
        <f t="shared" si="15"/>
        <v>1.105</v>
      </c>
      <c r="O40" s="61">
        <f t="shared" si="10"/>
        <v>0</v>
      </c>
      <c r="P40" s="79">
        <f t="shared" si="11"/>
        <v>0.36651583710407243</v>
      </c>
      <c r="Q40" s="79">
        <f t="shared" si="12"/>
        <v>0.5603337932556427</v>
      </c>
      <c r="R40" s="95">
        <f t="shared" si="13"/>
        <v>0</v>
      </c>
      <c r="S40" s="95">
        <f t="shared" si="14"/>
        <v>0</v>
      </c>
      <c r="T40" s="62">
        <f t="shared" si="0"/>
        <v>0.40500000000000003</v>
      </c>
      <c r="U40" s="61">
        <f t="shared" si="19"/>
        <v>0</v>
      </c>
    </row>
    <row r="41" spans="1:21" x14ac:dyDescent="0.35">
      <c r="A41" s="1">
        <f t="shared" si="17"/>
        <v>46216</v>
      </c>
      <c r="C41" s="11">
        <f>C37</f>
        <v>101887.5</v>
      </c>
      <c r="D41" s="11">
        <v>10080</v>
      </c>
      <c r="F41" s="11">
        <f t="shared" si="3"/>
        <v>2396212.5</v>
      </c>
      <c r="G41" s="11">
        <f t="shared" si="4"/>
        <v>283341</v>
      </c>
      <c r="H41" s="11">
        <f t="shared" si="5"/>
        <v>2112871.5</v>
      </c>
      <c r="I41" s="61">
        <f t="shared" si="20"/>
        <v>0.48583115845251479</v>
      </c>
      <c r="J41" s="61">
        <f t="shared" si="7"/>
        <v>49500.122156830599</v>
      </c>
      <c r="K41" s="94">
        <f t="shared" si="18"/>
        <v>0.7</v>
      </c>
      <c r="L41" s="61">
        <f t="shared" si="8"/>
        <v>7056</v>
      </c>
      <c r="M41" s="61">
        <f t="shared" si="9"/>
        <v>42444.122156830599</v>
      </c>
      <c r="N41" s="61">
        <f t="shared" si="15"/>
        <v>1.105</v>
      </c>
      <c r="O41" s="61">
        <f t="shared" si="10"/>
        <v>11138.4</v>
      </c>
      <c r="P41" s="79">
        <f t="shared" si="11"/>
        <v>0.36651583710407243</v>
      </c>
      <c r="Q41" s="79">
        <f t="shared" si="12"/>
        <v>0.5603337932556427</v>
      </c>
      <c r="R41" s="95">
        <f t="shared" si="13"/>
        <v>112585.6875</v>
      </c>
      <c r="S41" s="95">
        <f t="shared" si="14"/>
        <v>11138.4</v>
      </c>
      <c r="T41" s="62">
        <f t="shared" si="0"/>
        <v>0.40500000000000003</v>
      </c>
      <c r="U41" s="61">
        <f t="shared" si="19"/>
        <v>4082.4</v>
      </c>
    </row>
    <row r="42" spans="1:21" x14ac:dyDescent="0.35">
      <c r="A42" s="1">
        <f t="shared" si="17"/>
        <v>46217</v>
      </c>
      <c r="C42" s="11">
        <f>C41</f>
        <v>101887.5</v>
      </c>
      <c r="F42" s="11">
        <f t="shared" si="3"/>
        <v>2498100</v>
      </c>
      <c r="G42" s="11">
        <f t="shared" si="4"/>
        <v>283341</v>
      </c>
      <c r="H42" s="11">
        <f t="shared" si="5"/>
        <v>2214759</v>
      </c>
      <c r="I42" s="61">
        <f t="shared" si="20"/>
        <v>0.48583115845251479</v>
      </c>
      <c r="J42" s="61">
        <f t="shared" si="7"/>
        <v>49500.122156830599</v>
      </c>
      <c r="K42" s="94">
        <f t="shared" si="18"/>
        <v>0.7</v>
      </c>
      <c r="L42" s="61">
        <f t="shared" si="8"/>
        <v>0</v>
      </c>
      <c r="M42" s="61">
        <f t="shared" si="9"/>
        <v>49500.122156830599</v>
      </c>
      <c r="N42" s="61">
        <f t="shared" si="15"/>
        <v>1.105</v>
      </c>
      <c r="O42" s="61">
        <f t="shared" si="10"/>
        <v>0</v>
      </c>
      <c r="P42" s="79">
        <f t="shared" si="11"/>
        <v>0.36651583710407243</v>
      </c>
      <c r="Q42" s="79">
        <f t="shared" si="12"/>
        <v>0.5603337932556427</v>
      </c>
      <c r="R42" s="95">
        <f t="shared" si="13"/>
        <v>112585.6875</v>
      </c>
      <c r="S42" s="95">
        <f t="shared" si="14"/>
        <v>0</v>
      </c>
      <c r="T42" s="62">
        <f t="shared" si="0"/>
        <v>0.40500000000000003</v>
      </c>
      <c r="U42" s="61">
        <f t="shared" si="19"/>
        <v>0</v>
      </c>
    </row>
    <row r="43" spans="1:21" x14ac:dyDescent="0.35">
      <c r="A43" s="1">
        <f t="shared" si="17"/>
        <v>46218</v>
      </c>
      <c r="C43" s="11">
        <f>C42</f>
        <v>101887.5</v>
      </c>
      <c r="F43" s="11">
        <f t="shared" si="3"/>
        <v>2599987.5</v>
      </c>
      <c r="G43" s="11">
        <f t="shared" si="4"/>
        <v>283341</v>
      </c>
      <c r="H43" s="11">
        <f t="shared" si="5"/>
        <v>2316646.5</v>
      </c>
      <c r="I43" s="61">
        <f t="shared" si="20"/>
        <v>0.48583115845251479</v>
      </c>
      <c r="J43" s="61">
        <f t="shared" si="7"/>
        <v>49500.122156830599</v>
      </c>
      <c r="K43" s="94">
        <f t="shared" si="18"/>
        <v>0.7</v>
      </c>
      <c r="L43" s="61">
        <f t="shared" si="8"/>
        <v>0</v>
      </c>
      <c r="M43" s="61">
        <f t="shared" si="9"/>
        <v>49500.122156830599</v>
      </c>
      <c r="N43" s="61">
        <f t="shared" si="15"/>
        <v>1.105</v>
      </c>
      <c r="O43" s="61">
        <f t="shared" si="10"/>
        <v>0</v>
      </c>
      <c r="P43" s="79">
        <f t="shared" si="11"/>
        <v>0.36651583710407243</v>
      </c>
      <c r="Q43" s="79">
        <f t="shared" si="12"/>
        <v>0.5603337932556427</v>
      </c>
      <c r="R43" s="95">
        <f t="shared" si="13"/>
        <v>112585.6875</v>
      </c>
      <c r="S43" s="95">
        <f t="shared" si="14"/>
        <v>0</v>
      </c>
      <c r="T43" s="62">
        <f t="shared" si="0"/>
        <v>0.40500000000000003</v>
      </c>
      <c r="U43" s="61">
        <f t="shared" si="19"/>
        <v>0</v>
      </c>
    </row>
    <row r="44" spans="1:21" x14ac:dyDescent="0.35">
      <c r="A44" s="1">
        <f t="shared" si="17"/>
        <v>46219</v>
      </c>
      <c r="C44" s="11">
        <f>C43</f>
        <v>101887.5</v>
      </c>
      <c r="D44" s="11">
        <v>6160</v>
      </c>
      <c r="F44" s="11">
        <f t="shared" si="3"/>
        <v>2701875</v>
      </c>
      <c r="G44" s="11">
        <f t="shared" si="4"/>
        <v>289501</v>
      </c>
      <c r="H44" s="11">
        <f t="shared" si="5"/>
        <v>2412374</v>
      </c>
      <c r="I44" s="61">
        <f t="shared" si="20"/>
        <v>0.48583115845251479</v>
      </c>
      <c r="J44" s="61">
        <f t="shared" si="7"/>
        <v>49500.122156830599</v>
      </c>
      <c r="K44" s="94">
        <f t="shared" si="18"/>
        <v>0.7</v>
      </c>
      <c r="L44" s="61">
        <f t="shared" si="8"/>
        <v>4312</v>
      </c>
      <c r="M44" s="61">
        <f t="shared" si="9"/>
        <v>45188.122156830599</v>
      </c>
      <c r="N44" s="61">
        <f t="shared" si="15"/>
        <v>1.105</v>
      </c>
      <c r="O44" s="61">
        <f t="shared" si="10"/>
        <v>6806.8</v>
      </c>
      <c r="P44" s="79">
        <f t="shared" si="11"/>
        <v>0.36651583710407243</v>
      </c>
      <c r="Q44" s="79">
        <f t="shared" si="12"/>
        <v>0.5603337932556427</v>
      </c>
      <c r="R44" s="95">
        <f t="shared" si="13"/>
        <v>112585.6875</v>
      </c>
      <c r="S44" s="95">
        <f t="shared" si="14"/>
        <v>6806.8</v>
      </c>
      <c r="T44" s="62">
        <f t="shared" si="0"/>
        <v>0.40500000000000003</v>
      </c>
      <c r="U44" s="61">
        <f t="shared" si="19"/>
        <v>2494.8000000000002</v>
      </c>
    </row>
    <row r="45" spans="1:21" x14ac:dyDescent="0.35">
      <c r="A45" s="1">
        <f t="shared" si="17"/>
        <v>46220</v>
      </c>
      <c r="C45" s="11">
        <v>0</v>
      </c>
      <c r="E45" s="11">
        <v>0</v>
      </c>
      <c r="F45" s="11">
        <f t="shared" si="3"/>
        <v>2701875</v>
      </c>
      <c r="G45" s="11">
        <f t="shared" si="4"/>
        <v>289501</v>
      </c>
      <c r="H45" s="11">
        <f t="shared" si="5"/>
        <v>2412374</v>
      </c>
      <c r="I45" s="61">
        <f t="shared" si="20"/>
        <v>0.48583115845251479</v>
      </c>
      <c r="J45" s="61">
        <f t="shared" si="7"/>
        <v>0</v>
      </c>
      <c r="K45" s="94">
        <f t="shared" si="18"/>
        <v>0.7</v>
      </c>
      <c r="L45" s="61">
        <f t="shared" si="8"/>
        <v>0</v>
      </c>
      <c r="M45" s="61">
        <f t="shared" si="9"/>
        <v>0</v>
      </c>
      <c r="N45" s="61">
        <f t="shared" si="15"/>
        <v>1.105</v>
      </c>
      <c r="O45" s="61">
        <f t="shared" si="10"/>
        <v>0</v>
      </c>
      <c r="P45" s="79">
        <f t="shared" si="11"/>
        <v>0.36651583710407243</v>
      </c>
      <c r="Q45" s="79">
        <f t="shared" si="12"/>
        <v>0.5603337932556427</v>
      </c>
      <c r="R45" s="95">
        <f t="shared" si="13"/>
        <v>0</v>
      </c>
      <c r="S45" s="95">
        <f t="shared" si="14"/>
        <v>0</v>
      </c>
      <c r="T45" s="62">
        <f t="shared" si="0"/>
        <v>0.40500000000000003</v>
      </c>
      <c r="U45" s="61">
        <f t="shared" si="19"/>
        <v>0</v>
      </c>
    </row>
    <row r="46" spans="1:21" x14ac:dyDescent="0.35">
      <c r="A46" s="1">
        <f t="shared" si="17"/>
        <v>46221</v>
      </c>
      <c r="C46" s="11">
        <f>B46</f>
        <v>0</v>
      </c>
      <c r="F46" s="11">
        <f t="shared" si="3"/>
        <v>2701875</v>
      </c>
      <c r="G46" s="11">
        <f t="shared" si="4"/>
        <v>289501</v>
      </c>
      <c r="H46" s="11">
        <f t="shared" si="5"/>
        <v>2412374</v>
      </c>
      <c r="I46" s="61">
        <f t="shared" si="20"/>
        <v>0.48583115845251479</v>
      </c>
      <c r="J46" s="61">
        <f t="shared" si="7"/>
        <v>0</v>
      </c>
      <c r="K46" s="94">
        <f t="shared" si="18"/>
        <v>0.7</v>
      </c>
      <c r="L46" s="61">
        <f t="shared" si="8"/>
        <v>0</v>
      </c>
      <c r="M46" s="61">
        <f t="shared" si="9"/>
        <v>0</v>
      </c>
      <c r="N46" s="61">
        <f t="shared" si="15"/>
        <v>1.105</v>
      </c>
      <c r="O46" s="61">
        <f t="shared" si="10"/>
        <v>0</v>
      </c>
      <c r="P46" s="79">
        <f t="shared" si="11"/>
        <v>0.36651583710407243</v>
      </c>
      <c r="Q46" s="79">
        <f t="shared" si="12"/>
        <v>0.5603337932556427</v>
      </c>
      <c r="R46" s="95">
        <f t="shared" si="13"/>
        <v>0</v>
      </c>
      <c r="S46" s="95">
        <f t="shared" si="14"/>
        <v>0</v>
      </c>
      <c r="T46" s="62">
        <f t="shared" si="0"/>
        <v>0.40500000000000003</v>
      </c>
      <c r="U46" s="61">
        <f t="shared" si="19"/>
        <v>0</v>
      </c>
    </row>
    <row r="47" spans="1:21" x14ac:dyDescent="0.35">
      <c r="A47" s="1">
        <f t="shared" si="17"/>
        <v>46222</v>
      </c>
      <c r="B47" s="93" t="s">
        <v>205</v>
      </c>
      <c r="C47" s="11">
        <v>0</v>
      </c>
      <c r="F47" s="11">
        <f t="shared" si="3"/>
        <v>2701875</v>
      </c>
      <c r="G47" s="11">
        <f t="shared" si="4"/>
        <v>289501</v>
      </c>
      <c r="H47" s="11">
        <f t="shared" si="5"/>
        <v>2412374</v>
      </c>
      <c r="I47" s="61">
        <f t="shared" si="20"/>
        <v>0.48583115845251479</v>
      </c>
      <c r="J47" s="61">
        <f t="shared" si="7"/>
        <v>0</v>
      </c>
      <c r="K47" s="94">
        <f t="shared" si="18"/>
        <v>0.7</v>
      </c>
      <c r="L47" s="61">
        <f t="shared" si="8"/>
        <v>0</v>
      </c>
      <c r="M47" s="61">
        <f t="shared" si="9"/>
        <v>0</v>
      </c>
      <c r="N47" s="61">
        <f t="shared" si="15"/>
        <v>1.105</v>
      </c>
      <c r="O47" s="61">
        <f t="shared" si="10"/>
        <v>0</v>
      </c>
      <c r="P47" s="79">
        <f t="shared" si="11"/>
        <v>0.36651583710407243</v>
      </c>
      <c r="Q47" s="79">
        <f t="shared" si="12"/>
        <v>0.5603337932556427</v>
      </c>
      <c r="R47" s="95">
        <f t="shared" si="13"/>
        <v>0</v>
      </c>
      <c r="S47" s="95">
        <f t="shared" si="14"/>
        <v>0</v>
      </c>
      <c r="T47" s="62">
        <f t="shared" si="0"/>
        <v>0.40500000000000003</v>
      </c>
      <c r="U47" s="61">
        <f t="shared" si="19"/>
        <v>0</v>
      </c>
    </row>
    <row r="48" spans="1:21" x14ac:dyDescent="0.35">
      <c r="A48" s="1">
        <f t="shared" si="17"/>
        <v>46223</v>
      </c>
      <c r="C48" s="11">
        <f>C44</f>
        <v>101887.5</v>
      </c>
      <c r="F48" s="11">
        <f t="shared" si="3"/>
        <v>2803762.5</v>
      </c>
      <c r="G48" s="11">
        <f t="shared" si="4"/>
        <v>289501</v>
      </c>
      <c r="H48" s="11">
        <f t="shared" si="5"/>
        <v>2514261.5</v>
      </c>
      <c r="I48" s="61">
        <f t="shared" si="20"/>
        <v>0.48583115845251479</v>
      </c>
      <c r="J48" s="61">
        <f t="shared" si="7"/>
        <v>49500.122156830599</v>
      </c>
      <c r="K48" s="94">
        <f t="shared" si="18"/>
        <v>0.7</v>
      </c>
      <c r="L48" s="61">
        <f t="shared" si="8"/>
        <v>0</v>
      </c>
      <c r="M48" s="61">
        <f t="shared" si="9"/>
        <v>49500.122156830599</v>
      </c>
      <c r="N48" s="61">
        <f t="shared" si="15"/>
        <v>1.105</v>
      </c>
      <c r="O48" s="61">
        <f t="shared" si="10"/>
        <v>0</v>
      </c>
      <c r="P48" s="79">
        <f t="shared" si="11"/>
        <v>0.36651583710407243</v>
      </c>
      <c r="Q48" s="79">
        <f t="shared" si="12"/>
        <v>0.5603337932556427</v>
      </c>
      <c r="R48" s="95">
        <f t="shared" si="13"/>
        <v>112585.6875</v>
      </c>
      <c r="S48" s="95">
        <f t="shared" si="14"/>
        <v>0</v>
      </c>
      <c r="T48" s="62">
        <f t="shared" si="0"/>
        <v>0.40500000000000003</v>
      </c>
      <c r="U48" s="61">
        <f t="shared" si="19"/>
        <v>0</v>
      </c>
    </row>
    <row r="49" spans="1:21" x14ac:dyDescent="0.35">
      <c r="A49" s="1">
        <f t="shared" si="17"/>
        <v>46224</v>
      </c>
      <c r="C49" s="11">
        <f>C48</f>
        <v>101887.5</v>
      </c>
      <c r="D49" s="11">
        <v>21440</v>
      </c>
      <c r="F49" s="11">
        <f t="shared" si="3"/>
        <v>2905650</v>
      </c>
      <c r="G49" s="11">
        <f t="shared" si="4"/>
        <v>310941</v>
      </c>
      <c r="H49" s="11">
        <f t="shared" si="5"/>
        <v>2594709</v>
      </c>
      <c r="I49" s="61">
        <f t="shared" si="20"/>
        <v>0.48583115845251479</v>
      </c>
      <c r="J49" s="61">
        <f t="shared" si="7"/>
        <v>49500.122156830599</v>
      </c>
      <c r="K49" s="94">
        <f t="shared" si="18"/>
        <v>0.7</v>
      </c>
      <c r="L49" s="61">
        <f t="shared" si="8"/>
        <v>15007.999999999998</v>
      </c>
      <c r="M49" s="61">
        <f t="shared" si="9"/>
        <v>34492.122156830599</v>
      </c>
      <c r="N49" s="61">
        <f t="shared" si="15"/>
        <v>1.105</v>
      </c>
      <c r="O49" s="61">
        <f t="shared" si="10"/>
        <v>23691.200000000001</v>
      </c>
      <c r="P49" s="79">
        <f t="shared" si="11"/>
        <v>0.36651583710407243</v>
      </c>
      <c r="Q49" s="79">
        <f t="shared" si="12"/>
        <v>0.5603337932556427</v>
      </c>
      <c r="R49" s="95">
        <f t="shared" si="13"/>
        <v>112585.6875</v>
      </c>
      <c r="S49" s="95">
        <f t="shared" si="14"/>
        <v>23691.200000000001</v>
      </c>
      <c r="T49" s="62">
        <f t="shared" si="0"/>
        <v>0.40500000000000003</v>
      </c>
      <c r="U49" s="61">
        <f t="shared" si="19"/>
        <v>8683.2000000000007</v>
      </c>
    </row>
    <row r="50" spans="1:21" x14ac:dyDescent="0.35">
      <c r="A50" s="1">
        <f t="shared" si="17"/>
        <v>46225</v>
      </c>
      <c r="C50" s="11">
        <f>C49</f>
        <v>101887.5</v>
      </c>
      <c r="D50" s="11">
        <v>32704</v>
      </c>
      <c r="F50" s="11">
        <f t="shared" si="3"/>
        <v>3007537.5</v>
      </c>
      <c r="G50" s="11">
        <f t="shared" si="4"/>
        <v>343645</v>
      </c>
      <c r="H50" s="11">
        <f t="shared" si="5"/>
        <v>2663892.5</v>
      </c>
      <c r="I50" s="61">
        <f t="shared" si="20"/>
        <v>0.48583115845251479</v>
      </c>
      <c r="J50" s="61">
        <f t="shared" si="7"/>
        <v>49500.122156830599</v>
      </c>
      <c r="K50" s="94">
        <f t="shared" si="18"/>
        <v>0.7</v>
      </c>
      <c r="L50" s="61">
        <f t="shared" si="8"/>
        <v>22892.799999999999</v>
      </c>
      <c r="M50" s="61">
        <f t="shared" si="9"/>
        <v>26607.3221568306</v>
      </c>
      <c r="N50" s="61">
        <f t="shared" si="15"/>
        <v>1.105</v>
      </c>
      <c r="O50" s="61">
        <f t="shared" si="10"/>
        <v>36137.919999999998</v>
      </c>
      <c r="P50" s="79">
        <f t="shared" si="11"/>
        <v>0.36651583710407243</v>
      </c>
      <c r="Q50" s="79">
        <f t="shared" si="12"/>
        <v>0.5603337932556427</v>
      </c>
      <c r="R50" s="95">
        <f t="shared" si="13"/>
        <v>112585.6875</v>
      </c>
      <c r="S50" s="95">
        <f t="shared" si="14"/>
        <v>36137.919999999998</v>
      </c>
      <c r="T50" s="62">
        <f t="shared" si="0"/>
        <v>0.40500000000000003</v>
      </c>
      <c r="U50" s="61">
        <f t="shared" si="19"/>
        <v>13245.12</v>
      </c>
    </row>
    <row r="51" spans="1:21" x14ac:dyDescent="0.35">
      <c r="A51" s="1">
        <f t="shared" si="17"/>
        <v>46226</v>
      </c>
      <c r="C51" s="11">
        <f>C50</f>
        <v>101887.5</v>
      </c>
      <c r="D51" s="11">
        <v>24288</v>
      </c>
      <c r="F51" s="11">
        <f t="shared" si="3"/>
        <v>3109425</v>
      </c>
      <c r="G51" s="11">
        <f t="shared" si="4"/>
        <v>367933</v>
      </c>
      <c r="H51" s="11">
        <f t="shared" si="5"/>
        <v>2741492</v>
      </c>
      <c r="I51" s="61">
        <f t="shared" si="20"/>
        <v>0.48583115845251479</v>
      </c>
      <c r="J51" s="61">
        <f t="shared" si="7"/>
        <v>49500.122156830599</v>
      </c>
      <c r="K51" s="94">
        <f t="shared" si="18"/>
        <v>0.7</v>
      </c>
      <c r="L51" s="61">
        <f t="shared" si="8"/>
        <v>17001.599999999999</v>
      </c>
      <c r="M51" s="61">
        <f t="shared" si="9"/>
        <v>32498.522156830601</v>
      </c>
      <c r="N51" s="61">
        <f t="shared" si="15"/>
        <v>1.105</v>
      </c>
      <c r="O51" s="61">
        <f t="shared" si="10"/>
        <v>26838.239999999998</v>
      </c>
      <c r="P51" s="79">
        <f t="shared" si="11"/>
        <v>0.36651583710407243</v>
      </c>
      <c r="Q51" s="79">
        <f t="shared" si="12"/>
        <v>0.5603337932556427</v>
      </c>
      <c r="R51" s="95">
        <f t="shared" si="13"/>
        <v>112585.6875</v>
      </c>
      <c r="S51" s="95">
        <f t="shared" si="14"/>
        <v>26838.239999999998</v>
      </c>
      <c r="T51" s="62">
        <f t="shared" si="0"/>
        <v>0.40500000000000003</v>
      </c>
      <c r="U51" s="61">
        <f t="shared" si="19"/>
        <v>9836.6400000000012</v>
      </c>
    </row>
    <row r="52" spans="1:21" x14ac:dyDescent="0.35">
      <c r="A52" s="1">
        <f t="shared" si="17"/>
        <v>46227</v>
      </c>
      <c r="C52" s="11">
        <v>0</v>
      </c>
      <c r="D52" s="11">
        <v>1888</v>
      </c>
      <c r="E52" s="11">
        <v>0</v>
      </c>
      <c r="F52" s="11">
        <f t="shared" si="3"/>
        <v>3109425</v>
      </c>
      <c r="G52" s="11">
        <f t="shared" si="4"/>
        <v>369821</v>
      </c>
      <c r="H52" s="11">
        <f t="shared" si="5"/>
        <v>2739604</v>
      </c>
      <c r="I52" s="61">
        <f t="shared" si="20"/>
        <v>0.48583115845251479</v>
      </c>
      <c r="J52" s="61">
        <f t="shared" si="7"/>
        <v>0</v>
      </c>
      <c r="K52" s="94">
        <f t="shared" si="18"/>
        <v>0.7</v>
      </c>
      <c r="L52" s="61">
        <f t="shared" si="8"/>
        <v>1321.6</v>
      </c>
      <c r="M52" s="61">
        <f t="shared" si="9"/>
        <v>-1321.6</v>
      </c>
      <c r="N52" s="61">
        <f t="shared" si="15"/>
        <v>1.105</v>
      </c>
      <c r="O52" s="61">
        <f t="shared" si="10"/>
        <v>2086.2399999999998</v>
      </c>
      <c r="P52" s="79">
        <f t="shared" si="11"/>
        <v>0.36651583710407243</v>
      </c>
      <c r="Q52" s="79">
        <f t="shared" si="12"/>
        <v>0.5603337932556427</v>
      </c>
      <c r="R52" s="95">
        <f t="shared" si="13"/>
        <v>0</v>
      </c>
      <c r="S52" s="95">
        <f t="shared" si="14"/>
        <v>2086.2399999999998</v>
      </c>
      <c r="T52" s="62">
        <f t="shared" si="0"/>
        <v>0.40500000000000003</v>
      </c>
      <c r="U52" s="61">
        <f t="shared" si="19"/>
        <v>764.6400000000001</v>
      </c>
    </row>
    <row r="53" spans="1:21" x14ac:dyDescent="0.35">
      <c r="A53" s="1">
        <f t="shared" si="17"/>
        <v>46228</v>
      </c>
      <c r="C53" s="11">
        <f>B53</f>
        <v>0</v>
      </c>
      <c r="F53" s="11">
        <f t="shared" si="3"/>
        <v>3109425</v>
      </c>
      <c r="G53" s="11">
        <f t="shared" si="4"/>
        <v>369821</v>
      </c>
      <c r="H53" s="11">
        <f t="shared" si="5"/>
        <v>2739604</v>
      </c>
      <c r="I53" s="61">
        <f t="shared" si="20"/>
        <v>0.48583115845251479</v>
      </c>
      <c r="J53" s="61">
        <f t="shared" si="7"/>
        <v>0</v>
      </c>
      <c r="K53" s="94">
        <f t="shared" si="18"/>
        <v>0.7</v>
      </c>
      <c r="L53" s="61">
        <f t="shared" si="8"/>
        <v>0</v>
      </c>
      <c r="M53" s="61">
        <f t="shared" si="9"/>
        <v>0</v>
      </c>
      <c r="N53" s="61">
        <f t="shared" si="15"/>
        <v>1.105</v>
      </c>
      <c r="O53" s="61">
        <f t="shared" si="10"/>
        <v>0</v>
      </c>
      <c r="P53" s="79">
        <f t="shared" si="11"/>
        <v>0.36651583710407243</v>
      </c>
      <c r="Q53" s="79">
        <f t="shared" si="12"/>
        <v>0.5603337932556427</v>
      </c>
      <c r="R53" s="95">
        <f t="shared" si="13"/>
        <v>0</v>
      </c>
      <c r="S53" s="95">
        <f t="shared" si="14"/>
        <v>0</v>
      </c>
      <c r="T53" s="62">
        <f t="shared" si="0"/>
        <v>0.40500000000000003</v>
      </c>
      <c r="U53" s="61">
        <f t="shared" si="19"/>
        <v>0</v>
      </c>
    </row>
    <row r="54" spans="1:21" x14ac:dyDescent="0.35">
      <c r="A54" s="1">
        <f t="shared" si="17"/>
        <v>46229</v>
      </c>
      <c r="B54" s="93" t="s">
        <v>205</v>
      </c>
      <c r="C54" s="11">
        <v>0</v>
      </c>
      <c r="F54" s="11">
        <f t="shared" si="3"/>
        <v>3109425</v>
      </c>
      <c r="G54" s="11">
        <f t="shared" si="4"/>
        <v>369821</v>
      </c>
      <c r="H54" s="11">
        <f t="shared" si="5"/>
        <v>2739604</v>
      </c>
      <c r="I54" s="61">
        <f t="shared" si="20"/>
        <v>0.48583115845251479</v>
      </c>
      <c r="J54" s="61">
        <f t="shared" si="7"/>
        <v>0</v>
      </c>
      <c r="K54" s="94">
        <f t="shared" si="18"/>
        <v>0.7</v>
      </c>
      <c r="L54" s="61">
        <f t="shared" si="8"/>
        <v>0</v>
      </c>
      <c r="M54" s="61">
        <f t="shared" si="9"/>
        <v>0</v>
      </c>
      <c r="N54" s="61">
        <f t="shared" si="15"/>
        <v>1.105</v>
      </c>
      <c r="O54" s="61">
        <f t="shared" si="10"/>
        <v>0</v>
      </c>
      <c r="P54" s="79">
        <f t="shared" si="11"/>
        <v>0.36651583710407243</v>
      </c>
      <c r="Q54" s="79">
        <f t="shared" si="12"/>
        <v>0.5603337932556427</v>
      </c>
      <c r="R54" s="95">
        <f t="shared" si="13"/>
        <v>0</v>
      </c>
      <c r="S54" s="95">
        <f t="shared" si="14"/>
        <v>0</v>
      </c>
      <c r="T54" s="62">
        <f t="shared" si="0"/>
        <v>0.40500000000000003</v>
      </c>
      <c r="U54" s="61">
        <f t="shared" si="19"/>
        <v>0</v>
      </c>
    </row>
    <row r="55" spans="1:21" x14ac:dyDescent="0.35">
      <c r="A55" s="1">
        <f t="shared" si="17"/>
        <v>46230</v>
      </c>
      <c r="C55" s="11">
        <f>C51</f>
        <v>101887.5</v>
      </c>
      <c r="D55" s="11">
        <v>19392</v>
      </c>
      <c r="F55" s="11">
        <f t="shared" si="3"/>
        <v>3211312.5</v>
      </c>
      <c r="G55" s="11">
        <f t="shared" si="4"/>
        <v>389213</v>
      </c>
      <c r="H55" s="11">
        <f t="shared" si="5"/>
        <v>2822099.5</v>
      </c>
      <c r="I55" s="61">
        <f t="shared" si="20"/>
        <v>0.48583115845251479</v>
      </c>
      <c r="J55" s="61">
        <f t="shared" si="7"/>
        <v>49500.122156830599</v>
      </c>
      <c r="K55" s="94">
        <f t="shared" si="18"/>
        <v>0.7</v>
      </c>
      <c r="L55" s="61">
        <f t="shared" si="8"/>
        <v>13574.4</v>
      </c>
      <c r="M55" s="61">
        <f t="shared" si="9"/>
        <v>35925.722156830598</v>
      </c>
      <c r="N55" s="61">
        <f t="shared" si="15"/>
        <v>1.105</v>
      </c>
      <c r="O55" s="61">
        <f t="shared" si="10"/>
        <v>21428.16</v>
      </c>
      <c r="P55" s="79">
        <f t="shared" si="11"/>
        <v>0.36651583710407243</v>
      </c>
      <c r="Q55" s="79">
        <f t="shared" si="12"/>
        <v>0.5603337932556427</v>
      </c>
      <c r="R55" s="95">
        <f t="shared" si="13"/>
        <v>112585.6875</v>
      </c>
      <c r="S55" s="95">
        <f t="shared" si="14"/>
        <v>21428.16</v>
      </c>
      <c r="T55" s="62">
        <f t="shared" si="0"/>
        <v>0.40500000000000003</v>
      </c>
      <c r="U55" s="61">
        <f t="shared" si="19"/>
        <v>7853.76</v>
      </c>
    </row>
    <row r="56" spans="1:21" x14ac:dyDescent="0.35">
      <c r="A56" s="1">
        <f t="shared" si="17"/>
        <v>46231</v>
      </c>
      <c r="C56" s="11">
        <f>C55</f>
        <v>101887.5</v>
      </c>
      <c r="D56" s="11">
        <v>26944</v>
      </c>
      <c r="E56" s="11">
        <f>E55</f>
        <v>0</v>
      </c>
      <c r="F56" s="11">
        <f t="shared" si="3"/>
        <v>3313200</v>
      </c>
      <c r="G56" s="11">
        <f t="shared" si="4"/>
        <v>416157</v>
      </c>
      <c r="H56" s="11">
        <f t="shared" si="5"/>
        <v>2897043</v>
      </c>
      <c r="I56" s="61">
        <f t="shared" si="20"/>
        <v>0.48583115845251479</v>
      </c>
      <c r="J56" s="61">
        <f t="shared" si="7"/>
        <v>49500.122156830599</v>
      </c>
      <c r="K56" s="94">
        <f t="shared" si="18"/>
        <v>0.7</v>
      </c>
      <c r="L56" s="61">
        <f t="shared" si="8"/>
        <v>18860.8</v>
      </c>
      <c r="M56" s="61">
        <f t="shared" si="9"/>
        <v>30639.3221568306</v>
      </c>
      <c r="N56" s="61">
        <f t="shared" si="15"/>
        <v>1.105</v>
      </c>
      <c r="O56" s="61">
        <f t="shared" si="10"/>
        <v>29773.119999999999</v>
      </c>
      <c r="P56" s="79">
        <f t="shared" si="11"/>
        <v>0.36651583710407243</v>
      </c>
      <c r="Q56" s="79">
        <f t="shared" si="12"/>
        <v>0.5603337932556427</v>
      </c>
      <c r="R56" s="95">
        <f t="shared" si="13"/>
        <v>112585.6875</v>
      </c>
      <c r="S56" s="95">
        <f t="shared" si="14"/>
        <v>29773.119999999999</v>
      </c>
      <c r="T56" s="62">
        <f t="shared" si="0"/>
        <v>0.40500000000000003</v>
      </c>
      <c r="U56" s="61">
        <f t="shared" si="19"/>
        <v>10912.320000000002</v>
      </c>
    </row>
    <row r="57" spans="1:21" x14ac:dyDescent="0.35">
      <c r="A57" s="1">
        <f t="shared" si="17"/>
        <v>46232</v>
      </c>
      <c r="C57" s="11">
        <f>C56</f>
        <v>101887.5</v>
      </c>
      <c r="D57" s="11">
        <v>8512</v>
      </c>
      <c r="E57" s="11">
        <f>E56</f>
        <v>0</v>
      </c>
      <c r="F57" s="11">
        <f t="shared" si="3"/>
        <v>3415087.5</v>
      </c>
      <c r="G57" s="11">
        <f t="shared" si="4"/>
        <v>424669</v>
      </c>
      <c r="H57" s="11">
        <f t="shared" si="5"/>
        <v>2990418.5</v>
      </c>
      <c r="I57" s="61">
        <f t="shared" si="20"/>
        <v>0.48583115845251479</v>
      </c>
      <c r="J57" s="61">
        <f t="shared" si="7"/>
        <v>49500.122156830599</v>
      </c>
      <c r="K57" s="94">
        <f t="shared" si="18"/>
        <v>0.7</v>
      </c>
      <c r="L57" s="61">
        <f t="shared" si="8"/>
        <v>5958.4</v>
      </c>
      <c r="M57" s="61">
        <f t="shared" si="9"/>
        <v>43541.722156830598</v>
      </c>
      <c r="N57" s="61">
        <f t="shared" si="15"/>
        <v>1.105</v>
      </c>
      <c r="O57" s="61">
        <f t="shared" si="10"/>
        <v>9405.76</v>
      </c>
      <c r="P57" s="79">
        <f t="shared" si="11"/>
        <v>0.36651583710407243</v>
      </c>
      <c r="Q57" s="79">
        <f t="shared" si="12"/>
        <v>0.5603337932556427</v>
      </c>
      <c r="R57" s="95">
        <f t="shared" si="13"/>
        <v>112585.6875</v>
      </c>
      <c r="S57" s="95">
        <f t="shared" si="14"/>
        <v>9405.76</v>
      </c>
      <c r="T57" s="62">
        <f t="shared" si="0"/>
        <v>0.40500000000000003</v>
      </c>
      <c r="U57" s="61">
        <f t="shared" si="19"/>
        <v>3447.36</v>
      </c>
    </row>
    <row r="58" spans="1:21" x14ac:dyDescent="0.35">
      <c r="A58" s="1">
        <f t="shared" si="17"/>
        <v>46233</v>
      </c>
      <c r="C58" s="11">
        <f>C57</f>
        <v>101887.5</v>
      </c>
      <c r="E58" s="11">
        <f>E57</f>
        <v>0</v>
      </c>
      <c r="F58" s="11">
        <f t="shared" si="3"/>
        <v>3516975</v>
      </c>
      <c r="G58" s="11">
        <f t="shared" si="4"/>
        <v>424669</v>
      </c>
      <c r="H58" s="11">
        <f t="shared" si="5"/>
        <v>3092306</v>
      </c>
      <c r="I58" s="61">
        <f t="shared" si="20"/>
        <v>0.48583115845251479</v>
      </c>
      <c r="J58" s="61">
        <f t="shared" si="7"/>
        <v>49500.122156830599</v>
      </c>
      <c r="K58" s="94">
        <f t="shared" si="18"/>
        <v>0.7</v>
      </c>
      <c r="L58" s="61">
        <f t="shared" si="8"/>
        <v>0</v>
      </c>
      <c r="M58" s="61">
        <f t="shared" si="9"/>
        <v>49500.122156830599</v>
      </c>
      <c r="N58" s="61">
        <f t="shared" si="15"/>
        <v>1.105</v>
      </c>
      <c r="O58" s="61">
        <f t="shared" si="10"/>
        <v>0</v>
      </c>
      <c r="P58" s="79">
        <f t="shared" si="11"/>
        <v>0.36651583710407243</v>
      </c>
      <c r="Q58" s="79">
        <f t="shared" si="12"/>
        <v>0.5603337932556427</v>
      </c>
      <c r="R58" s="95">
        <f t="shared" si="13"/>
        <v>112585.6875</v>
      </c>
      <c r="S58" s="95">
        <f t="shared" si="14"/>
        <v>0</v>
      </c>
      <c r="T58" s="62">
        <f t="shared" si="0"/>
        <v>0.40500000000000003</v>
      </c>
      <c r="U58" s="61">
        <f t="shared" si="19"/>
        <v>0</v>
      </c>
    </row>
    <row r="59" spans="1:21" x14ac:dyDescent="0.35">
      <c r="A59" s="1">
        <f t="shared" si="17"/>
        <v>46234</v>
      </c>
      <c r="C59" s="11">
        <v>0</v>
      </c>
      <c r="E59" s="11">
        <v>0</v>
      </c>
      <c r="F59" s="11">
        <f t="shared" si="3"/>
        <v>3516975</v>
      </c>
      <c r="G59" s="11">
        <f t="shared" si="4"/>
        <v>424669</v>
      </c>
      <c r="H59" s="11">
        <f t="shared" si="5"/>
        <v>3092306</v>
      </c>
      <c r="I59" s="61">
        <f t="shared" si="20"/>
        <v>0.48583115845251479</v>
      </c>
      <c r="J59" s="61">
        <f t="shared" si="7"/>
        <v>0</v>
      </c>
      <c r="K59" s="94">
        <f t="shared" si="18"/>
        <v>0.7</v>
      </c>
      <c r="L59" s="61">
        <f t="shared" si="8"/>
        <v>0</v>
      </c>
      <c r="M59" s="61">
        <f t="shared" si="9"/>
        <v>0</v>
      </c>
      <c r="N59" s="61">
        <f t="shared" si="15"/>
        <v>1.105</v>
      </c>
      <c r="O59" s="61">
        <f t="shared" si="10"/>
        <v>0</v>
      </c>
      <c r="P59" s="79">
        <f t="shared" si="11"/>
        <v>0.36651583710407243</v>
      </c>
      <c r="Q59" s="79">
        <f t="shared" si="12"/>
        <v>0.5603337932556427</v>
      </c>
      <c r="R59" s="95">
        <f t="shared" si="13"/>
        <v>0</v>
      </c>
      <c r="S59" s="95">
        <f t="shared" si="14"/>
        <v>0</v>
      </c>
      <c r="T59" s="62">
        <f t="shared" si="0"/>
        <v>0.40500000000000003</v>
      </c>
      <c r="U59" s="61">
        <f t="shared" si="19"/>
        <v>0</v>
      </c>
    </row>
    <row r="60" spans="1:21" x14ac:dyDescent="0.35">
      <c r="A60" s="1">
        <f t="shared" si="17"/>
        <v>46235</v>
      </c>
      <c r="C60" s="11">
        <f>B60</f>
        <v>0</v>
      </c>
      <c r="F60" s="11">
        <f t="shared" si="3"/>
        <v>3516975</v>
      </c>
      <c r="G60" s="11">
        <f t="shared" si="4"/>
        <v>424669</v>
      </c>
      <c r="H60" s="11">
        <f t="shared" si="5"/>
        <v>3092306</v>
      </c>
      <c r="I60" s="61">
        <f>'[1]Ramp Plan'!W163</f>
        <v>0.45672799610836934</v>
      </c>
      <c r="J60" s="61">
        <f t="shared" si="7"/>
        <v>0</v>
      </c>
      <c r="K60" s="94">
        <f t="shared" si="18"/>
        <v>0.7</v>
      </c>
      <c r="L60" s="61">
        <f t="shared" si="8"/>
        <v>0</v>
      </c>
      <c r="M60" s="61">
        <f t="shared" si="9"/>
        <v>0</v>
      </c>
      <c r="N60" s="61">
        <f t="shared" si="15"/>
        <v>1.105</v>
      </c>
      <c r="O60" s="61">
        <f t="shared" si="10"/>
        <v>0</v>
      </c>
      <c r="P60" s="79">
        <f t="shared" si="11"/>
        <v>0.36651583710407243</v>
      </c>
      <c r="Q60" s="79">
        <f t="shared" si="12"/>
        <v>0.58667149673450736</v>
      </c>
      <c r="R60" s="95">
        <f t="shared" si="13"/>
        <v>0</v>
      </c>
      <c r="S60" s="95">
        <f t="shared" si="14"/>
        <v>0</v>
      </c>
      <c r="T60" s="62">
        <f t="shared" si="0"/>
        <v>0.40500000000000003</v>
      </c>
      <c r="U60" s="61">
        <f t="shared" si="19"/>
        <v>0</v>
      </c>
    </row>
    <row r="61" spans="1:21" x14ac:dyDescent="0.35">
      <c r="A61" s="1">
        <f t="shared" si="17"/>
        <v>46236</v>
      </c>
      <c r="B61" s="93" t="s">
        <v>205</v>
      </c>
      <c r="C61" s="11">
        <v>0</v>
      </c>
      <c r="F61" s="11">
        <f t="shared" si="3"/>
        <v>3516975</v>
      </c>
      <c r="G61" s="11">
        <f t="shared" si="4"/>
        <v>424669</v>
      </c>
      <c r="H61" s="11">
        <f t="shared" si="5"/>
        <v>3092306</v>
      </c>
      <c r="I61" s="61">
        <f>$I$60</f>
        <v>0.45672799610836934</v>
      </c>
      <c r="J61" s="61">
        <f t="shared" si="7"/>
        <v>0</v>
      </c>
      <c r="K61" s="94">
        <f t="shared" si="18"/>
        <v>0.7</v>
      </c>
      <c r="L61" s="61">
        <f t="shared" si="8"/>
        <v>0</v>
      </c>
      <c r="M61" s="61">
        <f t="shared" si="9"/>
        <v>0</v>
      </c>
      <c r="N61" s="61">
        <f t="shared" si="15"/>
        <v>1.105</v>
      </c>
      <c r="O61" s="61">
        <f t="shared" si="10"/>
        <v>0</v>
      </c>
      <c r="P61" s="79">
        <f t="shared" si="11"/>
        <v>0.36651583710407243</v>
      </c>
      <c r="Q61" s="79">
        <f t="shared" si="12"/>
        <v>0.58667149673450736</v>
      </c>
      <c r="R61" s="95">
        <f t="shared" si="13"/>
        <v>0</v>
      </c>
      <c r="S61" s="95">
        <f t="shared" si="14"/>
        <v>0</v>
      </c>
      <c r="T61" s="62">
        <f t="shared" si="0"/>
        <v>0.40500000000000003</v>
      </c>
      <c r="U61" s="61">
        <f t="shared" si="19"/>
        <v>0</v>
      </c>
    </row>
    <row r="62" spans="1:21" ht="16" customHeight="1" x14ac:dyDescent="0.35">
      <c r="A62" s="1">
        <f t="shared" si="17"/>
        <v>46237</v>
      </c>
      <c r="C62" s="11">
        <f>'[1]Ramp Plan'!W82/17</f>
        <v>109016.4705882353</v>
      </c>
      <c r="D62" s="96">
        <v>21600</v>
      </c>
      <c r="E62" s="11">
        <v>0</v>
      </c>
      <c r="F62" s="11">
        <f t="shared" si="3"/>
        <v>3625991.4705882352</v>
      </c>
      <c r="G62" s="11">
        <f>G61+E62</f>
        <v>424669</v>
      </c>
      <c r="H62" s="11">
        <f t="shared" si="5"/>
        <v>3201322.4705882352</v>
      </c>
      <c r="I62" s="61">
        <f t="shared" ref="I62:I90" si="21">$I$60</f>
        <v>0.45672799610836934</v>
      </c>
      <c r="J62" s="61">
        <f t="shared" si="7"/>
        <v>49790.874154571691</v>
      </c>
      <c r="K62" s="94">
        <f t="shared" si="18"/>
        <v>0.7</v>
      </c>
      <c r="L62" s="61">
        <f>K62*(E62)</f>
        <v>0</v>
      </c>
      <c r="M62" s="61">
        <f t="shared" si="9"/>
        <v>49790.874154571691</v>
      </c>
      <c r="N62" s="61">
        <f t="shared" si="15"/>
        <v>1.105</v>
      </c>
      <c r="O62" s="61">
        <f>N62*(E62)</f>
        <v>0</v>
      </c>
      <c r="P62" s="79">
        <f t="shared" si="11"/>
        <v>0.36651583710407243</v>
      </c>
      <c r="Q62" s="79">
        <f t="shared" si="12"/>
        <v>0.58667149673450736</v>
      </c>
      <c r="R62" s="95">
        <f t="shared" si="13"/>
        <v>120463.20000000001</v>
      </c>
      <c r="S62" s="95">
        <f>(E62)*N62</f>
        <v>0</v>
      </c>
      <c r="T62" s="62">
        <f t="shared" si="0"/>
        <v>0.40500000000000003</v>
      </c>
      <c r="U62" s="61">
        <f>T62*(E62)</f>
        <v>0</v>
      </c>
    </row>
    <row r="63" spans="1:21" x14ac:dyDescent="0.35">
      <c r="A63" s="1">
        <f t="shared" si="17"/>
        <v>46238</v>
      </c>
      <c r="C63" s="11">
        <f>C62</f>
        <v>109016.4705882353</v>
      </c>
      <c r="D63" s="96">
        <v>25920</v>
      </c>
      <c r="E63" s="11">
        <v>0</v>
      </c>
      <c r="F63" s="11">
        <f t="shared" si="3"/>
        <v>3735007.9411764704</v>
      </c>
      <c r="G63" s="11">
        <f t="shared" si="4"/>
        <v>450589</v>
      </c>
      <c r="H63" s="11">
        <f t="shared" si="5"/>
        <v>3284418.9411764704</v>
      </c>
      <c r="I63" s="61">
        <f t="shared" si="21"/>
        <v>0.45672799610836934</v>
      </c>
      <c r="J63" s="61">
        <f t="shared" si="7"/>
        <v>49790.874154571691</v>
      </c>
      <c r="K63" s="94">
        <f t="shared" si="18"/>
        <v>0.7</v>
      </c>
      <c r="L63" s="61">
        <f t="shared" si="8"/>
        <v>18144</v>
      </c>
      <c r="M63" s="61">
        <f t="shared" si="9"/>
        <v>31646.874154571691</v>
      </c>
      <c r="N63" s="61">
        <f t="shared" si="15"/>
        <v>1.105</v>
      </c>
      <c r="O63" s="61">
        <f t="shared" si="10"/>
        <v>28641.599999999999</v>
      </c>
      <c r="P63" s="79">
        <f t="shared" si="11"/>
        <v>0.36651583710407243</v>
      </c>
      <c r="Q63" s="79">
        <f t="shared" si="12"/>
        <v>0.58667149673450736</v>
      </c>
      <c r="R63" s="95">
        <f t="shared" si="13"/>
        <v>120463.20000000001</v>
      </c>
      <c r="S63" s="95">
        <f t="shared" si="14"/>
        <v>28641.599999999999</v>
      </c>
      <c r="T63" s="62">
        <f t="shared" si="0"/>
        <v>0.40500000000000003</v>
      </c>
      <c r="U63" s="61">
        <f t="shared" si="19"/>
        <v>10497.6</v>
      </c>
    </row>
    <row r="64" spans="1:21" x14ac:dyDescent="0.35">
      <c r="A64" s="1">
        <f t="shared" si="17"/>
        <v>46239</v>
      </c>
      <c r="C64" s="11">
        <f>C63</f>
        <v>109016.4705882353</v>
      </c>
      <c r="D64" s="96">
        <v>21600</v>
      </c>
      <c r="E64" s="11">
        <v>0</v>
      </c>
      <c r="F64" s="11">
        <f t="shared" si="3"/>
        <v>3844024.4117647056</v>
      </c>
      <c r="G64" s="11">
        <f t="shared" si="4"/>
        <v>472189</v>
      </c>
      <c r="H64" s="11">
        <f t="shared" si="5"/>
        <v>3371835.4117647056</v>
      </c>
      <c r="I64" s="61">
        <f t="shared" si="21"/>
        <v>0.45672799610836934</v>
      </c>
      <c r="J64" s="61">
        <f t="shared" si="7"/>
        <v>49790.874154571691</v>
      </c>
      <c r="K64" s="94">
        <f t="shared" si="18"/>
        <v>0.7</v>
      </c>
      <c r="L64" s="61">
        <f t="shared" si="8"/>
        <v>15119.999999999998</v>
      </c>
      <c r="M64" s="61">
        <f t="shared" si="9"/>
        <v>34670.874154571691</v>
      </c>
      <c r="N64" s="61">
        <f t="shared" si="15"/>
        <v>1.105</v>
      </c>
      <c r="O64" s="61">
        <f t="shared" si="10"/>
        <v>23868</v>
      </c>
      <c r="P64" s="79">
        <f t="shared" si="11"/>
        <v>0.36651583710407243</v>
      </c>
      <c r="Q64" s="79">
        <f t="shared" si="12"/>
        <v>0.58667149673450736</v>
      </c>
      <c r="R64" s="95">
        <f t="shared" si="13"/>
        <v>120463.20000000001</v>
      </c>
      <c r="S64" s="95">
        <f t="shared" si="14"/>
        <v>23868</v>
      </c>
      <c r="T64" s="62">
        <f t="shared" si="0"/>
        <v>0.40500000000000003</v>
      </c>
      <c r="U64" s="61">
        <f t="shared" si="19"/>
        <v>8748</v>
      </c>
    </row>
    <row r="65" spans="1:21" x14ac:dyDescent="0.35">
      <c r="A65" s="1">
        <f t="shared" si="17"/>
        <v>46240</v>
      </c>
      <c r="C65" s="11">
        <f>C64</f>
        <v>109016.4705882353</v>
      </c>
      <c r="D65" s="96">
        <v>30240</v>
      </c>
      <c r="E65" s="11">
        <v>0</v>
      </c>
      <c r="F65" s="11">
        <f t="shared" si="3"/>
        <v>3953040.8823529407</v>
      </c>
      <c r="G65" s="11">
        <f t="shared" si="4"/>
        <v>502429</v>
      </c>
      <c r="H65" s="11">
        <f t="shared" si="5"/>
        <v>3450611.8823529407</v>
      </c>
      <c r="I65" s="61">
        <f t="shared" si="21"/>
        <v>0.45672799610836934</v>
      </c>
      <c r="J65" s="61">
        <f t="shared" si="7"/>
        <v>49790.874154571691</v>
      </c>
      <c r="K65" s="94">
        <f t="shared" si="18"/>
        <v>0.7</v>
      </c>
      <c r="L65" s="61">
        <f t="shared" si="8"/>
        <v>21168</v>
      </c>
      <c r="M65" s="61">
        <f t="shared" si="9"/>
        <v>28622.874154571691</v>
      </c>
      <c r="N65" s="61">
        <f t="shared" si="15"/>
        <v>1.105</v>
      </c>
      <c r="O65" s="61">
        <f t="shared" si="10"/>
        <v>33415.199999999997</v>
      </c>
      <c r="P65" s="79">
        <f t="shared" si="11"/>
        <v>0.36651583710407243</v>
      </c>
      <c r="Q65" s="79">
        <f t="shared" si="12"/>
        <v>0.58667149673450736</v>
      </c>
      <c r="R65" s="95">
        <f t="shared" si="13"/>
        <v>120463.20000000001</v>
      </c>
      <c r="S65" s="95">
        <f t="shared" si="14"/>
        <v>33415.199999999997</v>
      </c>
      <c r="T65" s="62">
        <f t="shared" si="0"/>
        <v>0.40500000000000003</v>
      </c>
      <c r="U65" s="61">
        <f t="shared" si="19"/>
        <v>12247.2</v>
      </c>
    </row>
    <row r="66" spans="1:21" x14ac:dyDescent="0.35">
      <c r="A66" s="1">
        <f t="shared" si="17"/>
        <v>46241</v>
      </c>
      <c r="C66" s="11">
        <v>0</v>
      </c>
      <c r="D66" s="96"/>
      <c r="E66" s="11">
        <v>0</v>
      </c>
      <c r="F66" s="11">
        <f t="shared" si="3"/>
        <v>3953040.8823529407</v>
      </c>
      <c r="G66" s="11">
        <f t="shared" si="4"/>
        <v>502429</v>
      </c>
      <c r="H66" s="11">
        <f t="shared" si="5"/>
        <v>3450611.8823529407</v>
      </c>
      <c r="I66" s="61">
        <f t="shared" si="21"/>
        <v>0.45672799610836934</v>
      </c>
      <c r="J66" s="61">
        <f t="shared" si="7"/>
        <v>0</v>
      </c>
      <c r="K66" s="94">
        <f t="shared" si="18"/>
        <v>0.7</v>
      </c>
      <c r="L66" s="61">
        <f t="shared" si="8"/>
        <v>0</v>
      </c>
      <c r="M66" s="61">
        <f t="shared" si="9"/>
        <v>0</v>
      </c>
      <c r="N66" s="61">
        <f t="shared" si="15"/>
        <v>1.105</v>
      </c>
      <c r="O66" s="61">
        <f t="shared" si="10"/>
        <v>0</v>
      </c>
      <c r="P66" s="79">
        <f t="shared" si="11"/>
        <v>0.36651583710407243</v>
      </c>
      <c r="Q66" s="79">
        <f t="shared" si="12"/>
        <v>0.58667149673450736</v>
      </c>
      <c r="R66" s="95">
        <f t="shared" si="13"/>
        <v>0</v>
      </c>
      <c r="S66" s="95">
        <f t="shared" si="14"/>
        <v>0</v>
      </c>
      <c r="T66" s="62">
        <f t="shared" si="0"/>
        <v>0.40500000000000003</v>
      </c>
      <c r="U66" s="61">
        <f t="shared" si="19"/>
        <v>0</v>
      </c>
    </row>
    <row r="67" spans="1:21" x14ac:dyDescent="0.35">
      <c r="A67" s="1">
        <f t="shared" si="17"/>
        <v>46242</v>
      </c>
      <c r="C67" s="11">
        <f>B67</f>
        <v>0</v>
      </c>
      <c r="D67" s="96"/>
      <c r="E67" s="11">
        <v>0</v>
      </c>
      <c r="F67" s="11">
        <f t="shared" si="3"/>
        <v>3953040.8823529407</v>
      </c>
      <c r="G67" s="11">
        <f t="shared" si="4"/>
        <v>502429</v>
      </c>
      <c r="H67" s="11">
        <f t="shared" si="5"/>
        <v>3450611.8823529407</v>
      </c>
      <c r="I67" s="61">
        <f t="shared" si="21"/>
        <v>0.45672799610836934</v>
      </c>
      <c r="J67" s="61">
        <f t="shared" si="7"/>
        <v>0</v>
      </c>
      <c r="K67" s="94">
        <f t="shared" si="18"/>
        <v>0.7</v>
      </c>
      <c r="L67" s="61">
        <f t="shared" si="8"/>
        <v>0</v>
      </c>
      <c r="M67" s="61">
        <f t="shared" si="9"/>
        <v>0</v>
      </c>
      <c r="N67" s="61">
        <f t="shared" si="15"/>
        <v>1.105</v>
      </c>
      <c r="O67" s="61">
        <f t="shared" si="10"/>
        <v>0</v>
      </c>
      <c r="P67" s="79">
        <f t="shared" si="11"/>
        <v>0.36651583710407243</v>
      </c>
      <c r="Q67" s="79">
        <f t="shared" si="12"/>
        <v>0.58667149673450736</v>
      </c>
      <c r="R67" s="95">
        <f t="shared" si="13"/>
        <v>0</v>
      </c>
      <c r="S67" s="95">
        <f t="shared" si="14"/>
        <v>0</v>
      </c>
      <c r="T67" s="62">
        <f t="shared" ref="T67:T130" si="22">N67-K67</f>
        <v>0.40500000000000003</v>
      </c>
      <c r="U67" s="61">
        <f t="shared" si="19"/>
        <v>0</v>
      </c>
    </row>
    <row r="68" spans="1:21" x14ac:dyDescent="0.35">
      <c r="A68" s="1">
        <f t="shared" si="17"/>
        <v>46243</v>
      </c>
      <c r="B68" s="93" t="s">
        <v>205</v>
      </c>
      <c r="C68" s="11">
        <v>0</v>
      </c>
      <c r="D68" s="96"/>
      <c r="E68" s="11">
        <v>0</v>
      </c>
      <c r="F68" s="11">
        <f t="shared" ref="F68:F131" si="23">C68+F67</f>
        <v>3953040.8823529407</v>
      </c>
      <c r="G68" s="11">
        <f t="shared" ref="G68:G131" si="24">G67+D68+E68</f>
        <v>502429</v>
      </c>
      <c r="H68" s="11">
        <f t="shared" ref="H68:H131" si="25">F68-G68</f>
        <v>3450611.8823529407</v>
      </c>
      <c r="I68" s="61">
        <f t="shared" si="21"/>
        <v>0.45672799610836934</v>
      </c>
      <c r="J68" s="61">
        <f t="shared" ref="J68:J131" si="26">I68*C68</f>
        <v>0</v>
      </c>
      <c r="K68" s="94">
        <f t="shared" si="18"/>
        <v>0.7</v>
      </c>
      <c r="L68" s="61">
        <f t="shared" ref="L68:L131" si="27">K68*(D68+E68)</f>
        <v>0</v>
      </c>
      <c r="M68" s="61">
        <f t="shared" ref="M68:M131" si="28">J68-L68</f>
        <v>0</v>
      </c>
      <c r="N68" s="61">
        <f t="shared" si="15"/>
        <v>1.105</v>
      </c>
      <c r="O68" s="61">
        <f t="shared" ref="O68:O131" si="29">N68*(D68+E68)</f>
        <v>0</v>
      </c>
      <c r="P68" s="79">
        <f t="shared" ref="P68:P131" si="30">(N68-K68)/N68</f>
        <v>0.36651583710407243</v>
      </c>
      <c r="Q68" s="79">
        <f t="shared" ref="Q68:Q131" si="31">(N68-I68)/N68</f>
        <v>0.58667149673450736</v>
      </c>
      <c r="R68" s="95">
        <f t="shared" ref="R68:R131" si="32">C68*N68</f>
        <v>0</v>
      </c>
      <c r="S68" s="95">
        <f t="shared" ref="S68:S131" si="33">(D68+E68)*N68</f>
        <v>0</v>
      </c>
      <c r="T68" s="62">
        <f t="shared" si="22"/>
        <v>0.40500000000000003</v>
      </c>
      <c r="U68" s="61">
        <f t="shared" si="19"/>
        <v>0</v>
      </c>
    </row>
    <row r="69" spans="1:21" x14ac:dyDescent="0.35">
      <c r="A69" s="1">
        <f t="shared" si="17"/>
        <v>46244</v>
      </c>
      <c r="C69" s="11">
        <f>C65</f>
        <v>109016.4705882353</v>
      </c>
      <c r="D69" s="96">
        <v>30336</v>
      </c>
      <c r="E69" s="11">
        <v>0</v>
      </c>
      <c r="F69" s="11">
        <f t="shared" si="23"/>
        <v>4062057.3529411759</v>
      </c>
      <c r="G69" s="11">
        <f t="shared" si="24"/>
        <v>532765</v>
      </c>
      <c r="H69" s="11">
        <f t="shared" si="25"/>
        <v>3529292.3529411759</v>
      </c>
      <c r="I69" s="61">
        <f t="shared" si="21"/>
        <v>0.45672799610836934</v>
      </c>
      <c r="J69" s="61">
        <f t="shared" si="26"/>
        <v>49790.874154571691</v>
      </c>
      <c r="K69" s="94">
        <f t="shared" si="18"/>
        <v>0.7</v>
      </c>
      <c r="L69" s="61">
        <f t="shared" si="27"/>
        <v>21235.199999999997</v>
      </c>
      <c r="M69" s="61">
        <f t="shared" si="28"/>
        <v>28555.674154571694</v>
      </c>
      <c r="N69" s="61">
        <f t="shared" ref="N69:N132" si="34">N68</f>
        <v>1.105</v>
      </c>
      <c r="O69" s="61">
        <f t="shared" si="29"/>
        <v>33521.279999999999</v>
      </c>
      <c r="P69" s="79">
        <f t="shared" si="30"/>
        <v>0.36651583710407243</v>
      </c>
      <c r="Q69" s="79">
        <f t="shared" si="31"/>
        <v>0.58667149673450736</v>
      </c>
      <c r="R69" s="95">
        <f t="shared" si="32"/>
        <v>120463.20000000001</v>
      </c>
      <c r="S69" s="95">
        <f t="shared" si="33"/>
        <v>33521.279999999999</v>
      </c>
      <c r="T69" s="62">
        <f t="shared" si="22"/>
        <v>0.40500000000000003</v>
      </c>
      <c r="U69" s="61">
        <f t="shared" si="19"/>
        <v>12286.08</v>
      </c>
    </row>
    <row r="70" spans="1:21" x14ac:dyDescent="0.35">
      <c r="A70" s="1">
        <f t="shared" si="17"/>
        <v>46245</v>
      </c>
      <c r="C70" s="11">
        <f>C69</f>
        <v>109016.4705882353</v>
      </c>
      <c r="D70" s="96">
        <v>40550</v>
      </c>
      <c r="E70" s="11">
        <v>0</v>
      </c>
      <c r="F70" s="11">
        <f t="shared" si="23"/>
        <v>4171073.8235294111</v>
      </c>
      <c r="G70" s="11">
        <f t="shared" si="24"/>
        <v>573315</v>
      </c>
      <c r="H70" s="11">
        <f t="shared" si="25"/>
        <v>3597758.8235294111</v>
      </c>
      <c r="I70" s="61">
        <f t="shared" si="21"/>
        <v>0.45672799610836934</v>
      </c>
      <c r="J70" s="61">
        <f t="shared" si="26"/>
        <v>49790.874154571691</v>
      </c>
      <c r="K70" s="94">
        <f t="shared" si="18"/>
        <v>0.7</v>
      </c>
      <c r="L70" s="61">
        <f t="shared" si="27"/>
        <v>28385</v>
      </c>
      <c r="M70" s="61">
        <f t="shared" si="28"/>
        <v>21405.874154571691</v>
      </c>
      <c r="N70" s="61">
        <f t="shared" si="34"/>
        <v>1.105</v>
      </c>
      <c r="O70" s="61">
        <f t="shared" si="29"/>
        <v>44807.75</v>
      </c>
      <c r="P70" s="79">
        <f t="shared" si="30"/>
        <v>0.36651583710407243</v>
      </c>
      <c r="Q70" s="79">
        <f t="shared" si="31"/>
        <v>0.58667149673450736</v>
      </c>
      <c r="R70" s="95">
        <f t="shared" si="32"/>
        <v>120463.20000000001</v>
      </c>
      <c r="S70" s="95">
        <f t="shared" si="33"/>
        <v>44807.75</v>
      </c>
      <c r="T70" s="62">
        <f t="shared" si="22"/>
        <v>0.40500000000000003</v>
      </c>
      <c r="U70" s="61">
        <f t="shared" si="19"/>
        <v>16422.75</v>
      </c>
    </row>
    <row r="71" spans="1:21" x14ac:dyDescent="0.35">
      <c r="A71" s="1">
        <f t="shared" si="17"/>
        <v>46246</v>
      </c>
      <c r="C71" s="11">
        <f>C70</f>
        <v>109016.4705882353</v>
      </c>
      <c r="D71" s="96">
        <v>28800</v>
      </c>
      <c r="E71" s="11">
        <v>0</v>
      </c>
      <c r="F71" s="11">
        <f t="shared" si="23"/>
        <v>4280090.2941176463</v>
      </c>
      <c r="G71" s="11">
        <f t="shared" si="24"/>
        <v>602115</v>
      </c>
      <c r="H71" s="11">
        <f t="shared" si="25"/>
        <v>3677975.2941176463</v>
      </c>
      <c r="I71" s="61">
        <f t="shared" si="21"/>
        <v>0.45672799610836934</v>
      </c>
      <c r="J71" s="61">
        <f t="shared" si="26"/>
        <v>49790.874154571691</v>
      </c>
      <c r="K71" s="94">
        <f t="shared" si="18"/>
        <v>0.7</v>
      </c>
      <c r="L71" s="61">
        <f t="shared" si="27"/>
        <v>20160</v>
      </c>
      <c r="M71" s="61">
        <f t="shared" si="28"/>
        <v>29630.874154571691</v>
      </c>
      <c r="N71" s="61">
        <f t="shared" si="34"/>
        <v>1.105</v>
      </c>
      <c r="O71" s="61">
        <f t="shared" si="29"/>
        <v>31824</v>
      </c>
      <c r="P71" s="79">
        <f t="shared" si="30"/>
        <v>0.36651583710407243</v>
      </c>
      <c r="Q71" s="79">
        <f t="shared" si="31"/>
        <v>0.58667149673450736</v>
      </c>
      <c r="R71" s="95">
        <f t="shared" si="32"/>
        <v>120463.20000000001</v>
      </c>
      <c r="S71" s="95">
        <f t="shared" si="33"/>
        <v>31824</v>
      </c>
      <c r="T71" s="62">
        <f t="shared" si="22"/>
        <v>0.40500000000000003</v>
      </c>
      <c r="U71" s="61">
        <f t="shared" si="19"/>
        <v>11664</v>
      </c>
    </row>
    <row r="72" spans="1:21" x14ac:dyDescent="0.35">
      <c r="A72" s="1">
        <f t="shared" si="17"/>
        <v>46247</v>
      </c>
      <c r="C72" s="11">
        <f>C71</f>
        <v>109016.4705882353</v>
      </c>
      <c r="D72" s="96"/>
      <c r="E72" s="11">
        <v>0</v>
      </c>
      <c r="F72" s="11">
        <f t="shared" si="23"/>
        <v>4389106.7647058815</v>
      </c>
      <c r="G72" s="11">
        <f t="shared" si="24"/>
        <v>602115</v>
      </c>
      <c r="H72" s="11">
        <f t="shared" si="25"/>
        <v>3786991.7647058815</v>
      </c>
      <c r="I72" s="61">
        <f t="shared" si="21"/>
        <v>0.45672799610836934</v>
      </c>
      <c r="J72" s="61">
        <f t="shared" si="26"/>
        <v>49790.874154571691</v>
      </c>
      <c r="K72" s="94">
        <f t="shared" si="18"/>
        <v>0.7</v>
      </c>
      <c r="L72" s="61">
        <f t="shared" si="27"/>
        <v>0</v>
      </c>
      <c r="M72" s="61">
        <f t="shared" si="28"/>
        <v>49790.874154571691</v>
      </c>
      <c r="N72" s="61">
        <f t="shared" si="34"/>
        <v>1.105</v>
      </c>
      <c r="O72" s="61">
        <f t="shared" si="29"/>
        <v>0</v>
      </c>
      <c r="P72" s="79">
        <f t="shared" si="30"/>
        <v>0.36651583710407243</v>
      </c>
      <c r="Q72" s="79">
        <f t="shared" si="31"/>
        <v>0.58667149673450736</v>
      </c>
      <c r="R72" s="95">
        <f t="shared" si="32"/>
        <v>120463.20000000001</v>
      </c>
      <c r="S72" s="95">
        <f t="shared" si="33"/>
        <v>0</v>
      </c>
      <c r="T72" s="62">
        <f t="shared" si="22"/>
        <v>0.40500000000000003</v>
      </c>
      <c r="U72" s="61">
        <f t="shared" si="19"/>
        <v>0</v>
      </c>
    </row>
    <row r="73" spans="1:21" x14ac:dyDescent="0.35">
      <c r="A73" s="1">
        <f t="shared" si="17"/>
        <v>46248</v>
      </c>
      <c r="C73" s="11">
        <v>0</v>
      </c>
      <c r="D73" s="96"/>
      <c r="E73" s="11">
        <v>0</v>
      </c>
      <c r="F73" s="11">
        <f t="shared" si="23"/>
        <v>4389106.7647058815</v>
      </c>
      <c r="G73" s="11">
        <f t="shared" si="24"/>
        <v>602115</v>
      </c>
      <c r="H73" s="11">
        <f t="shared" si="25"/>
        <v>3786991.7647058815</v>
      </c>
      <c r="I73" s="61">
        <f t="shared" si="21"/>
        <v>0.45672799610836934</v>
      </c>
      <c r="J73" s="61">
        <f t="shared" si="26"/>
        <v>0</v>
      </c>
      <c r="K73" s="94">
        <f t="shared" si="18"/>
        <v>0.7</v>
      </c>
      <c r="L73" s="61">
        <f t="shared" si="27"/>
        <v>0</v>
      </c>
      <c r="M73" s="61">
        <f t="shared" si="28"/>
        <v>0</v>
      </c>
      <c r="N73" s="61">
        <f t="shared" si="34"/>
        <v>1.105</v>
      </c>
      <c r="O73" s="61">
        <f t="shared" si="29"/>
        <v>0</v>
      </c>
      <c r="P73" s="79">
        <f t="shared" si="30"/>
        <v>0.36651583710407243</v>
      </c>
      <c r="Q73" s="79">
        <f t="shared" si="31"/>
        <v>0.58667149673450736</v>
      </c>
      <c r="R73" s="95">
        <f t="shared" si="32"/>
        <v>0</v>
      </c>
      <c r="S73" s="95">
        <f t="shared" si="33"/>
        <v>0</v>
      </c>
      <c r="T73" s="62">
        <f t="shared" si="22"/>
        <v>0.40500000000000003</v>
      </c>
      <c r="U73" s="61">
        <f t="shared" si="19"/>
        <v>0</v>
      </c>
    </row>
    <row r="74" spans="1:21" x14ac:dyDescent="0.35">
      <c r="A74" s="1">
        <f t="shared" si="17"/>
        <v>46249</v>
      </c>
      <c r="C74" s="11">
        <f>B74</f>
        <v>0</v>
      </c>
      <c r="D74" s="96"/>
      <c r="E74" s="11">
        <v>0</v>
      </c>
      <c r="F74" s="11">
        <f t="shared" si="23"/>
        <v>4389106.7647058815</v>
      </c>
      <c r="G74" s="11">
        <f t="shared" si="24"/>
        <v>602115</v>
      </c>
      <c r="H74" s="11">
        <f t="shared" si="25"/>
        <v>3786991.7647058815</v>
      </c>
      <c r="I74" s="61">
        <f t="shared" si="21"/>
        <v>0.45672799610836934</v>
      </c>
      <c r="J74" s="61">
        <f t="shared" si="26"/>
        <v>0</v>
      </c>
      <c r="K74" s="94">
        <f t="shared" si="18"/>
        <v>0.7</v>
      </c>
      <c r="L74" s="61">
        <f t="shared" si="27"/>
        <v>0</v>
      </c>
      <c r="M74" s="61">
        <f t="shared" si="28"/>
        <v>0</v>
      </c>
      <c r="N74" s="61">
        <f t="shared" si="34"/>
        <v>1.105</v>
      </c>
      <c r="O74" s="61">
        <f t="shared" si="29"/>
        <v>0</v>
      </c>
      <c r="P74" s="79">
        <f t="shared" si="30"/>
        <v>0.36651583710407243</v>
      </c>
      <c r="Q74" s="79">
        <f t="shared" si="31"/>
        <v>0.58667149673450736</v>
      </c>
      <c r="R74" s="95">
        <f t="shared" si="32"/>
        <v>0</v>
      </c>
      <c r="S74" s="95">
        <f t="shared" si="33"/>
        <v>0</v>
      </c>
      <c r="T74" s="62">
        <f t="shared" si="22"/>
        <v>0.40500000000000003</v>
      </c>
      <c r="U74" s="61">
        <f t="shared" si="19"/>
        <v>0</v>
      </c>
    </row>
    <row r="75" spans="1:21" x14ac:dyDescent="0.35">
      <c r="A75" s="1">
        <f t="shared" si="17"/>
        <v>46250</v>
      </c>
      <c r="B75" s="93" t="s">
        <v>205</v>
      </c>
      <c r="C75" s="11">
        <v>0</v>
      </c>
      <c r="D75" s="96"/>
      <c r="E75" s="11">
        <v>0</v>
      </c>
      <c r="F75" s="11">
        <f t="shared" si="23"/>
        <v>4389106.7647058815</v>
      </c>
      <c r="G75" s="11">
        <f t="shared" si="24"/>
        <v>602115</v>
      </c>
      <c r="H75" s="11">
        <f t="shared" si="25"/>
        <v>3786991.7647058815</v>
      </c>
      <c r="I75" s="61">
        <f t="shared" si="21"/>
        <v>0.45672799610836934</v>
      </c>
      <c r="J75" s="61">
        <f t="shared" si="26"/>
        <v>0</v>
      </c>
      <c r="K75" s="94">
        <f t="shared" si="18"/>
        <v>0.7</v>
      </c>
      <c r="L75" s="61">
        <f t="shared" si="27"/>
        <v>0</v>
      </c>
      <c r="M75" s="61">
        <f t="shared" si="28"/>
        <v>0</v>
      </c>
      <c r="N75" s="61">
        <f t="shared" si="34"/>
        <v>1.105</v>
      </c>
      <c r="O75" s="61">
        <f t="shared" si="29"/>
        <v>0</v>
      </c>
      <c r="P75" s="79">
        <f t="shared" si="30"/>
        <v>0.36651583710407243</v>
      </c>
      <c r="Q75" s="79">
        <f t="shared" si="31"/>
        <v>0.58667149673450736</v>
      </c>
      <c r="R75" s="95">
        <f t="shared" si="32"/>
        <v>0</v>
      </c>
      <c r="S75" s="95">
        <f t="shared" si="33"/>
        <v>0</v>
      </c>
      <c r="T75" s="62">
        <f t="shared" si="22"/>
        <v>0.40500000000000003</v>
      </c>
      <c r="U75" s="61">
        <f t="shared" si="19"/>
        <v>0</v>
      </c>
    </row>
    <row r="76" spans="1:21" x14ac:dyDescent="0.35">
      <c r="A76" s="1">
        <f t="shared" si="17"/>
        <v>46251</v>
      </c>
      <c r="C76" s="11">
        <f>C72</f>
        <v>109016.4705882353</v>
      </c>
      <c r="D76" s="96"/>
      <c r="E76" s="11">
        <v>0</v>
      </c>
      <c r="F76" s="11">
        <f t="shared" si="23"/>
        <v>4498123.2352941167</v>
      </c>
      <c r="G76" s="11">
        <f t="shared" si="24"/>
        <v>602115</v>
      </c>
      <c r="H76" s="11">
        <f t="shared" si="25"/>
        <v>3896008.2352941167</v>
      </c>
      <c r="I76" s="61">
        <f t="shared" si="21"/>
        <v>0.45672799610836934</v>
      </c>
      <c r="J76" s="61">
        <f t="shared" si="26"/>
        <v>49790.874154571691</v>
      </c>
      <c r="K76" s="94">
        <f t="shared" si="18"/>
        <v>0.7</v>
      </c>
      <c r="L76" s="61">
        <f t="shared" si="27"/>
        <v>0</v>
      </c>
      <c r="M76" s="61">
        <f t="shared" si="28"/>
        <v>49790.874154571691</v>
      </c>
      <c r="N76" s="61">
        <f t="shared" si="34"/>
        <v>1.105</v>
      </c>
      <c r="O76" s="61">
        <f t="shared" si="29"/>
        <v>0</v>
      </c>
      <c r="P76" s="79">
        <f t="shared" si="30"/>
        <v>0.36651583710407243</v>
      </c>
      <c r="Q76" s="79">
        <f t="shared" si="31"/>
        <v>0.58667149673450736</v>
      </c>
      <c r="R76" s="95">
        <f t="shared" si="32"/>
        <v>120463.20000000001</v>
      </c>
      <c r="S76" s="95">
        <f t="shared" si="33"/>
        <v>0</v>
      </c>
      <c r="T76" s="62">
        <f t="shared" si="22"/>
        <v>0.40500000000000003</v>
      </c>
      <c r="U76" s="61">
        <f t="shared" si="19"/>
        <v>0</v>
      </c>
    </row>
    <row r="77" spans="1:21" x14ac:dyDescent="0.35">
      <c r="A77" s="1">
        <f t="shared" si="17"/>
        <v>46252</v>
      </c>
      <c r="C77" s="11">
        <f>C76</f>
        <v>109016.4705882353</v>
      </c>
      <c r="D77" s="96"/>
      <c r="E77" s="11">
        <v>0</v>
      </c>
      <c r="F77" s="11">
        <f t="shared" si="23"/>
        <v>4607139.7058823518</v>
      </c>
      <c r="G77" s="11">
        <f t="shared" si="24"/>
        <v>602115</v>
      </c>
      <c r="H77" s="11">
        <f t="shared" si="25"/>
        <v>4005024.7058823518</v>
      </c>
      <c r="I77" s="61">
        <f t="shared" si="21"/>
        <v>0.45672799610836934</v>
      </c>
      <c r="J77" s="61">
        <f t="shared" si="26"/>
        <v>49790.874154571691</v>
      </c>
      <c r="K77" s="94">
        <f t="shared" si="18"/>
        <v>0.7</v>
      </c>
      <c r="L77" s="61">
        <f t="shared" si="27"/>
        <v>0</v>
      </c>
      <c r="M77" s="61">
        <f t="shared" si="28"/>
        <v>49790.874154571691</v>
      </c>
      <c r="N77" s="61">
        <f t="shared" si="34"/>
        <v>1.105</v>
      </c>
      <c r="O77" s="61">
        <f t="shared" si="29"/>
        <v>0</v>
      </c>
      <c r="P77" s="79">
        <f t="shared" si="30"/>
        <v>0.36651583710407243</v>
      </c>
      <c r="Q77" s="79">
        <f t="shared" si="31"/>
        <v>0.58667149673450736</v>
      </c>
      <c r="R77" s="95">
        <f t="shared" si="32"/>
        <v>120463.20000000001</v>
      </c>
      <c r="S77" s="95">
        <f t="shared" si="33"/>
        <v>0</v>
      </c>
      <c r="T77" s="62">
        <f t="shared" si="22"/>
        <v>0.40500000000000003</v>
      </c>
      <c r="U77" s="61">
        <f t="shared" si="19"/>
        <v>0</v>
      </c>
    </row>
    <row r="78" spans="1:21" x14ac:dyDescent="0.35">
      <c r="A78" s="1">
        <f t="shared" si="17"/>
        <v>46253</v>
      </c>
      <c r="C78" s="11">
        <f>C77</f>
        <v>109016.4705882353</v>
      </c>
      <c r="D78" s="96"/>
      <c r="E78" s="11">
        <v>0</v>
      </c>
      <c r="F78" s="11">
        <f t="shared" si="23"/>
        <v>4716156.176470587</v>
      </c>
      <c r="G78" s="11">
        <f t="shared" si="24"/>
        <v>602115</v>
      </c>
      <c r="H78" s="11">
        <f t="shared" si="25"/>
        <v>4114041.176470587</v>
      </c>
      <c r="I78" s="61">
        <f t="shared" si="21"/>
        <v>0.45672799610836934</v>
      </c>
      <c r="J78" s="61">
        <f t="shared" si="26"/>
        <v>49790.874154571691</v>
      </c>
      <c r="K78" s="94">
        <f t="shared" si="18"/>
        <v>0.7</v>
      </c>
      <c r="L78" s="61">
        <f t="shared" si="27"/>
        <v>0</v>
      </c>
      <c r="M78" s="61">
        <f t="shared" si="28"/>
        <v>49790.874154571691</v>
      </c>
      <c r="N78" s="61">
        <f t="shared" si="34"/>
        <v>1.105</v>
      </c>
      <c r="O78" s="61">
        <f t="shared" si="29"/>
        <v>0</v>
      </c>
      <c r="P78" s="79">
        <f t="shared" si="30"/>
        <v>0.36651583710407243</v>
      </c>
      <c r="Q78" s="79">
        <f t="shared" si="31"/>
        <v>0.58667149673450736</v>
      </c>
      <c r="R78" s="95">
        <f t="shared" si="32"/>
        <v>120463.20000000001</v>
      </c>
      <c r="S78" s="95">
        <f t="shared" si="33"/>
        <v>0</v>
      </c>
      <c r="T78" s="62">
        <f t="shared" si="22"/>
        <v>0.40500000000000003</v>
      </c>
      <c r="U78" s="61">
        <f t="shared" si="19"/>
        <v>0</v>
      </c>
    </row>
    <row r="79" spans="1:21" x14ac:dyDescent="0.35">
      <c r="A79" s="1">
        <f t="shared" ref="A79:A142" si="35">A78+1</f>
        <v>46254</v>
      </c>
      <c r="C79" s="11">
        <f>C78</f>
        <v>109016.4705882353</v>
      </c>
      <c r="D79" s="96"/>
      <c r="E79" s="11">
        <v>0</v>
      </c>
      <c r="F79" s="11">
        <f t="shared" si="23"/>
        <v>4825172.6470588222</v>
      </c>
      <c r="G79" s="11">
        <f t="shared" si="24"/>
        <v>602115</v>
      </c>
      <c r="H79" s="11">
        <f t="shared" si="25"/>
        <v>4223057.6470588222</v>
      </c>
      <c r="I79" s="61">
        <f t="shared" si="21"/>
        <v>0.45672799610836934</v>
      </c>
      <c r="J79" s="61">
        <f t="shared" si="26"/>
        <v>49790.874154571691</v>
      </c>
      <c r="K79" s="94">
        <f t="shared" si="18"/>
        <v>0.7</v>
      </c>
      <c r="L79" s="61">
        <f t="shared" si="27"/>
        <v>0</v>
      </c>
      <c r="M79" s="61">
        <f t="shared" si="28"/>
        <v>49790.874154571691</v>
      </c>
      <c r="N79" s="61">
        <f t="shared" si="34"/>
        <v>1.105</v>
      </c>
      <c r="O79" s="61">
        <f t="shared" si="29"/>
        <v>0</v>
      </c>
      <c r="P79" s="79">
        <f t="shared" si="30"/>
        <v>0.36651583710407243</v>
      </c>
      <c r="Q79" s="79">
        <f t="shared" si="31"/>
        <v>0.58667149673450736</v>
      </c>
      <c r="R79" s="95">
        <f t="shared" si="32"/>
        <v>120463.20000000001</v>
      </c>
      <c r="S79" s="95">
        <f t="shared" si="33"/>
        <v>0</v>
      </c>
      <c r="T79" s="62">
        <f t="shared" si="22"/>
        <v>0.40500000000000003</v>
      </c>
      <c r="U79" s="61">
        <f t="shared" si="19"/>
        <v>0</v>
      </c>
    </row>
    <row r="80" spans="1:21" x14ac:dyDescent="0.35">
      <c r="A80" s="1">
        <f t="shared" si="35"/>
        <v>46255</v>
      </c>
      <c r="C80" s="11">
        <v>0</v>
      </c>
      <c r="D80" s="96"/>
      <c r="E80" s="11">
        <v>0</v>
      </c>
      <c r="F80" s="11">
        <f t="shared" si="23"/>
        <v>4825172.6470588222</v>
      </c>
      <c r="G80" s="11">
        <f t="shared" si="24"/>
        <v>602115</v>
      </c>
      <c r="H80" s="11">
        <f t="shared" si="25"/>
        <v>4223057.6470588222</v>
      </c>
      <c r="I80" s="61">
        <f t="shared" si="21"/>
        <v>0.45672799610836934</v>
      </c>
      <c r="J80" s="61">
        <f t="shared" si="26"/>
        <v>0</v>
      </c>
      <c r="K80" s="94">
        <f t="shared" si="18"/>
        <v>0.7</v>
      </c>
      <c r="L80" s="61">
        <f t="shared" si="27"/>
        <v>0</v>
      </c>
      <c r="M80" s="61">
        <f t="shared" si="28"/>
        <v>0</v>
      </c>
      <c r="N80" s="61">
        <f t="shared" si="34"/>
        <v>1.105</v>
      </c>
      <c r="O80" s="61">
        <f t="shared" si="29"/>
        <v>0</v>
      </c>
      <c r="P80" s="79">
        <f t="shared" si="30"/>
        <v>0.36651583710407243</v>
      </c>
      <c r="Q80" s="79">
        <f t="shared" si="31"/>
        <v>0.58667149673450736</v>
      </c>
      <c r="R80" s="95">
        <f t="shared" si="32"/>
        <v>0</v>
      </c>
      <c r="S80" s="95">
        <f t="shared" si="33"/>
        <v>0</v>
      </c>
      <c r="T80" s="62">
        <f t="shared" si="22"/>
        <v>0.40500000000000003</v>
      </c>
      <c r="U80" s="61">
        <f t="shared" si="19"/>
        <v>0</v>
      </c>
    </row>
    <row r="81" spans="1:21" x14ac:dyDescent="0.35">
      <c r="A81" s="1">
        <f t="shared" si="35"/>
        <v>46256</v>
      </c>
      <c r="C81" s="11">
        <f>B81</f>
        <v>0</v>
      </c>
      <c r="E81" s="11">
        <v>0</v>
      </c>
      <c r="F81" s="11">
        <f t="shared" si="23"/>
        <v>4825172.6470588222</v>
      </c>
      <c r="G81" s="11">
        <f t="shared" si="24"/>
        <v>602115</v>
      </c>
      <c r="H81" s="11">
        <f t="shared" si="25"/>
        <v>4223057.6470588222</v>
      </c>
      <c r="I81" s="61">
        <f t="shared" si="21"/>
        <v>0.45672799610836934</v>
      </c>
      <c r="J81" s="61">
        <f t="shared" si="26"/>
        <v>0</v>
      </c>
      <c r="K81" s="94">
        <f t="shared" si="18"/>
        <v>0.7</v>
      </c>
      <c r="L81" s="61">
        <f t="shared" si="27"/>
        <v>0</v>
      </c>
      <c r="M81" s="61">
        <f t="shared" si="28"/>
        <v>0</v>
      </c>
      <c r="N81" s="61">
        <f t="shared" si="34"/>
        <v>1.105</v>
      </c>
      <c r="O81" s="61">
        <f t="shared" si="29"/>
        <v>0</v>
      </c>
      <c r="P81" s="79">
        <f t="shared" si="30"/>
        <v>0.36651583710407243</v>
      </c>
      <c r="Q81" s="79">
        <f t="shared" si="31"/>
        <v>0.58667149673450736</v>
      </c>
      <c r="R81" s="95">
        <f t="shared" si="32"/>
        <v>0</v>
      </c>
      <c r="S81" s="95">
        <f t="shared" si="33"/>
        <v>0</v>
      </c>
      <c r="T81" s="62">
        <f t="shared" si="22"/>
        <v>0.40500000000000003</v>
      </c>
      <c r="U81" s="61">
        <f t="shared" si="19"/>
        <v>0</v>
      </c>
    </row>
    <row r="82" spans="1:21" x14ac:dyDescent="0.35">
      <c r="A82" s="1">
        <f t="shared" si="35"/>
        <v>46257</v>
      </c>
      <c r="B82" s="93" t="s">
        <v>205</v>
      </c>
      <c r="C82" s="11">
        <v>0</v>
      </c>
      <c r="E82" s="11">
        <v>0</v>
      </c>
      <c r="F82" s="11">
        <f t="shared" si="23"/>
        <v>4825172.6470588222</v>
      </c>
      <c r="G82" s="11">
        <f t="shared" si="24"/>
        <v>602115</v>
      </c>
      <c r="H82" s="11">
        <f t="shared" si="25"/>
        <v>4223057.6470588222</v>
      </c>
      <c r="I82" s="61">
        <f t="shared" si="21"/>
        <v>0.45672799610836934</v>
      </c>
      <c r="J82" s="61">
        <f t="shared" si="26"/>
        <v>0</v>
      </c>
      <c r="K82" s="94">
        <f t="shared" ref="K82:K145" si="36">K81</f>
        <v>0.7</v>
      </c>
      <c r="L82" s="61">
        <f t="shared" si="27"/>
        <v>0</v>
      </c>
      <c r="M82" s="61">
        <f t="shared" si="28"/>
        <v>0</v>
      </c>
      <c r="N82" s="61">
        <f t="shared" si="34"/>
        <v>1.105</v>
      </c>
      <c r="O82" s="61">
        <f t="shared" si="29"/>
        <v>0</v>
      </c>
      <c r="P82" s="79">
        <f t="shared" si="30"/>
        <v>0.36651583710407243</v>
      </c>
      <c r="Q82" s="79">
        <f t="shared" si="31"/>
        <v>0.58667149673450736</v>
      </c>
      <c r="R82" s="95">
        <f t="shared" si="32"/>
        <v>0</v>
      </c>
      <c r="S82" s="95">
        <f t="shared" si="33"/>
        <v>0</v>
      </c>
      <c r="T82" s="62">
        <f t="shared" si="22"/>
        <v>0.40500000000000003</v>
      </c>
      <c r="U82" s="61">
        <f t="shared" si="19"/>
        <v>0</v>
      </c>
    </row>
    <row r="83" spans="1:21" x14ac:dyDescent="0.35">
      <c r="A83" s="1">
        <f t="shared" si="35"/>
        <v>46258</v>
      </c>
      <c r="C83" s="11">
        <f>C79</f>
        <v>109016.4705882353</v>
      </c>
      <c r="E83" s="11">
        <v>45000</v>
      </c>
      <c r="F83" s="11">
        <f t="shared" si="23"/>
        <v>4934189.1176470574</v>
      </c>
      <c r="G83" s="11">
        <f t="shared" si="24"/>
        <v>647115</v>
      </c>
      <c r="H83" s="11">
        <f t="shared" si="25"/>
        <v>4287074.1176470574</v>
      </c>
      <c r="I83" s="61">
        <f t="shared" si="21"/>
        <v>0.45672799610836934</v>
      </c>
      <c r="J83" s="61">
        <f t="shared" si="26"/>
        <v>49790.874154571691</v>
      </c>
      <c r="K83" s="94">
        <f t="shared" si="36"/>
        <v>0.7</v>
      </c>
      <c r="L83" s="61">
        <f t="shared" si="27"/>
        <v>31499.999999999996</v>
      </c>
      <c r="M83" s="61">
        <f t="shared" si="28"/>
        <v>18290.874154571695</v>
      </c>
      <c r="N83" s="61">
        <f t="shared" si="34"/>
        <v>1.105</v>
      </c>
      <c r="O83" s="61">
        <f t="shared" si="29"/>
        <v>49725</v>
      </c>
      <c r="P83" s="79">
        <f t="shared" si="30"/>
        <v>0.36651583710407243</v>
      </c>
      <c r="Q83" s="79">
        <f t="shared" si="31"/>
        <v>0.58667149673450736</v>
      </c>
      <c r="R83" s="95">
        <f t="shared" si="32"/>
        <v>120463.20000000001</v>
      </c>
      <c r="S83" s="95">
        <f t="shared" si="33"/>
        <v>49725</v>
      </c>
      <c r="T83" s="62">
        <f t="shared" si="22"/>
        <v>0.40500000000000003</v>
      </c>
      <c r="U83" s="61">
        <f t="shared" ref="U83:U146" si="37">T83*(D83+E83)</f>
        <v>18225</v>
      </c>
    </row>
    <row r="84" spans="1:21" x14ac:dyDescent="0.35">
      <c r="A84" s="1">
        <f t="shared" si="35"/>
        <v>46259</v>
      </c>
      <c r="C84" s="11">
        <f>C83</f>
        <v>109016.4705882353</v>
      </c>
      <c r="E84" s="11">
        <v>45000</v>
      </c>
      <c r="F84" s="11">
        <f t="shared" si="23"/>
        <v>5043205.5882352926</v>
      </c>
      <c r="G84" s="11">
        <f t="shared" si="24"/>
        <v>692115</v>
      </c>
      <c r="H84" s="11">
        <f t="shared" si="25"/>
        <v>4351090.5882352926</v>
      </c>
      <c r="I84" s="61">
        <f t="shared" si="21"/>
        <v>0.45672799610836934</v>
      </c>
      <c r="J84" s="61">
        <f t="shared" si="26"/>
        <v>49790.874154571691</v>
      </c>
      <c r="K84" s="94">
        <f t="shared" si="36"/>
        <v>0.7</v>
      </c>
      <c r="L84" s="61">
        <f t="shared" si="27"/>
        <v>31499.999999999996</v>
      </c>
      <c r="M84" s="61">
        <f t="shared" si="28"/>
        <v>18290.874154571695</v>
      </c>
      <c r="N84" s="61">
        <f t="shared" si="34"/>
        <v>1.105</v>
      </c>
      <c r="O84" s="61">
        <f t="shared" si="29"/>
        <v>49725</v>
      </c>
      <c r="P84" s="79">
        <f t="shared" si="30"/>
        <v>0.36651583710407243</v>
      </c>
      <c r="Q84" s="79">
        <f t="shared" si="31"/>
        <v>0.58667149673450736</v>
      </c>
      <c r="R84" s="95">
        <f t="shared" si="32"/>
        <v>120463.20000000001</v>
      </c>
      <c r="S84" s="95">
        <f t="shared" si="33"/>
        <v>49725</v>
      </c>
      <c r="T84" s="62">
        <f t="shared" si="22"/>
        <v>0.40500000000000003</v>
      </c>
      <c r="U84" s="61">
        <f t="shared" si="37"/>
        <v>18225</v>
      </c>
    </row>
    <row r="85" spans="1:21" x14ac:dyDescent="0.35">
      <c r="A85" s="1">
        <f t="shared" si="35"/>
        <v>46260</v>
      </c>
      <c r="C85" s="11">
        <f>C84</f>
        <v>109016.4705882353</v>
      </c>
      <c r="E85" s="11">
        <v>60000</v>
      </c>
      <c r="F85" s="11">
        <f t="shared" si="23"/>
        <v>5152222.0588235278</v>
      </c>
      <c r="G85" s="11">
        <f t="shared" si="24"/>
        <v>752115</v>
      </c>
      <c r="H85" s="11">
        <f t="shared" si="25"/>
        <v>4400107.0588235278</v>
      </c>
      <c r="I85" s="61">
        <f t="shared" si="21"/>
        <v>0.45672799610836934</v>
      </c>
      <c r="J85" s="61">
        <f t="shared" si="26"/>
        <v>49790.874154571691</v>
      </c>
      <c r="K85" s="94">
        <f t="shared" si="36"/>
        <v>0.7</v>
      </c>
      <c r="L85" s="61">
        <f t="shared" si="27"/>
        <v>42000</v>
      </c>
      <c r="M85" s="61">
        <f t="shared" si="28"/>
        <v>7790.8741545716912</v>
      </c>
      <c r="N85" s="61">
        <f t="shared" si="34"/>
        <v>1.105</v>
      </c>
      <c r="O85" s="61">
        <f t="shared" si="29"/>
        <v>66300</v>
      </c>
      <c r="P85" s="79">
        <f t="shared" si="30"/>
        <v>0.36651583710407243</v>
      </c>
      <c r="Q85" s="79">
        <f t="shared" si="31"/>
        <v>0.58667149673450736</v>
      </c>
      <c r="R85" s="95">
        <f t="shared" si="32"/>
        <v>120463.20000000001</v>
      </c>
      <c r="S85" s="95">
        <f t="shared" si="33"/>
        <v>66300</v>
      </c>
      <c r="T85" s="62">
        <f t="shared" si="22"/>
        <v>0.40500000000000003</v>
      </c>
      <c r="U85" s="61">
        <f t="shared" si="37"/>
        <v>24300</v>
      </c>
    </row>
    <row r="86" spans="1:21" x14ac:dyDescent="0.35">
      <c r="A86" s="1">
        <f t="shared" si="35"/>
        <v>46261</v>
      </c>
      <c r="C86" s="11">
        <f>C85</f>
        <v>109016.4705882353</v>
      </c>
      <c r="E86" s="11">
        <v>60000</v>
      </c>
      <c r="F86" s="11">
        <f t="shared" si="23"/>
        <v>5261238.529411763</v>
      </c>
      <c r="G86" s="11">
        <f t="shared" si="24"/>
        <v>812115</v>
      </c>
      <c r="H86" s="11">
        <f t="shared" si="25"/>
        <v>4449123.529411763</v>
      </c>
      <c r="I86" s="61">
        <f t="shared" si="21"/>
        <v>0.45672799610836934</v>
      </c>
      <c r="J86" s="61">
        <f t="shared" si="26"/>
        <v>49790.874154571691</v>
      </c>
      <c r="K86" s="94">
        <f t="shared" si="36"/>
        <v>0.7</v>
      </c>
      <c r="L86" s="61">
        <f t="shared" si="27"/>
        <v>42000</v>
      </c>
      <c r="M86" s="61">
        <f t="shared" si="28"/>
        <v>7790.8741545716912</v>
      </c>
      <c r="N86" s="61">
        <f t="shared" si="34"/>
        <v>1.105</v>
      </c>
      <c r="O86" s="61">
        <f t="shared" si="29"/>
        <v>66300</v>
      </c>
      <c r="P86" s="79">
        <f t="shared" si="30"/>
        <v>0.36651583710407243</v>
      </c>
      <c r="Q86" s="79">
        <f t="shared" si="31"/>
        <v>0.58667149673450736</v>
      </c>
      <c r="R86" s="95">
        <f t="shared" si="32"/>
        <v>120463.20000000001</v>
      </c>
      <c r="S86" s="95">
        <f t="shared" si="33"/>
        <v>66300</v>
      </c>
      <c r="T86" s="62">
        <f t="shared" si="22"/>
        <v>0.40500000000000003</v>
      </c>
      <c r="U86" s="61">
        <f t="shared" si="37"/>
        <v>24300</v>
      </c>
    </row>
    <row r="87" spans="1:21" x14ac:dyDescent="0.35">
      <c r="A87" s="1">
        <f t="shared" si="35"/>
        <v>46262</v>
      </c>
      <c r="C87" s="11">
        <v>0</v>
      </c>
      <c r="F87" s="11">
        <f t="shared" si="23"/>
        <v>5261238.529411763</v>
      </c>
      <c r="G87" s="11">
        <f t="shared" si="24"/>
        <v>812115</v>
      </c>
      <c r="H87" s="11">
        <f t="shared" si="25"/>
        <v>4449123.529411763</v>
      </c>
      <c r="I87" s="61">
        <f t="shared" si="21"/>
        <v>0.45672799610836934</v>
      </c>
      <c r="J87" s="61">
        <f t="shared" si="26"/>
        <v>0</v>
      </c>
      <c r="K87" s="94">
        <f t="shared" si="36"/>
        <v>0.7</v>
      </c>
      <c r="L87" s="61">
        <f t="shared" si="27"/>
        <v>0</v>
      </c>
      <c r="M87" s="61">
        <f t="shared" si="28"/>
        <v>0</v>
      </c>
      <c r="N87" s="61">
        <f t="shared" si="34"/>
        <v>1.105</v>
      </c>
      <c r="O87" s="61">
        <f t="shared" si="29"/>
        <v>0</v>
      </c>
      <c r="P87" s="79">
        <f t="shared" si="30"/>
        <v>0.36651583710407243</v>
      </c>
      <c r="Q87" s="79">
        <f t="shared" si="31"/>
        <v>0.58667149673450736</v>
      </c>
      <c r="R87" s="95">
        <f t="shared" si="32"/>
        <v>0</v>
      </c>
      <c r="S87" s="95">
        <f t="shared" si="33"/>
        <v>0</v>
      </c>
      <c r="T87" s="62">
        <f t="shared" si="22"/>
        <v>0.40500000000000003</v>
      </c>
      <c r="U87" s="61">
        <f t="shared" si="37"/>
        <v>0</v>
      </c>
    </row>
    <row r="88" spans="1:21" x14ac:dyDescent="0.35">
      <c r="A88" s="1">
        <f t="shared" si="35"/>
        <v>46263</v>
      </c>
      <c r="C88" s="11">
        <f>B88</f>
        <v>0</v>
      </c>
      <c r="F88" s="11">
        <f t="shared" si="23"/>
        <v>5261238.529411763</v>
      </c>
      <c r="G88" s="11">
        <f t="shared" si="24"/>
        <v>812115</v>
      </c>
      <c r="H88" s="11">
        <f t="shared" si="25"/>
        <v>4449123.529411763</v>
      </c>
      <c r="I88" s="61">
        <f t="shared" si="21"/>
        <v>0.45672799610836934</v>
      </c>
      <c r="J88" s="61">
        <f t="shared" si="26"/>
        <v>0</v>
      </c>
      <c r="K88" s="94">
        <f t="shared" si="36"/>
        <v>0.7</v>
      </c>
      <c r="L88" s="61">
        <f t="shared" si="27"/>
        <v>0</v>
      </c>
      <c r="M88" s="61">
        <f t="shared" si="28"/>
        <v>0</v>
      </c>
      <c r="N88" s="61">
        <f t="shared" si="34"/>
        <v>1.105</v>
      </c>
      <c r="O88" s="61">
        <f t="shared" si="29"/>
        <v>0</v>
      </c>
      <c r="P88" s="79">
        <f t="shared" si="30"/>
        <v>0.36651583710407243</v>
      </c>
      <c r="Q88" s="79">
        <f t="shared" si="31"/>
        <v>0.58667149673450736</v>
      </c>
      <c r="R88" s="95">
        <f t="shared" si="32"/>
        <v>0</v>
      </c>
      <c r="S88" s="95">
        <f t="shared" si="33"/>
        <v>0</v>
      </c>
      <c r="T88" s="62">
        <f t="shared" si="22"/>
        <v>0.40500000000000003</v>
      </c>
      <c r="U88" s="61">
        <f t="shared" si="37"/>
        <v>0</v>
      </c>
    </row>
    <row r="89" spans="1:21" x14ac:dyDescent="0.35">
      <c r="A89" s="1">
        <f t="shared" si="35"/>
        <v>46264</v>
      </c>
      <c r="B89" s="93" t="s">
        <v>205</v>
      </c>
      <c r="C89" s="11">
        <v>0</v>
      </c>
      <c r="F89" s="11">
        <f t="shared" si="23"/>
        <v>5261238.529411763</v>
      </c>
      <c r="G89" s="11">
        <f t="shared" si="24"/>
        <v>812115</v>
      </c>
      <c r="H89" s="11">
        <f t="shared" si="25"/>
        <v>4449123.529411763</v>
      </c>
      <c r="I89" s="61">
        <f t="shared" si="21"/>
        <v>0.45672799610836934</v>
      </c>
      <c r="J89" s="61">
        <f t="shared" si="26"/>
        <v>0</v>
      </c>
      <c r="K89" s="94">
        <f t="shared" si="36"/>
        <v>0.7</v>
      </c>
      <c r="L89" s="61">
        <f t="shared" si="27"/>
        <v>0</v>
      </c>
      <c r="M89" s="61">
        <f t="shared" si="28"/>
        <v>0</v>
      </c>
      <c r="N89" s="61">
        <f t="shared" si="34"/>
        <v>1.105</v>
      </c>
      <c r="O89" s="61">
        <f t="shared" si="29"/>
        <v>0</v>
      </c>
      <c r="P89" s="79">
        <f t="shared" si="30"/>
        <v>0.36651583710407243</v>
      </c>
      <c r="Q89" s="79">
        <f t="shared" si="31"/>
        <v>0.58667149673450736</v>
      </c>
      <c r="R89" s="95">
        <f t="shared" si="32"/>
        <v>0</v>
      </c>
      <c r="S89" s="95">
        <f t="shared" si="33"/>
        <v>0</v>
      </c>
      <c r="T89" s="62">
        <f t="shared" si="22"/>
        <v>0.40500000000000003</v>
      </c>
      <c r="U89" s="61">
        <f t="shared" si="37"/>
        <v>0</v>
      </c>
    </row>
    <row r="90" spans="1:21" x14ac:dyDescent="0.35">
      <c r="A90" s="1">
        <f t="shared" si="35"/>
        <v>46265</v>
      </c>
      <c r="C90" s="11">
        <f>C86</f>
        <v>109016.4705882353</v>
      </c>
      <c r="D90" s="126" t="s">
        <v>206</v>
      </c>
      <c r="E90" s="11">
        <v>75000</v>
      </c>
      <c r="F90" s="11">
        <f t="shared" si="23"/>
        <v>5370254.9999999981</v>
      </c>
      <c r="G90" s="11">
        <f>G89+E90</f>
        <v>887115</v>
      </c>
      <c r="H90" s="11">
        <f t="shared" si="25"/>
        <v>4483139.9999999981</v>
      </c>
      <c r="I90" s="61">
        <f t="shared" si="21"/>
        <v>0.45672799610836934</v>
      </c>
      <c r="J90" s="61">
        <f t="shared" si="26"/>
        <v>49790.874154571691</v>
      </c>
      <c r="K90" s="94">
        <f t="shared" si="36"/>
        <v>0.7</v>
      </c>
      <c r="L90" s="61">
        <f>K90*(E90)</f>
        <v>52500</v>
      </c>
      <c r="M90" s="61">
        <f t="shared" si="28"/>
        <v>-2709.1258454283088</v>
      </c>
      <c r="N90" s="61">
        <f t="shared" si="34"/>
        <v>1.105</v>
      </c>
      <c r="O90" s="61">
        <f>N90*(E90)</f>
        <v>82875</v>
      </c>
      <c r="P90" s="79">
        <f t="shared" si="30"/>
        <v>0.36651583710407243</v>
      </c>
      <c r="Q90" s="79">
        <f t="shared" si="31"/>
        <v>0.58667149673450736</v>
      </c>
      <c r="R90" s="95">
        <f t="shared" si="32"/>
        <v>120463.20000000001</v>
      </c>
      <c r="S90" s="95">
        <f>(E90)*N90</f>
        <v>82875</v>
      </c>
      <c r="T90" s="62">
        <f t="shared" si="22"/>
        <v>0.40500000000000003</v>
      </c>
      <c r="U90" s="61">
        <f>T90*(E90)</f>
        <v>30375.000000000004</v>
      </c>
    </row>
    <row r="91" spans="1:21" x14ac:dyDescent="0.35">
      <c r="A91" s="1">
        <f t="shared" si="35"/>
        <v>46266</v>
      </c>
      <c r="C91" s="11">
        <f>'[1]Ramp Plan'!X82/17</f>
        <v>102202.94117647059</v>
      </c>
      <c r="D91" s="126"/>
      <c r="E91" s="11">
        <f>25000*3</f>
        <v>75000</v>
      </c>
      <c r="F91" s="11">
        <f t="shared" si="23"/>
        <v>5472457.9411764685</v>
      </c>
      <c r="G91" s="11">
        <f t="shared" si="24"/>
        <v>962115</v>
      </c>
      <c r="H91" s="11">
        <f t="shared" si="25"/>
        <v>4510342.9411764685</v>
      </c>
      <c r="I91" s="61">
        <f>'[1]Ramp Plan'!X163</f>
        <v>0.45574934196019845</v>
      </c>
      <c r="J91" s="61">
        <f t="shared" si="26"/>
        <v>46578.923187573339</v>
      </c>
      <c r="K91" s="94">
        <v>0.65</v>
      </c>
      <c r="L91" s="61">
        <f t="shared" si="27"/>
        <v>48750</v>
      </c>
      <c r="M91" s="61">
        <f t="shared" si="28"/>
        <v>-2171.0768124266615</v>
      </c>
      <c r="N91" s="61">
        <f t="shared" si="34"/>
        <v>1.105</v>
      </c>
      <c r="O91" s="61">
        <f t="shared" si="29"/>
        <v>82875</v>
      </c>
      <c r="P91" s="79">
        <f t="shared" si="30"/>
        <v>0.41176470588235292</v>
      </c>
      <c r="Q91" s="79">
        <f t="shared" si="31"/>
        <v>0.5875571565971055</v>
      </c>
      <c r="R91" s="95">
        <f t="shared" si="32"/>
        <v>112934.25</v>
      </c>
      <c r="S91" s="95">
        <f t="shared" si="33"/>
        <v>82875</v>
      </c>
      <c r="T91" s="62">
        <f t="shared" si="22"/>
        <v>0.45499999999999996</v>
      </c>
      <c r="U91" s="61">
        <f t="shared" si="37"/>
        <v>34125</v>
      </c>
    </row>
    <row r="92" spans="1:21" x14ac:dyDescent="0.35">
      <c r="A92" s="1">
        <f t="shared" si="35"/>
        <v>46267</v>
      </c>
      <c r="C92" s="11">
        <f>C91</f>
        <v>102202.94117647059</v>
      </c>
      <c r="D92" s="126"/>
      <c r="E92" s="11">
        <f t="shared" ref="E92:E120" si="38">25000*3</f>
        <v>75000</v>
      </c>
      <c r="F92" s="11">
        <f t="shared" si="23"/>
        <v>5574660.8823529389</v>
      </c>
      <c r="G92" s="11">
        <f t="shared" si="24"/>
        <v>1037115</v>
      </c>
      <c r="H92" s="11">
        <f t="shared" si="25"/>
        <v>4537545.8823529389</v>
      </c>
      <c r="I92" s="61">
        <f>$I$91</f>
        <v>0.45574934196019845</v>
      </c>
      <c r="J92" s="61">
        <f t="shared" si="26"/>
        <v>46578.923187573339</v>
      </c>
      <c r="K92" s="94">
        <f t="shared" si="36"/>
        <v>0.65</v>
      </c>
      <c r="L92" s="61">
        <f t="shared" si="27"/>
        <v>48750</v>
      </c>
      <c r="M92" s="61">
        <f t="shared" si="28"/>
        <v>-2171.0768124266615</v>
      </c>
      <c r="N92" s="61">
        <f t="shared" si="34"/>
        <v>1.105</v>
      </c>
      <c r="O92" s="61">
        <f t="shared" si="29"/>
        <v>82875</v>
      </c>
      <c r="P92" s="79">
        <f t="shared" si="30"/>
        <v>0.41176470588235292</v>
      </c>
      <c r="Q92" s="79">
        <f t="shared" si="31"/>
        <v>0.5875571565971055</v>
      </c>
      <c r="R92" s="95">
        <f t="shared" si="32"/>
        <v>112934.25</v>
      </c>
      <c r="S92" s="95">
        <f t="shared" si="33"/>
        <v>82875</v>
      </c>
      <c r="T92" s="62">
        <f t="shared" si="22"/>
        <v>0.45499999999999996</v>
      </c>
      <c r="U92" s="61">
        <f t="shared" si="37"/>
        <v>34125</v>
      </c>
    </row>
    <row r="93" spans="1:21" x14ac:dyDescent="0.35">
      <c r="A93" s="1">
        <f t="shared" si="35"/>
        <v>46268</v>
      </c>
      <c r="C93" s="11">
        <f>C92</f>
        <v>102202.94117647059</v>
      </c>
      <c r="D93" s="126"/>
      <c r="E93" s="11">
        <f t="shared" si="38"/>
        <v>75000</v>
      </c>
      <c r="F93" s="11">
        <f t="shared" si="23"/>
        <v>5676863.8235294092</v>
      </c>
      <c r="G93" s="11">
        <f t="shared" si="24"/>
        <v>1112115</v>
      </c>
      <c r="H93" s="11">
        <f t="shared" si="25"/>
        <v>4564748.8235294092</v>
      </c>
      <c r="I93" s="61">
        <f t="shared" ref="I93:I120" si="39">$I$91</f>
        <v>0.45574934196019845</v>
      </c>
      <c r="J93" s="61">
        <f t="shared" si="26"/>
        <v>46578.923187573339</v>
      </c>
      <c r="K93" s="94">
        <f t="shared" si="36"/>
        <v>0.65</v>
      </c>
      <c r="L93" s="61">
        <f t="shared" si="27"/>
        <v>48750</v>
      </c>
      <c r="M93" s="61">
        <f t="shared" si="28"/>
        <v>-2171.0768124266615</v>
      </c>
      <c r="N93" s="61">
        <f t="shared" si="34"/>
        <v>1.105</v>
      </c>
      <c r="O93" s="61">
        <f t="shared" si="29"/>
        <v>82875</v>
      </c>
      <c r="P93" s="79">
        <f t="shared" si="30"/>
        <v>0.41176470588235292</v>
      </c>
      <c r="Q93" s="79">
        <f t="shared" si="31"/>
        <v>0.5875571565971055</v>
      </c>
      <c r="R93" s="95">
        <f t="shared" si="32"/>
        <v>112934.25</v>
      </c>
      <c r="S93" s="95">
        <f t="shared" si="33"/>
        <v>82875</v>
      </c>
      <c r="T93" s="62">
        <f t="shared" si="22"/>
        <v>0.45499999999999996</v>
      </c>
      <c r="U93" s="61">
        <f t="shared" si="37"/>
        <v>34125</v>
      </c>
    </row>
    <row r="94" spans="1:21" x14ac:dyDescent="0.35">
      <c r="A94" s="1">
        <f t="shared" si="35"/>
        <v>46269</v>
      </c>
      <c r="C94" s="11">
        <v>0</v>
      </c>
      <c r="D94" s="126"/>
      <c r="F94" s="11">
        <f t="shared" si="23"/>
        <v>5676863.8235294092</v>
      </c>
      <c r="G94" s="11">
        <f t="shared" si="24"/>
        <v>1112115</v>
      </c>
      <c r="H94" s="11">
        <f t="shared" si="25"/>
        <v>4564748.8235294092</v>
      </c>
      <c r="I94" s="61">
        <f t="shared" si="39"/>
        <v>0.45574934196019845</v>
      </c>
      <c r="J94" s="61">
        <f t="shared" si="26"/>
        <v>0</v>
      </c>
      <c r="K94" s="94">
        <f t="shared" si="36"/>
        <v>0.65</v>
      </c>
      <c r="L94" s="61">
        <f t="shared" si="27"/>
        <v>0</v>
      </c>
      <c r="M94" s="61">
        <f t="shared" si="28"/>
        <v>0</v>
      </c>
      <c r="N94" s="61">
        <f t="shared" si="34"/>
        <v>1.105</v>
      </c>
      <c r="O94" s="61">
        <f t="shared" si="29"/>
        <v>0</v>
      </c>
      <c r="P94" s="79">
        <f t="shared" si="30"/>
        <v>0.41176470588235292</v>
      </c>
      <c r="Q94" s="79">
        <f t="shared" si="31"/>
        <v>0.5875571565971055</v>
      </c>
      <c r="R94" s="95">
        <f t="shared" si="32"/>
        <v>0</v>
      </c>
      <c r="S94" s="95">
        <f t="shared" si="33"/>
        <v>0</v>
      </c>
      <c r="T94" s="62">
        <f t="shared" si="22"/>
        <v>0.45499999999999996</v>
      </c>
      <c r="U94" s="61">
        <f t="shared" si="37"/>
        <v>0</v>
      </c>
    </row>
    <row r="95" spans="1:21" x14ac:dyDescent="0.35">
      <c r="A95" s="1">
        <f t="shared" si="35"/>
        <v>46270</v>
      </c>
      <c r="C95" s="11">
        <f>B95</f>
        <v>0</v>
      </c>
      <c r="F95" s="11">
        <f t="shared" si="23"/>
        <v>5676863.8235294092</v>
      </c>
      <c r="G95" s="11">
        <f t="shared" si="24"/>
        <v>1112115</v>
      </c>
      <c r="H95" s="11">
        <f t="shared" si="25"/>
        <v>4564748.8235294092</v>
      </c>
      <c r="I95" s="61">
        <f t="shared" si="39"/>
        <v>0.45574934196019845</v>
      </c>
      <c r="J95" s="61">
        <f t="shared" si="26"/>
        <v>0</v>
      </c>
      <c r="K95" s="94">
        <f t="shared" si="36"/>
        <v>0.65</v>
      </c>
      <c r="L95" s="61">
        <f t="shared" si="27"/>
        <v>0</v>
      </c>
      <c r="M95" s="61">
        <f t="shared" si="28"/>
        <v>0</v>
      </c>
      <c r="N95" s="61">
        <f t="shared" si="34"/>
        <v>1.105</v>
      </c>
      <c r="O95" s="61">
        <f t="shared" si="29"/>
        <v>0</v>
      </c>
      <c r="P95" s="79">
        <f t="shared" si="30"/>
        <v>0.41176470588235292</v>
      </c>
      <c r="Q95" s="79">
        <f t="shared" si="31"/>
        <v>0.5875571565971055</v>
      </c>
      <c r="R95" s="95">
        <f t="shared" si="32"/>
        <v>0</v>
      </c>
      <c r="S95" s="95">
        <f t="shared" si="33"/>
        <v>0</v>
      </c>
      <c r="T95" s="62">
        <f t="shared" si="22"/>
        <v>0.45499999999999996</v>
      </c>
      <c r="U95" s="61">
        <f t="shared" si="37"/>
        <v>0</v>
      </c>
    </row>
    <row r="96" spans="1:21" x14ac:dyDescent="0.35">
      <c r="A96" s="1">
        <f t="shared" si="35"/>
        <v>46271</v>
      </c>
      <c r="B96" s="93" t="s">
        <v>205</v>
      </c>
      <c r="C96" s="11">
        <v>0</v>
      </c>
      <c r="F96" s="11">
        <f t="shared" si="23"/>
        <v>5676863.8235294092</v>
      </c>
      <c r="G96" s="11">
        <f t="shared" si="24"/>
        <v>1112115</v>
      </c>
      <c r="H96" s="11">
        <f t="shared" si="25"/>
        <v>4564748.8235294092</v>
      </c>
      <c r="I96" s="61">
        <f t="shared" si="39"/>
        <v>0.45574934196019845</v>
      </c>
      <c r="J96" s="61">
        <f t="shared" si="26"/>
        <v>0</v>
      </c>
      <c r="K96" s="94">
        <f t="shared" si="36"/>
        <v>0.65</v>
      </c>
      <c r="L96" s="61">
        <f t="shared" si="27"/>
        <v>0</v>
      </c>
      <c r="M96" s="61">
        <f t="shared" si="28"/>
        <v>0</v>
      </c>
      <c r="N96" s="61">
        <f t="shared" si="34"/>
        <v>1.105</v>
      </c>
      <c r="O96" s="61">
        <f t="shared" si="29"/>
        <v>0</v>
      </c>
      <c r="P96" s="79">
        <f t="shared" si="30"/>
        <v>0.41176470588235292</v>
      </c>
      <c r="Q96" s="79">
        <f t="shared" si="31"/>
        <v>0.5875571565971055</v>
      </c>
      <c r="R96" s="95">
        <f t="shared" si="32"/>
        <v>0</v>
      </c>
      <c r="S96" s="95">
        <f t="shared" si="33"/>
        <v>0</v>
      </c>
      <c r="T96" s="62">
        <f t="shared" si="22"/>
        <v>0.45499999999999996</v>
      </c>
      <c r="U96" s="61">
        <f t="shared" si="37"/>
        <v>0</v>
      </c>
    </row>
    <row r="97" spans="1:21" x14ac:dyDescent="0.35">
      <c r="A97" s="1">
        <f t="shared" si="35"/>
        <v>46272</v>
      </c>
      <c r="B97" s="93" t="s">
        <v>205</v>
      </c>
      <c r="C97" s="11">
        <v>0</v>
      </c>
      <c r="F97" s="11">
        <f t="shared" si="23"/>
        <v>5676863.8235294092</v>
      </c>
      <c r="G97" s="11">
        <f t="shared" si="24"/>
        <v>1112115</v>
      </c>
      <c r="H97" s="11">
        <f t="shared" si="25"/>
        <v>4564748.8235294092</v>
      </c>
      <c r="I97" s="61">
        <f t="shared" si="39"/>
        <v>0.45574934196019845</v>
      </c>
      <c r="J97" s="61">
        <f t="shared" si="26"/>
        <v>0</v>
      </c>
      <c r="K97" s="94">
        <f t="shared" si="36"/>
        <v>0.65</v>
      </c>
      <c r="L97" s="61">
        <f t="shared" si="27"/>
        <v>0</v>
      </c>
      <c r="M97" s="61">
        <f t="shared" si="28"/>
        <v>0</v>
      </c>
      <c r="N97" s="61">
        <f t="shared" si="34"/>
        <v>1.105</v>
      </c>
      <c r="O97" s="61">
        <f t="shared" si="29"/>
        <v>0</v>
      </c>
      <c r="P97" s="79">
        <f t="shared" si="30"/>
        <v>0.41176470588235292</v>
      </c>
      <c r="Q97" s="79">
        <f t="shared" si="31"/>
        <v>0.5875571565971055</v>
      </c>
      <c r="R97" s="95">
        <f t="shared" si="32"/>
        <v>0</v>
      </c>
      <c r="S97" s="95">
        <f t="shared" si="33"/>
        <v>0</v>
      </c>
      <c r="T97" s="62">
        <f t="shared" si="22"/>
        <v>0.45499999999999996</v>
      </c>
      <c r="U97" s="61">
        <f t="shared" si="37"/>
        <v>0</v>
      </c>
    </row>
    <row r="98" spans="1:21" x14ac:dyDescent="0.35">
      <c r="A98" s="1">
        <f t="shared" si="35"/>
        <v>46273</v>
      </c>
      <c r="C98" s="11">
        <f>C93</f>
        <v>102202.94117647059</v>
      </c>
      <c r="E98" s="11">
        <f t="shared" si="38"/>
        <v>75000</v>
      </c>
      <c r="F98" s="11">
        <f t="shared" si="23"/>
        <v>5779066.7647058796</v>
      </c>
      <c r="G98" s="11">
        <f t="shared" si="24"/>
        <v>1187115</v>
      </c>
      <c r="H98" s="11">
        <f t="shared" si="25"/>
        <v>4591951.7647058796</v>
      </c>
      <c r="I98" s="61">
        <f t="shared" si="39"/>
        <v>0.45574934196019845</v>
      </c>
      <c r="J98" s="61">
        <f t="shared" si="26"/>
        <v>46578.923187573339</v>
      </c>
      <c r="K98" s="94">
        <f t="shared" si="36"/>
        <v>0.65</v>
      </c>
      <c r="L98" s="61">
        <f t="shared" si="27"/>
        <v>48750</v>
      </c>
      <c r="M98" s="61">
        <f t="shared" si="28"/>
        <v>-2171.0768124266615</v>
      </c>
      <c r="N98" s="61">
        <f t="shared" si="34"/>
        <v>1.105</v>
      </c>
      <c r="O98" s="61">
        <f t="shared" si="29"/>
        <v>82875</v>
      </c>
      <c r="P98" s="79">
        <f t="shared" si="30"/>
        <v>0.41176470588235292</v>
      </c>
      <c r="Q98" s="79">
        <f t="shared" si="31"/>
        <v>0.5875571565971055</v>
      </c>
      <c r="R98" s="95">
        <f t="shared" si="32"/>
        <v>112934.25</v>
      </c>
      <c r="S98" s="95">
        <f t="shared" si="33"/>
        <v>82875</v>
      </c>
      <c r="T98" s="62">
        <f t="shared" si="22"/>
        <v>0.45499999999999996</v>
      </c>
      <c r="U98" s="61">
        <f t="shared" si="37"/>
        <v>34125</v>
      </c>
    </row>
    <row r="99" spans="1:21" x14ac:dyDescent="0.35">
      <c r="A99" s="1">
        <f t="shared" si="35"/>
        <v>46274</v>
      </c>
      <c r="C99" s="11">
        <f>C98</f>
        <v>102202.94117647059</v>
      </c>
      <c r="E99" s="11">
        <f t="shared" si="38"/>
        <v>75000</v>
      </c>
      <c r="F99" s="11">
        <f t="shared" si="23"/>
        <v>5881269.70588235</v>
      </c>
      <c r="G99" s="11">
        <f t="shared" si="24"/>
        <v>1262115</v>
      </c>
      <c r="H99" s="11">
        <f t="shared" si="25"/>
        <v>4619154.70588235</v>
      </c>
      <c r="I99" s="61">
        <f t="shared" si="39"/>
        <v>0.45574934196019845</v>
      </c>
      <c r="J99" s="61">
        <f t="shared" si="26"/>
        <v>46578.923187573339</v>
      </c>
      <c r="K99" s="94">
        <f t="shared" si="36"/>
        <v>0.65</v>
      </c>
      <c r="L99" s="61">
        <f t="shared" si="27"/>
        <v>48750</v>
      </c>
      <c r="M99" s="61">
        <f t="shared" si="28"/>
        <v>-2171.0768124266615</v>
      </c>
      <c r="N99" s="61">
        <f t="shared" si="34"/>
        <v>1.105</v>
      </c>
      <c r="O99" s="61">
        <f t="shared" si="29"/>
        <v>82875</v>
      </c>
      <c r="P99" s="79">
        <f t="shared" si="30"/>
        <v>0.41176470588235292</v>
      </c>
      <c r="Q99" s="79">
        <f t="shared" si="31"/>
        <v>0.5875571565971055</v>
      </c>
      <c r="R99" s="95">
        <f t="shared" si="32"/>
        <v>112934.25</v>
      </c>
      <c r="S99" s="95">
        <f t="shared" si="33"/>
        <v>82875</v>
      </c>
      <c r="T99" s="62">
        <f t="shared" si="22"/>
        <v>0.45499999999999996</v>
      </c>
      <c r="U99" s="61">
        <f t="shared" si="37"/>
        <v>34125</v>
      </c>
    </row>
    <row r="100" spans="1:21" x14ac:dyDescent="0.35">
      <c r="A100" s="1">
        <f t="shared" si="35"/>
        <v>46275</v>
      </c>
      <c r="C100" s="11">
        <f>C99</f>
        <v>102202.94117647059</v>
      </c>
      <c r="E100" s="11">
        <f t="shared" si="38"/>
        <v>75000</v>
      </c>
      <c r="F100" s="11">
        <f t="shared" si="23"/>
        <v>5983472.6470588204</v>
      </c>
      <c r="G100" s="11">
        <f t="shared" si="24"/>
        <v>1337115</v>
      </c>
      <c r="H100" s="11">
        <f t="shared" si="25"/>
        <v>4646357.6470588204</v>
      </c>
      <c r="I100" s="61">
        <f t="shared" si="39"/>
        <v>0.45574934196019845</v>
      </c>
      <c r="J100" s="61">
        <f t="shared" si="26"/>
        <v>46578.923187573339</v>
      </c>
      <c r="K100" s="94">
        <f t="shared" si="36"/>
        <v>0.65</v>
      </c>
      <c r="L100" s="61">
        <f t="shared" si="27"/>
        <v>48750</v>
      </c>
      <c r="M100" s="61">
        <f t="shared" si="28"/>
        <v>-2171.0768124266615</v>
      </c>
      <c r="N100" s="61">
        <f t="shared" si="34"/>
        <v>1.105</v>
      </c>
      <c r="O100" s="61">
        <f t="shared" si="29"/>
        <v>82875</v>
      </c>
      <c r="P100" s="79">
        <f t="shared" si="30"/>
        <v>0.41176470588235292</v>
      </c>
      <c r="Q100" s="79">
        <f t="shared" si="31"/>
        <v>0.5875571565971055</v>
      </c>
      <c r="R100" s="95">
        <f t="shared" si="32"/>
        <v>112934.25</v>
      </c>
      <c r="S100" s="95">
        <f t="shared" si="33"/>
        <v>82875</v>
      </c>
      <c r="T100" s="62">
        <f t="shared" si="22"/>
        <v>0.45499999999999996</v>
      </c>
      <c r="U100" s="61">
        <f t="shared" si="37"/>
        <v>34125</v>
      </c>
    </row>
    <row r="101" spans="1:21" x14ac:dyDescent="0.35">
      <c r="A101" s="1">
        <f t="shared" si="35"/>
        <v>46276</v>
      </c>
      <c r="C101" s="11">
        <v>0</v>
      </c>
      <c r="E101" s="11">
        <f t="shared" si="38"/>
        <v>75000</v>
      </c>
      <c r="F101" s="11">
        <f t="shared" si="23"/>
        <v>5983472.6470588204</v>
      </c>
      <c r="G101" s="11">
        <f t="shared" si="24"/>
        <v>1412115</v>
      </c>
      <c r="H101" s="11">
        <f t="shared" si="25"/>
        <v>4571357.6470588204</v>
      </c>
      <c r="I101" s="61">
        <f t="shared" si="39"/>
        <v>0.45574934196019845</v>
      </c>
      <c r="J101" s="61">
        <f t="shared" si="26"/>
        <v>0</v>
      </c>
      <c r="K101" s="94">
        <f t="shared" si="36"/>
        <v>0.65</v>
      </c>
      <c r="L101" s="61">
        <f t="shared" si="27"/>
        <v>48750</v>
      </c>
      <c r="M101" s="61">
        <f t="shared" si="28"/>
        <v>-48750</v>
      </c>
      <c r="N101" s="61">
        <f t="shared" si="34"/>
        <v>1.105</v>
      </c>
      <c r="O101" s="61">
        <f t="shared" si="29"/>
        <v>82875</v>
      </c>
      <c r="P101" s="79">
        <f t="shared" si="30"/>
        <v>0.41176470588235292</v>
      </c>
      <c r="Q101" s="79">
        <f t="shared" si="31"/>
        <v>0.5875571565971055</v>
      </c>
      <c r="R101" s="95">
        <f t="shared" si="32"/>
        <v>0</v>
      </c>
      <c r="S101" s="95">
        <f t="shared" si="33"/>
        <v>82875</v>
      </c>
      <c r="T101" s="62">
        <f t="shared" si="22"/>
        <v>0.45499999999999996</v>
      </c>
      <c r="U101" s="61">
        <f t="shared" si="37"/>
        <v>34125</v>
      </c>
    </row>
    <row r="102" spans="1:21" x14ac:dyDescent="0.35">
      <c r="A102" s="1">
        <f t="shared" si="35"/>
        <v>46277</v>
      </c>
      <c r="C102" s="11">
        <f>B102</f>
        <v>0</v>
      </c>
      <c r="F102" s="11">
        <f t="shared" si="23"/>
        <v>5983472.6470588204</v>
      </c>
      <c r="G102" s="11">
        <f t="shared" si="24"/>
        <v>1412115</v>
      </c>
      <c r="H102" s="11">
        <f t="shared" si="25"/>
        <v>4571357.6470588204</v>
      </c>
      <c r="I102" s="61">
        <f t="shared" si="39"/>
        <v>0.45574934196019845</v>
      </c>
      <c r="J102" s="61">
        <f t="shared" si="26"/>
        <v>0</v>
      </c>
      <c r="K102" s="94">
        <f t="shared" si="36"/>
        <v>0.65</v>
      </c>
      <c r="L102" s="61">
        <f t="shared" si="27"/>
        <v>0</v>
      </c>
      <c r="M102" s="61">
        <f t="shared" si="28"/>
        <v>0</v>
      </c>
      <c r="N102" s="61">
        <f t="shared" si="34"/>
        <v>1.105</v>
      </c>
      <c r="O102" s="61">
        <f t="shared" si="29"/>
        <v>0</v>
      </c>
      <c r="P102" s="79">
        <f t="shared" si="30"/>
        <v>0.41176470588235292</v>
      </c>
      <c r="Q102" s="79">
        <f t="shared" si="31"/>
        <v>0.5875571565971055</v>
      </c>
      <c r="R102" s="95">
        <f t="shared" si="32"/>
        <v>0</v>
      </c>
      <c r="S102" s="95">
        <f t="shared" si="33"/>
        <v>0</v>
      </c>
      <c r="T102" s="62">
        <f t="shared" si="22"/>
        <v>0.45499999999999996</v>
      </c>
      <c r="U102" s="61">
        <f t="shared" si="37"/>
        <v>0</v>
      </c>
    </row>
    <row r="103" spans="1:21" x14ac:dyDescent="0.35">
      <c r="A103" s="1">
        <f t="shared" si="35"/>
        <v>46278</v>
      </c>
      <c r="B103" s="93" t="s">
        <v>205</v>
      </c>
      <c r="C103" s="11">
        <v>0</v>
      </c>
      <c r="F103" s="11">
        <f t="shared" si="23"/>
        <v>5983472.6470588204</v>
      </c>
      <c r="G103" s="11">
        <f t="shared" si="24"/>
        <v>1412115</v>
      </c>
      <c r="H103" s="11">
        <f t="shared" si="25"/>
        <v>4571357.6470588204</v>
      </c>
      <c r="I103" s="61">
        <f t="shared" si="39"/>
        <v>0.45574934196019845</v>
      </c>
      <c r="J103" s="61">
        <f t="shared" si="26"/>
        <v>0</v>
      </c>
      <c r="K103" s="94">
        <f t="shared" si="36"/>
        <v>0.65</v>
      </c>
      <c r="L103" s="61">
        <f t="shared" si="27"/>
        <v>0</v>
      </c>
      <c r="M103" s="61">
        <f t="shared" si="28"/>
        <v>0</v>
      </c>
      <c r="N103" s="61">
        <f t="shared" si="34"/>
        <v>1.105</v>
      </c>
      <c r="O103" s="61">
        <f t="shared" si="29"/>
        <v>0</v>
      </c>
      <c r="P103" s="79">
        <f t="shared" si="30"/>
        <v>0.41176470588235292</v>
      </c>
      <c r="Q103" s="79">
        <f t="shared" si="31"/>
        <v>0.5875571565971055</v>
      </c>
      <c r="R103" s="95">
        <f t="shared" si="32"/>
        <v>0</v>
      </c>
      <c r="S103" s="95">
        <f t="shared" si="33"/>
        <v>0</v>
      </c>
      <c r="T103" s="62">
        <f t="shared" si="22"/>
        <v>0.45499999999999996</v>
      </c>
      <c r="U103" s="61">
        <f t="shared" si="37"/>
        <v>0</v>
      </c>
    </row>
    <row r="104" spans="1:21" x14ac:dyDescent="0.35">
      <c r="A104" s="1">
        <f t="shared" si="35"/>
        <v>46279</v>
      </c>
      <c r="C104" s="11">
        <f>C100</f>
        <v>102202.94117647059</v>
      </c>
      <c r="E104" s="11">
        <f t="shared" si="38"/>
        <v>75000</v>
      </c>
      <c r="F104" s="11">
        <f t="shared" si="23"/>
        <v>6085675.5882352907</v>
      </c>
      <c r="G104" s="11">
        <f t="shared" si="24"/>
        <v>1487115</v>
      </c>
      <c r="H104" s="11">
        <f t="shared" si="25"/>
        <v>4598560.5882352907</v>
      </c>
      <c r="I104" s="61">
        <f t="shared" si="39"/>
        <v>0.45574934196019845</v>
      </c>
      <c r="J104" s="61">
        <f t="shared" si="26"/>
        <v>46578.923187573339</v>
      </c>
      <c r="K104" s="94">
        <f t="shared" si="36"/>
        <v>0.65</v>
      </c>
      <c r="L104" s="61">
        <f t="shared" si="27"/>
        <v>48750</v>
      </c>
      <c r="M104" s="61">
        <f t="shared" si="28"/>
        <v>-2171.0768124266615</v>
      </c>
      <c r="N104" s="61">
        <f t="shared" si="34"/>
        <v>1.105</v>
      </c>
      <c r="O104" s="61">
        <f t="shared" si="29"/>
        <v>82875</v>
      </c>
      <c r="P104" s="79">
        <f t="shared" si="30"/>
        <v>0.41176470588235292</v>
      </c>
      <c r="Q104" s="79">
        <f t="shared" si="31"/>
        <v>0.5875571565971055</v>
      </c>
      <c r="R104" s="95">
        <f t="shared" si="32"/>
        <v>112934.25</v>
      </c>
      <c r="S104" s="95">
        <f t="shared" si="33"/>
        <v>82875</v>
      </c>
      <c r="T104" s="62">
        <f t="shared" si="22"/>
        <v>0.45499999999999996</v>
      </c>
      <c r="U104" s="61">
        <f t="shared" si="37"/>
        <v>34125</v>
      </c>
    </row>
    <row r="105" spans="1:21" x14ac:dyDescent="0.35">
      <c r="A105" s="1">
        <f t="shared" si="35"/>
        <v>46280</v>
      </c>
      <c r="C105" s="11">
        <f>C104</f>
        <v>102202.94117647059</v>
      </c>
      <c r="E105" s="11">
        <f t="shared" si="38"/>
        <v>75000</v>
      </c>
      <c r="F105" s="11">
        <f t="shared" si="23"/>
        <v>6187878.5294117611</v>
      </c>
      <c r="G105" s="11">
        <f t="shared" si="24"/>
        <v>1562115</v>
      </c>
      <c r="H105" s="11">
        <f t="shared" si="25"/>
        <v>4625763.5294117611</v>
      </c>
      <c r="I105" s="61">
        <f t="shared" si="39"/>
        <v>0.45574934196019845</v>
      </c>
      <c r="J105" s="61">
        <f t="shared" si="26"/>
        <v>46578.923187573339</v>
      </c>
      <c r="K105" s="94">
        <f t="shared" si="36"/>
        <v>0.65</v>
      </c>
      <c r="L105" s="61">
        <f t="shared" si="27"/>
        <v>48750</v>
      </c>
      <c r="M105" s="61">
        <f t="shared" si="28"/>
        <v>-2171.0768124266615</v>
      </c>
      <c r="N105" s="61">
        <f t="shared" si="34"/>
        <v>1.105</v>
      </c>
      <c r="O105" s="61">
        <f t="shared" si="29"/>
        <v>82875</v>
      </c>
      <c r="P105" s="79">
        <f t="shared" si="30"/>
        <v>0.41176470588235292</v>
      </c>
      <c r="Q105" s="79">
        <f t="shared" si="31"/>
        <v>0.5875571565971055</v>
      </c>
      <c r="R105" s="95">
        <f t="shared" si="32"/>
        <v>112934.25</v>
      </c>
      <c r="S105" s="95">
        <f t="shared" si="33"/>
        <v>82875</v>
      </c>
      <c r="T105" s="62">
        <f t="shared" si="22"/>
        <v>0.45499999999999996</v>
      </c>
      <c r="U105" s="61">
        <f t="shared" si="37"/>
        <v>34125</v>
      </c>
    </row>
    <row r="106" spans="1:21" x14ac:dyDescent="0.35">
      <c r="A106" s="1">
        <f t="shared" si="35"/>
        <v>46281</v>
      </c>
      <c r="C106" s="11">
        <f>C105</f>
        <v>102202.94117647059</v>
      </c>
      <c r="E106" s="11">
        <f t="shared" si="38"/>
        <v>75000</v>
      </c>
      <c r="F106" s="11">
        <f t="shared" si="23"/>
        <v>6290081.4705882315</v>
      </c>
      <c r="G106" s="11">
        <f t="shared" si="24"/>
        <v>1637115</v>
      </c>
      <c r="H106" s="11">
        <f t="shared" si="25"/>
        <v>4652966.4705882315</v>
      </c>
      <c r="I106" s="61">
        <f t="shared" si="39"/>
        <v>0.45574934196019845</v>
      </c>
      <c r="J106" s="61">
        <f t="shared" si="26"/>
        <v>46578.923187573339</v>
      </c>
      <c r="K106" s="94">
        <f t="shared" si="36"/>
        <v>0.65</v>
      </c>
      <c r="L106" s="61">
        <f t="shared" si="27"/>
        <v>48750</v>
      </c>
      <c r="M106" s="61">
        <f t="shared" si="28"/>
        <v>-2171.0768124266615</v>
      </c>
      <c r="N106" s="61">
        <f t="shared" si="34"/>
        <v>1.105</v>
      </c>
      <c r="O106" s="61">
        <f t="shared" si="29"/>
        <v>82875</v>
      </c>
      <c r="P106" s="79">
        <f t="shared" si="30"/>
        <v>0.41176470588235292</v>
      </c>
      <c r="Q106" s="79">
        <f t="shared" si="31"/>
        <v>0.5875571565971055</v>
      </c>
      <c r="R106" s="95">
        <f t="shared" si="32"/>
        <v>112934.25</v>
      </c>
      <c r="S106" s="95">
        <f t="shared" si="33"/>
        <v>82875</v>
      </c>
      <c r="T106" s="62">
        <f t="shared" si="22"/>
        <v>0.45499999999999996</v>
      </c>
      <c r="U106" s="61">
        <f t="shared" si="37"/>
        <v>34125</v>
      </c>
    </row>
    <row r="107" spans="1:21" x14ac:dyDescent="0.35">
      <c r="A107" s="1">
        <f t="shared" si="35"/>
        <v>46282</v>
      </c>
      <c r="C107" s="11">
        <f>C106</f>
        <v>102202.94117647059</v>
      </c>
      <c r="E107" s="11">
        <f t="shared" si="38"/>
        <v>75000</v>
      </c>
      <c r="F107" s="11">
        <f t="shared" si="23"/>
        <v>6392284.4117647018</v>
      </c>
      <c r="G107" s="11">
        <f t="shared" si="24"/>
        <v>1712115</v>
      </c>
      <c r="H107" s="11">
        <f t="shared" si="25"/>
        <v>4680169.4117647018</v>
      </c>
      <c r="I107" s="61">
        <f t="shared" si="39"/>
        <v>0.45574934196019845</v>
      </c>
      <c r="J107" s="61">
        <f t="shared" si="26"/>
        <v>46578.923187573339</v>
      </c>
      <c r="K107" s="94">
        <f t="shared" si="36"/>
        <v>0.65</v>
      </c>
      <c r="L107" s="61">
        <f t="shared" si="27"/>
        <v>48750</v>
      </c>
      <c r="M107" s="61">
        <f t="shared" si="28"/>
        <v>-2171.0768124266615</v>
      </c>
      <c r="N107" s="61">
        <f t="shared" si="34"/>
        <v>1.105</v>
      </c>
      <c r="O107" s="61">
        <f t="shared" si="29"/>
        <v>82875</v>
      </c>
      <c r="P107" s="79">
        <f t="shared" si="30"/>
        <v>0.41176470588235292</v>
      </c>
      <c r="Q107" s="79">
        <f t="shared" si="31"/>
        <v>0.5875571565971055</v>
      </c>
      <c r="R107" s="95">
        <f t="shared" si="32"/>
        <v>112934.25</v>
      </c>
      <c r="S107" s="95">
        <f t="shared" si="33"/>
        <v>82875</v>
      </c>
      <c r="T107" s="62">
        <f t="shared" si="22"/>
        <v>0.45499999999999996</v>
      </c>
      <c r="U107" s="61">
        <f t="shared" si="37"/>
        <v>34125</v>
      </c>
    </row>
    <row r="108" spans="1:21" x14ac:dyDescent="0.35">
      <c r="A108" s="1">
        <f t="shared" si="35"/>
        <v>46283</v>
      </c>
      <c r="C108" s="11">
        <v>0</v>
      </c>
      <c r="E108" s="11">
        <f>E107</f>
        <v>75000</v>
      </c>
      <c r="F108" s="11">
        <f t="shared" si="23"/>
        <v>6392284.4117647018</v>
      </c>
      <c r="G108" s="11">
        <f t="shared" si="24"/>
        <v>1787115</v>
      </c>
      <c r="H108" s="11">
        <f t="shared" si="25"/>
        <v>4605169.4117647018</v>
      </c>
      <c r="I108" s="61">
        <f t="shared" si="39"/>
        <v>0.45574934196019845</v>
      </c>
      <c r="J108" s="61">
        <f t="shared" si="26"/>
        <v>0</v>
      </c>
      <c r="K108" s="94">
        <f>K107</f>
        <v>0.65</v>
      </c>
      <c r="L108" s="61">
        <f t="shared" si="27"/>
        <v>48750</v>
      </c>
      <c r="M108" s="61">
        <f t="shared" si="28"/>
        <v>-48750</v>
      </c>
      <c r="N108" s="61">
        <f t="shared" si="34"/>
        <v>1.105</v>
      </c>
      <c r="O108" s="61">
        <f t="shared" si="29"/>
        <v>82875</v>
      </c>
      <c r="P108" s="79">
        <f t="shared" si="30"/>
        <v>0.41176470588235292</v>
      </c>
      <c r="Q108" s="79">
        <f t="shared" si="31"/>
        <v>0.5875571565971055</v>
      </c>
      <c r="R108" s="95">
        <f t="shared" si="32"/>
        <v>0</v>
      </c>
      <c r="S108" s="95">
        <f t="shared" si="33"/>
        <v>82875</v>
      </c>
      <c r="T108" s="62">
        <f t="shared" si="22"/>
        <v>0.45499999999999996</v>
      </c>
      <c r="U108" s="61">
        <f t="shared" si="37"/>
        <v>34125</v>
      </c>
    </row>
    <row r="109" spans="1:21" x14ac:dyDescent="0.35">
      <c r="A109" s="1">
        <f t="shared" si="35"/>
        <v>46284</v>
      </c>
      <c r="C109" s="11">
        <f>B109</f>
        <v>0</v>
      </c>
      <c r="F109" s="11">
        <f t="shared" si="23"/>
        <v>6392284.4117647018</v>
      </c>
      <c r="G109" s="11">
        <f t="shared" si="24"/>
        <v>1787115</v>
      </c>
      <c r="H109" s="11">
        <f t="shared" si="25"/>
        <v>4605169.4117647018</v>
      </c>
      <c r="I109" s="61">
        <f t="shared" si="39"/>
        <v>0.45574934196019845</v>
      </c>
      <c r="J109" s="61">
        <f t="shared" si="26"/>
        <v>0</v>
      </c>
      <c r="K109" s="94">
        <f t="shared" si="36"/>
        <v>0.65</v>
      </c>
      <c r="L109" s="61">
        <f t="shared" si="27"/>
        <v>0</v>
      </c>
      <c r="M109" s="61">
        <f t="shared" si="28"/>
        <v>0</v>
      </c>
      <c r="N109" s="61">
        <f t="shared" si="34"/>
        <v>1.105</v>
      </c>
      <c r="O109" s="61">
        <f t="shared" si="29"/>
        <v>0</v>
      </c>
      <c r="P109" s="79">
        <f t="shared" si="30"/>
        <v>0.41176470588235292</v>
      </c>
      <c r="Q109" s="79">
        <f t="shared" si="31"/>
        <v>0.5875571565971055</v>
      </c>
      <c r="R109" s="95">
        <f t="shared" si="32"/>
        <v>0</v>
      </c>
      <c r="S109" s="95">
        <f t="shared" si="33"/>
        <v>0</v>
      </c>
      <c r="T109" s="62">
        <f t="shared" si="22"/>
        <v>0.45499999999999996</v>
      </c>
      <c r="U109" s="61">
        <f t="shared" si="37"/>
        <v>0</v>
      </c>
    </row>
    <row r="110" spans="1:21" x14ac:dyDescent="0.35">
      <c r="A110" s="1">
        <f t="shared" si="35"/>
        <v>46285</v>
      </c>
      <c r="B110" s="93" t="s">
        <v>205</v>
      </c>
      <c r="C110" s="11">
        <v>0</v>
      </c>
      <c r="F110" s="11">
        <f t="shared" si="23"/>
        <v>6392284.4117647018</v>
      </c>
      <c r="G110" s="11">
        <f t="shared" si="24"/>
        <v>1787115</v>
      </c>
      <c r="H110" s="11">
        <f t="shared" si="25"/>
        <v>4605169.4117647018</v>
      </c>
      <c r="I110" s="61">
        <f t="shared" si="39"/>
        <v>0.45574934196019845</v>
      </c>
      <c r="J110" s="61">
        <f t="shared" si="26"/>
        <v>0</v>
      </c>
      <c r="K110" s="94">
        <f t="shared" si="36"/>
        <v>0.65</v>
      </c>
      <c r="L110" s="61">
        <f t="shared" si="27"/>
        <v>0</v>
      </c>
      <c r="M110" s="61">
        <f t="shared" si="28"/>
        <v>0</v>
      </c>
      <c r="N110" s="61">
        <f t="shared" si="34"/>
        <v>1.105</v>
      </c>
      <c r="O110" s="61">
        <f t="shared" si="29"/>
        <v>0</v>
      </c>
      <c r="P110" s="79">
        <f t="shared" si="30"/>
        <v>0.41176470588235292</v>
      </c>
      <c r="Q110" s="79">
        <f t="shared" si="31"/>
        <v>0.5875571565971055</v>
      </c>
      <c r="R110" s="95">
        <f t="shared" si="32"/>
        <v>0</v>
      </c>
      <c r="S110" s="95">
        <f t="shared" si="33"/>
        <v>0</v>
      </c>
      <c r="T110" s="62">
        <f t="shared" si="22"/>
        <v>0.45499999999999996</v>
      </c>
      <c r="U110" s="61">
        <f t="shared" si="37"/>
        <v>0</v>
      </c>
    </row>
    <row r="111" spans="1:21" x14ac:dyDescent="0.35">
      <c r="A111" s="1">
        <f t="shared" si="35"/>
        <v>46286</v>
      </c>
      <c r="C111" s="11">
        <f>C107</f>
        <v>102202.94117647059</v>
      </c>
      <c r="E111" s="11">
        <f t="shared" si="38"/>
        <v>75000</v>
      </c>
      <c r="F111" s="11">
        <f t="shared" si="23"/>
        <v>6494487.3529411722</v>
      </c>
      <c r="G111" s="11">
        <f t="shared" si="24"/>
        <v>1862115</v>
      </c>
      <c r="H111" s="11">
        <f t="shared" si="25"/>
        <v>4632372.3529411722</v>
      </c>
      <c r="I111" s="61">
        <f t="shared" si="39"/>
        <v>0.45574934196019845</v>
      </c>
      <c r="J111" s="61">
        <f t="shared" si="26"/>
        <v>46578.923187573339</v>
      </c>
      <c r="K111" s="94">
        <f t="shared" si="36"/>
        <v>0.65</v>
      </c>
      <c r="L111" s="61">
        <f t="shared" si="27"/>
        <v>48750</v>
      </c>
      <c r="M111" s="61">
        <f t="shared" si="28"/>
        <v>-2171.0768124266615</v>
      </c>
      <c r="N111" s="61">
        <f t="shared" si="34"/>
        <v>1.105</v>
      </c>
      <c r="O111" s="61">
        <f t="shared" si="29"/>
        <v>82875</v>
      </c>
      <c r="P111" s="79">
        <f t="shared" si="30"/>
        <v>0.41176470588235292</v>
      </c>
      <c r="Q111" s="79">
        <f t="shared" si="31"/>
        <v>0.5875571565971055</v>
      </c>
      <c r="R111" s="95">
        <f t="shared" si="32"/>
        <v>112934.25</v>
      </c>
      <c r="S111" s="95">
        <f t="shared" si="33"/>
        <v>82875</v>
      </c>
      <c r="T111" s="62">
        <f t="shared" si="22"/>
        <v>0.45499999999999996</v>
      </c>
      <c r="U111" s="61">
        <f t="shared" si="37"/>
        <v>34125</v>
      </c>
    </row>
    <row r="112" spans="1:21" x14ac:dyDescent="0.35">
      <c r="A112" s="1">
        <f t="shared" si="35"/>
        <v>46287</v>
      </c>
      <c r="C112" s="11">
        <f>C111</f>
        <v>102202.94117647059</v>
      </c>
      <c r="E112" s="11">
        <f t="shared" si="38"/>
        <v>75000</v>
      </c>
      <c r="F112" s="11">
        <f t="shared" si="23"/>
        <v>6596690.2941176426</v>
      </c>
      <c r="G112" s="11">
        <f t="shared" si="24"/>
        <v>1937115</v>
      </c>
      <c r="H112" s="11">
        <f t="shared" si="25"/>
        <v>4659575.2941176426</v>
      </c>
      <c r="I112" s="61">
        <f t="shared" si="39"/>
        <v>0.45574934196019845</v>
      </c>
      <c r="J112" s="61">
        <f t="shared" si="26"/>
        <v>46578.923187573339</v>
      </c>
      <c r="K112" s="94">
        <f t="shared" si="36"/>
        <v>0.65</v>
      </c>
      <c r="L112" s="61">
        <f t="shared" si="27"/>
        <v>48750</v>
      </c>
      <c r="M112" s="61">
        <f t="shared" si="28"/>
        <v>-2171.0768124266615</v>
      </c>
      <c r="N112" s="61">
        <f t="shared" si="34"/>
        <v>1.105</v>
      </c>
      <c r="O112" s="61">
        <f t="shared" si="29"/>
        <v>82875</v>
      </c>
      <c r="P112" s="79">
        <f t="shared" si="30"/>
        <v>0.41176470588235292</v>
      </c>
      <c r="Q112" s="79">
        <f t="shared" si="31"/>
        <v>0.5875571565971055</v>
      </c>
      <c r="R112" s="95">
        <f t="shared" si="32"/>
        <v>112934.25</v>
      </c>
      <c r="S112" s="95">
        <f t="shared" si="33"/>
        <v>82875</v>
      </c>
      <c r="T112" s="62">
        <f t="shared" si="22"/>
        <v>0.45499999999999996</v>
      </c>
      <c r="U112" s="61">
        <f t="shared" si="37"/>
        <v>34125</v>
      </c>
    </row>
    <row r="113" spans="1:21" x14ac:dyDescent="0.35">
      <c r="A113" s="1">
        <f t="shared" si="35"/>
        <v>46288</v>
      </c>
      <c r="C113" s="11">
        <f>C112</f>
        <v>102202.94117647059</v>
      </c>
      <c r="E113" s="11">
        <f t="shared" si="38"/>
        <v>75000</v>
      </c>
      <c r="F113" s="11">
        <f t="shared" si="23"/>
        <v>6698893.2352941129</v>
      </c>
      <c r="G113" s="11">
        <f t="shared" si="24"/>
        <v>2012115</v>
      </c>
      <c r="H113" s="11">
        <f t="shared" si="25"/>
        <v>4686778.2352941129</v>
      </c>
      <c r="I113" s="61">
        <f t="shared" si="39"/>
        <v>0.45574934196019845</v>
      </c>
      <c r="J113" s="61">
        <f t="shared" si="26"/>
        <v>46578.923187573339</v>
      </c>
      <c r="K113" s="94">
        <f t="shared" si="36"/>
        <v>0.65</v>
      </c>
      <c r="L113" s="61">
        <f t="shared" si="27"/>
        <v>48750</v>
      </c>
      <c r="M113" s="61">
        <f t="shared" si="28"/>
        <v>-2171.0768124266615</v>
      </c>
      <c r="N113" s="61">
        <f t="shared" si="34"/>
        <v>1.105</v>
      </c>
      <c r="O113" s="61">
        <f t="shared" si="29"/>
        <v>82875</v>
      </c>
      <c r="P113" s="79">
        <f t="shared" si="30"/>
        <v>0.41176470588235292</v>
      </c>
      <c r="Q113" s="79">
        <f t="shared" si="31"/>
        <v>0.5875571565971055</v>
      </c>
      <c r="R113" s="95">
        <f t="shared" si="32"/>
        <v>112934.25</v>
      </c>
      <c r="S113" s="95">
        <f t="shared" si="33"/>
        <v>82875</v>
      </c>
      <c r="T113" s="62">
        <f t="shared" si="22"/>
        <v>0.45499999999999996</v>
      </c>
      <c r="U113" s="61">
        <f t="shared" si="37"/>
        <v>34125</v>
      </c>
    </row>
    <row r="114" spans="1:21" x14ac:dyDescent="0.35">
      <c r="A114" s="1">
        <f t="shared" si="35"/>
        <v>46289</v>
      </c>
      <c r="C114" s="11">
        <f>C113</f>
        <v>102202.94117647059</v>
      </c>
      <c r="E114" s="11">
        <f t="shared" si="38"/>
        <v>75000</v>
      </c>
      <c r="F114" s="11">
        <f t="shared" si="23"/>
        <v>6801096.1764705833</v>
      </c>
      <c r="G114" s="11">
        <f t="shared" si="24"/>
        <v>2087115</v>
      </c>
      <c r="H114" s="11">
        <f t="shared" si="25"/>
        <v>4713981.1764705833</v>
      </c>
      <c r="I114" s="61">
        <f t="shared" si="39"/>
        <v>0.45574934196019845</v>
      </c>
      <c r="J114" s="61">
        <f t="shared" si="26"/>
        <v>46578.923187573339</v>
      </c>
      <c r="K114" s="94">
        <f t="shared" si="36"/>
        <v>0.65</v>
      </c>
      <c r="L114" s="61">
        <f t="shared" si="27"/>
        <v>48750</v>
      </c>
      <c r="M114" s="61">
        <f t="shared" si="28"/>
        <v>-2171.0768124266615</v>
      </c>
      <c r="N114" s="61">
        <f t="shared" si="34"/>
        <v>1.105</v>
      </c>
      <c r="O114" s="61">
        <f t="shared" si="29"/>
        <v>82875</v>
      </c>
      <c r="P114" s="79">
        <f t="shared" si="30"/>
        <v>0.41176470588235292</v>
      </c>
      <c r="Q114" s="79">
        <f t="shared" si="31"/>
        <v>0.5875571565971055</v>
      </c>
      <c r="R114" s="95">
        <f t="shared" si="32"/>
        <v>112934.25</v>
      </c>
      <c r="S114" s="95">
        <f t="shared" si="33"/>
        <v>82875</v>
      </c>
      <c r="T114" s="62">
        <f t="shared" si="22"/>
        <v>0.45499999999999996</v>
      </c>
      <c r="U114" s="61">
        <f t="shared" si="37"/>
        <v>34125</v>
      </c>
    </row>
    <row r="115" spans="1:21" x14ac:dyDescent="0.35">
      <c r="A115" s="1">
        <f t="shared" si="35"/>
        <v>46290</v>
      </c>
      <c r="C115" s="11">
        <v>0</v>
      </c>
      <c r="E115" s="11">
        <f>E114</f>
        <v>75000</v>
      </c>
      <c r="F115" s="11">
        <f t="shared" si="23"/>
        <v>6801096.1764705833</v>
      </c>
      <c r="G115" s="11">
        <f t="shared" si="24"/>
        <v>2162115</v>
      </c>
      <c r="H115" s="11">
        <f t="shared" si="25"/>
        <v>4638981.1764705833</v>
      </c>
      <c r="I115" s="61">
        <f t="shared" si="39"/>
        <v>0.45574934196019845</v>
      </c>
      <c r="J115" s="61">
        <f t="shared" si="26"/>
        <v>0</v>
      </c>
      <c r="K115" s="94">
        <f t="shared" si="36"/>
        <v>0.65</v>
      </c>
      <c r="L115" s="61">
        <f t="shared" si="27"/>
        <v>48750</v>
      </c>
      <c r="M115" s="61">
        <f t="shared" si="28"/>
        <v>-48750</v>
      </c>
      <c r="N115" s="61">
        <f t="shared" si="34"/>
        <v>1.105</v>
      </c>
      <c r="O115" s="61">
        <f t="shared" si="29"/>
        <v>82875</v>
      </c>
      <c r="P115" s="79">
        <f t="shared" si="30"/>
        <v>0.41176470588235292</v>
      </c>
      <c r="Q115" s="79">
        <f t="shared" si="31"/>
        <v>0.5875571565971055</v>
      </c>
      <c r="R115" s="95">
        <f t="shared" si="32"/>
        <v>0</v>
      </c>
      <c r="S115" s="95">
        <f t="shared" si="33"/>
        <v>82875</v>
      </c>
      <c r="T115" s="62">
        <f t="shared" si="22"/>
        <v>0.45499999999999996</v>
      </c>
      <c r="U115" s="61">
        <f t="shared" si="37"/>
        <v>34125</v>
      </c>
    </row>
    <row r="116" spans="1:21" x14ac:dyDescent="0.35">
      <c r="A116" s="1">
        <f t="shared" si="35"/>
        <v>46291</v>
      </c>
      <c r="C116" s="11">
        <f>B116</f>
        <v>0</v>
      </c>
      <c r="E116" s="11">
        <v>0</v>
      </c>
      <c r="F116" s="11">
        <f t="shared" si="23"/>
        <v>6801096.1764705833</v>
      </c>
      <c r="G116" s="11">
        <f t="shared" si="24"/>
        <v>2162115</v>
      </c>
      <c r="H116" s="11">
        <f t="shared" si="25"/>
        <v>4638981.1764705833</v>
      </c>
      <c r="I116" s="61">
        <f t="shared" si="39"/>
        <v>0.45574934196019845</v>
      </c>
      <c r="J116" s="61">
        <f t="shared" si="26"/>
        <v>0</v>
      </c>
      <c r="K116" s="94">
        <f t="shared" si="36"/>
        <v>0.65</v>
      </c>
      <c r="L116" s="61">
        <f t="shared" si="27"/>
        <v>0</v>
      </c>
      <c r="M116" s="61">
        <f t="shared" si="28"/>
        <v>0</v>
      </c>
      <c r="N116" s="61">
        <f t="shared" si="34"/>
        <v>1.105</v>
      </c>
      <c r="O116" s="61">
        <f t="shared" si="29"/>
        <v>0</v>
      </c>
      <c r="P116" s="79">
        <f t="shared" si="30"/>
        <v>0.41176470588235292</v>
      </c>
      <c r="Q116" s="79">
        <f t="shared" si="31"/>
        <v>0.5875571565971055</v>
      </c>
      <c r="R116" s="95">
        <f t="shared" si="32"/>
        <v>0</v>
      </c>
      <c r="S116" s="95">
        <f t="shared" si="33"/>
        <v>0</v>
      </c>
      <c r="T116" s="62">
        <f t="shared" si="22"/>
        <v>0.45499999999999996</v>
      </c>
      <c r="U116" s="61">
        <f t="shared" si="37"/>
        <v>0</v>
      </c>
    </row>
    <row r="117" spans="1:21" x14ac:dyDescent="0.35">
      <c r="A117" s="1">
        <f t="shared" si="35"/>
        <v>46292</v>
      </c>
      <c r="B117" s="93" t="s">
        <v>205</v>
      </c>
      <c r="C117" s="11">
        <v>0</v>
      </c>
      <c r="E117" s="11">
        <v>0</v>
      </c>
      <c r="F117" s="11">
        <f t="shared" si="23"/>
        <v>6801096.1764705833</v>
      </c>
      <c r="G117" s="11">
        <f t="shared" si="24"/>
        <v>2162115</v>
      </c>
      <c r="H117" s="11">
        <f t="shared" si="25"/>
        <v>4638981.1764705833</v>
      </c>
      <c r="I117" s="61">
        <f t="shared" si="39"/>
        <v>0.45574934196019845</v>
      </c>
      <c r="J117" s="61">
        <f t="shared" si="26"/>
        <v>0</v>
      </c>
      <c r="K117" s="94">
        <f t="shared" si="36"/>
        <v>0.65</v>
      </c>
      <c r="L117" s="61">
        <f t="shared" si="27"/>
        <v>0</v>
      </c>
      <c r="M117" s="61">
        <f t="shared" si="28"/>
        <v>0</v>
      </c>
      <c r="N117" s="61">
        <f t="shared" si="34"/>
        <v>1.105</v>
      </c>
      <c r="O117" s="61">
        <f t="shared" si="29"/>
        <v>0</v>
      </c>
      <c r="P117" s="79">
        <f t="shared" si="30"/>
        <v>0.41176470588235292</v>
      </c>
      <c r="Q117" s="79">
        <f t="shared" si="31"/>
        <v>0.5875571565971055</v>
      </c>
      <c r="R117" s="95">
        <f t="shared" si="32"/>
        <v>0</v>
      </c>
      <c r="S117" s="95">
        <f t="shared" si="33"/>
        <v>0</v>
      </c>
      <c r="T117" s="62">
        <f t="shared" si="22"/>
        <v>0.45499999999999996</v>
      </c>
      <c r="U117" s="61">
        <f t="shared" si="37"/>
        <v>0</v>
      </c>
    </row>
    <row r="118" spans="1:21" x14ac:dyDescent="0.35">
      <c r="A118" s="1">
        <f t="shared" si="35"/>
        <v>46293</v>
      </c>
      <c r="C118" s="11">
        <f>C114</f>
        <v>102202.94117647059</v>
      </c>
      <c r="E118" s="11">
        <f t="shared" si="38"/>
        <v>75000</v>
      </c>
      <c r="F118" s="11">
        <f t="shared" si="23"/>
        <v>6903299.1176470537</v>
      </c>
      <c r="G118" s="11">
        <f t="shared" si="24"/>
        <v>2237115</v>
      </c>
      <c r="H118" s="11">
        <f t="shared" si="25"/>
        <v>4666184.1176470537</v>
      </c>
      <c r="I118" s="61">
        <f t="shared" si="39"/>
        <v>0.45574934196019845</v>
      </c>
      <c r="J118" s="61">
        <f t="shared" si="26"/>
        <v>46578.923187573339</v>
      </c>
      <c r="K118" s="94">
        <f t="shared" si="36"/>
        <v>0.65</v>
      </c>
      <c r="L118" s="61">
        <f t="shared" si="27"/>
        <v>48750</v>
      </c>
      <c r="M118" s="61">
        <f t="shared" si="28"/>
        <v>-2171.0768124266615</v>
      </c>
      <c r="N118" s="61">
        <f t="shared" si="34"/>
        <v>1.105</v>
      </c>
      <c r="O118" s="61">
        <f t="shared" si="29"/>
        <v>82875</v>
      </c>
      <c r="P118" s="79">
        <f t="shared" si="30"/>
        <v>0.41176470588235292</v>
      </c>
      <c r="Q118" s="79">
        <f t="shared" si="31"/>
        <v>0.5875571565971055</v>
      </c>
      <c r="R118" s="95">
        <f t="shared" si="32"/>
        <v>112934.25</v>
      </c>
      <c r="S118" s="95">
        <f t="shared" si="33"/>
        <v>82875</v>
      </c>
      <c r="T118" s="62">
        <f t="shared" si="22"/>
        <v>0.45499999999999996</v>
      </c>
      <c r="U118" s="61">
        <f t="shared" si="37"/>
        <v>34125</v>
      </c>
    </row>
    <row r="119" spans="1:21" x14ac:dyDescent="0.35">
      <c r="A119" s="1">
        <f t="shared" si="35"/>
        <v>46294</v>
      </c>
      <c r="C119" s="11">
        <f>C118</f>
        <v>102202.94117647059</v>
      </c>
      <c r="E119" s="11">
        <f t="shared" si="38"/>
        <v>75000</v>
      </c>
      <c r="F119" s="11">
        <f t="shared" si="23"/>
        <v>7005502.058823524</v>
      </c>
      <c r="G119" s="11">
        <f t="shared" si="24"/>
        <v>2312115</v>
      </c>
      <c r="H119" s="11">
        <f t="shared" si="25"/>
        <v>4693387.058823524</v>
      </c>
      <c r="I119" s="61">
        <f t="shared" si="39"/>
        <v>0.45574934196019845</v>
      </c>
      <c r="J119" s="61">
        <f t="shared" si="26"/>
        <v>46578.923187573339</v>
      </c>
      <c r="K119" s="94">
        <f t="shared" si="36"/>
        <v>0.65</v>
      </c>
      <c r="L119" s="61">
        <f t="shared" si="27"/>
        <v>48750</v>
      </c>
      <c r="M119" s="61">
        <f t="shared" si="28"/>
        <v>-2171.0768124266615</v>
      </c>
      <c r="N119" s="61">
        <f t="shared" si="34"/>
        <v>1.105</v>
      </c>
      <c r="O119" s="61">
        <f t="shared" si="29"/>
        <v>82875</v>
      </c>
      <c r="P119" s="79">
        <f t="shared" si="30"/>
        <v>0.41176470588235292</v>
      </c>
      <c r="Q119" s="79">
        <f t="shared" si="31"/>
        <v>0.5875571565971055</v>
      </c>
      <c r="R119" s="95">
        <f t="shared" si="32"/>
        <v>112934.25</v>
      </c>
      <c r="S119" s="95">
        <f t="shared" si="33"/>
        <v>82875</v>
      </c>
      <c r="T119" s="62">
        <f t="shared" si="22"/>
        <v>0.45499999999999996</v>
      </c>
      <c r="U119" s="61">
        <f t="shared" si="37"/>
        <v>34125</v>
      </c>
    </row>
    <row r="120" spans="1:21" x14ac:dyDescent="0.35">
      <c r="A120" s="1">
        <f t="shared" si="35"/>
        <v>46295</v>
      </c>
      <c r="C120" s="11">
        <f>C119</f>
        <v>102202.94117647059</v>
      </c>
      <c r="E120" s="11">
        <f t="shared" si="38"/>
        <v>75000</v>
      </c>
      <c r="F120" s="11">
        <f t="shared" si="23"/>
        <v>7107704.9999999944</v>
      </c>
      <c r="G120" s="11">
        <f t="shared" si="24"/>
        <v>2387115</v>
      </c>
      <c r="H120" s="11">
        <f t="shared" si="25"/>
        <v>4720589.9999999944</v>
      </c>
      <c r="I120" s="61">
        <f t="shared" si="39"/>
        <v>0.45574934196019845</v>
      </c>
      <c r="J120" s="61">
        <f t="shared" si="26"/>
        <v>46578.923187573339</v>
      </c>
      <c r="K120" s="94">
        <f t="shared" si="36"/>
        <v>0.65</v>
      </c>
      <c r="L120" s="61">
        <f t="shared" si="27"/>
        <v>48750</v>
      </c>
      <c r="M120" s="61">
        <f t="shared" si="28"/>
        <v>-2171.0768124266615</v>
      </c>
      <c r="N120" s="61">
        <f t="shared" si="34"/>
        <v>1.105</v>
      </c>
      <c r="O120" s="61">
        <f t="shared" si="29"/>
        <v>82875</v>
      </c>
      <c r="P120" s="79">
        <f t="shared" si="30"/>
        <v>0.41176470588235292</v>
      </c>
      <c r="Q120" s="79">
        <f t="shared" si="31"/>
        <v>0.5875571565971055</v>
      </c>
      <c r="R120" s="95">
        <f t="shared" si="32"/>
        <v>112934.25</v>
      </c>
      <c r="S120" s="95">
        <f t="shared" si="33"/>
        <v>82875</v>
      </c>
      <c r="T120" s="62">
        <f t="shared" si="22"/>
        <v>0.45499999999999996</v>
      </c>
      <c r="U120" s="61">
        <f t="shared" si="37"/>
        <v>34125</v>
      </c>
    </row>
    <row r="121" spans="1:21" x14ac:dyDescent="0.35">
      <c r="A121" s="1">
        <f t="shared" si="35"/>
        <v>46296</v>
      </c>
      <c r="C121" s="11">
        <f>'[1]Ramp Plan'!Y82/17</f>
        <v>157235.29411764705</v>
      </c>
      <c r="E121" s="11">
        <f>E122</f>
        <v>75000</v>
      </c>
      <c r="F121" s="11">
        <f t="shared" si="23"/>
        <v>7264940.2941176416</v>
      </c>
      <c r="G121" s="11">
        <f t="shared" si="24"/>
        <v>2462115</v>
      </c>
      <c r="H121" s="11">
        <f t="shared" si="25"/>
        <v>4802825.2941176416</v>
      </c>
      <c r="I121" s="61">
        <f>'[1]Ramp Plan'!Y163</f>
        <v>0.43371982734219533</v>
      </c>
      <c r="J121" s="61">
        <f t="shared" si="26"/>
        <v>68196.064616805175</v>
      </c>
      <c r="K121" s="94">
        <v>0.6</v>
      </c>
      <c r="L121" s="61">
        <f t="shared" si="27"/>
        <v>45000</v>
      </c>
      <c r="M121" s="61">
        <f t="shared" si="28"/>
        <v>23196.064616805175</v>
      </c>
      <c r="N121" s="61">
        <f t="shared" si="34"/>
        <v>1.105</v>
      </c>
      <c r="O121" s="61">
        <f t="shared" si="29"/>
        <v>82875</v>
      </c>
      <c r="P121" s="79">
        <f t="shared" si="30"/>
        <v>0.45701357466063347</v>
      </c>
      <c r="Q121" s="79">
        <f t="shared" si="31"/>
        <v>0.60749336892109018</v>
      </c>
      <c r="R121" s="95">
        <f t="shared" si="32"/>
        <v>173745</v>
      </c>
      <c r="S121" s="95">
        <f t="shared" si="33"/>
        <v>82875</v>
      </c>
      <c r="T121" s="62">
        <f t="shared" si="22"/>
        <v>0.505</v>
      </c>
      <c r="U121" s="61">
        <f t="shared" si="37"/>
        <v>37875</v>
      </c>
    </row>
    <row r="122" spans="1:21" x14ac:dyDescent="0.35">
      <c r="A122" s="1">
        <f t="shared" si="35"/>
        <v>46297</v>
      </c>
      <c r="C122" s="11">
        <v>0</v>
      </c>
      <c r="E122" s="11">
        <v>75000</v>
      </c>
      <c r="F122" s="11">
        <f t="shared" si="23"/>
        <v>7264940.2941176416</v>
      </c>
      <c r="G122" s="11">
        <f t="shared" si="24"/>
        <v>2537115</v>
      </c>
      <c r="H122" s="11">
        <f t="shared" si="25"/>
        <v>4727825.2941176416</v>
      </c>
      <c r="I122" s="61">
        <f>$I$121</f>
        <v>0.43371982734219533</v>
      </c>
      <c r="J122" s="61">
        <f t="shared" si="26"/>
        <v>0</v>
      </c>
      <c r="K122" s="94">
        <f t="shared" si="36"/>
        <v>0.6</v>
      </c>
      <c r="L122" s="61">
        <f t="shared" si="27"/>
        <v>45000</v>
      </c>
      <c r="M122" s="61">
        <f t="shared" si="28"/>
        <v>-45000</v>
      </c>
      <c r="N122" s="61">
        <f t="shared" si="34"/>
        <v>1.105</v>
      </c>
      <c r="O122" s="61">
        <f t="shared" si="29"/>
        <v>82875</v>
      </c>
      <c r="P122" s="79">
        <f t="shared" si="30"/>
        <v>0.45701357466063347</v>
      </c>
      <c r="Q122" s="79">
        <f t="shared" si="31"/>
        <v>0.60749336892109018</v>
      </c>
      <c r="R122" s="95">
        <f t="shared" si="32"/>
        <v>0</v>
      </c>
      <c r="S122" s="95">
        <f t="shared" si="33"/>
        <v>82875</v>
      </c>
      <c r="T122" s="62">
        <f t="shared" si="22"/>
        <v>0.505</v>
      </c>
      <c r="U122" s="61">
        <f t="shared" si="37"/>
        <v>37875</v>
      </c>
    </row>
    <row r="123" spans="1:21" x14ac:dyDescent="0.35">
      <c r="A123" s="1">
        <f t="shared" si="35"/>
        <v>46298</v>
      </c>
      <c r="C123" s="11">
        <f>B123</f>
        <v>0</v>
      </c>
      <c r="F123" s="11">
        <f t="shared" si="23"/>
        <v>7264940.2941176416</v>
      </c>
      <c r="G123" s="11">
        <f t="shared" si="24"/>
        <v>2537115</v>
      </c>
      <c r="H123" s="11">
        <f t="shared" si="25"/>
        <v>4727825.2941176416</v>
      </c>
      <c r="I123" s="61">
        <f t="shared" ref="I123:I151" si="40">$I$121</f>
        <v>0.43371982734219533</v>
      </c>
      <c r="J123" s="61">
        <f t="shared" si="26"/>
        <v>0</v>
      </c>
      <c r="K123" s="94">
        <f t="shared" si="36"/>
        <v>0.6</v>
      </c>
      <c r="L123" s="61">
        <f t="shared" si="27"/>
        <v>0</v>
      </c>
      <c r="M123" s="61">
        <f t="shared" si="28"/>
        <v>0</v>
      </c>
      <c r="N123" s="61">
        <f t="shared" si="34"/>
        <v>1.105</v>
      </c>
      <c r="O123" s="61">
        <f t="shared" si="29"/>
        <v>0</v>
      </c>
      <c r="P123" s="79">
        <f t="shared" si="30"/>
        <v>0.45701357466063347</v>
      </c>
      <c r="Q123" s="79">
        <f t="shared" si="31"/>
        <v>0.60749336892109018</v>
      </c>
      <c r="R123" s="95">
        <f t="shared" si="32"/>
        <v>0</v>
      </c>
      <c r="S123" s="95">
        <f t="shared" si="33"/>
        <v>0</v>
      </c>
      <c r="T123" s="62">
        <f t="shared" si="22"/>
        <v>0.505</v>
      </c>
      <c r="U123" s="61">
        <f t="shared" si="37"/>
        <v>0</v>
      </c>
    </row>
    <row r="124" spans="1:21" x14ac:dyDescent="0.35">
      <c r="A124" s="1">
        <f t="shared" si="35"/>
        <v>46299</v>
      </c>
      <c r="B124" s="93" t="s">
        <v>205</v>
      </c>
      <c r="C124" s="11">
        <v>0</v>
      </c>
      <c r="F124" s="11">
        <f t="shared" si="23"/>
        <v>7264940.2941176416</v>
      </c>
      <c r="G124" s="11">
        <f t="shared" si="24"/>
        <v>2537115</v>
      </c>
      <c r="H124" s="11">
        <f t="shared" si="25"/>
        <v>4727825.2941176416</v>
      </c>
      <c r="I124" s="61">
        <f t="shared" si="40"/>
        <v>0.43371982734219533</v>
      </c>
      <c r="J124" s="61">
        <f t="shared" si="26"/>
        <v>0</v>
      </c>
      <c r="K124" s="94">
        <f t="shared" si="36"/>
        <v>0.6</v>
      </c>
      <c r="L124" s="61">
        <f t="shared" si="27"/>
        <v>0</v>
      </c>
      <c r="M124" s="61">
        <f t="shared" si="28"/>
        <v>0</v>
      </c>
      <c r="N124" s="61">
        <f t="shared" si="34"/>
        <v>1.105</v>
      </c>
      <c r="O124" s="61">
        <f t="shared" si="29"/>
        <v>0</v>
      </c>
      <c r="P124" s="79">
        <f t="shared" si="30"/>
        <v>0.45701357466063347</v>
      </c>
      <c r="Q124" s="79">
        <f t="shared" si="31"/>
        <v>0.60749336892109018</v>
      </c>
      <c r="R124" s="95">
        <f t="shared" si="32"/>
        <v>0</v>
      </c>
      <c r="S124" s="95">
        <f t="shared" si="33"/>
        <v>0</v>
      </c>
      <c r="T124" s="62">
        <f t="shared" si="22"/>
        <v>0.505</v>
      </c>
      <c r="U124" s="61">
        <f t="shared" si="37"/>
        <v>0</v>
      </c>
    </row>
    <row r="125" spans="1:21" x14ac:dyDescent="0.35">
      <c r="A125" s="1">
        <f t="shared" si="35"/>
        <v>46300</v>
      </c>
      <c r="C125" s="11">
        <f>C121</f>
        <v>157235.29411764705</v>
      </c>
      <c r="E125" s="11">
        <f>E121</f>
        <v>75000</v>
      </c>
      <c r="F125" s="11">
        <f t="shared" si="23"/>
        <v>7422175.5882352889</v>
      </c>
      <c r="G125" s="11">
        <f t="shared" si="24"/>
        <v>2612115</v>
      </c>
      <c r="H125" s="11">
        <f t="shared" si="25"/>
        <v>4810060.5882352889</v>
      </c>
      <c r="I125" s="61">
        <f t="shared" si="40"/>
        <v>0.43371982734219533</v>
      </c>
      <c r="J125" s="61">
        <f t="shared" si="26"/>
        <v>68196.064616805175</v>
      </c>
      <c r="K125" s="94">
        <f t="shared" si="36"/>
        <v>0.6</v>
      </c>
      <c r="L125" s="61">
        <f t="shared" si="27"/>
        <v>45000</v>
      </c>
      <c r="M125" s="61">
        <f t="shared" si="28"/>
        <v>23196.064616805175</v>
      </c>
      <c r="N125" s="61">
        <f t="shared" si="34"/>
        <v>1.105</v>
      </c>
      <c r="O125" s="61">
        <f t="shared" si="29"/>
        <v>82875</v>
      </c>
      <c r="P125" s="79">
        <f t="shared" si="30"/>
        <v>0.45701357466063347</v>
      </c>
      <c r="Q125" s="79">
        <f t="shared" si="31"/>
        <v>0.60749336892109018</v>
      </c>
      <c r="R125" s="95">
        <f t="shared" si="32"/>
        <v>173745</v>
      </c>
      <c r="S125" s="95">
        <f t="shared" si="33"/>
        <v>82875</v>
      </c>
      <c r="T125" s="62">
        <f t="shared" si="22"/>
        <v>0.505</v>
      </c>
      <c r="U125" s="61">
        <f t="shared" si="37"/>
        <v>37875</v>
      </c>
    </row>
    <row r="126" spans="1:21" x14ac:dyDescent="0.35">
      <c r="A126" s="1">
        <f t="shared" si="35"/>
        <v>46301</v>
      </c>
      <c r="C126" s="11">
        <f>C125</f>
        <v>157235.29411764705</v>
      </c>
      <c r="E126" s="11">
        <f>E125</f>
        <v>75000</v>
      </c>
      <c r="F126" s="11">
        <f t="shared" si="23"/>
        <v>7579410.8823529361</v>
      </c>
      <c r="G126" s="11">
        <f t="shared" si="24"/>
        <v>2687115</v>
      </c>
      <c r="H126" s="11">
        <f t="shared" si="25"/>
        <v>4892295.8823529361</v>
      </c>
      <c r="I126" s="61">
        <f t="shared" si="40"/>
        <v>0.43371982734219533</v>
      </c>
      <c r="J126" s="61">
        <f t="shared" si="26"/>
        <v>68196.064616805175</v>
      </c>
      <c r="K126" s="94">
        <f t="shared" si="36"/>
        <v>0.6</v>
      </c>
      <c r="L126" s="61">
        <f t="shared" si="27"/>
        <v>45000</v>
      </c>
      <c r="M126" s="61">
        <f t="shared" si="28"/>
        <v>23196.064616805175</v>
      </c>
      <c r="N126" s="61">
        <f t="shared" si="34"/>
        <v>1.105</v>
      </c>
      <c r="O126" s="61">
        <f t="shared" si="29"/>
        <v>82875</v>
      </c>
      <c r="P126" s="79">
        <f t="shared" si="30"/>
        <v>0.45701357466063347</v>
      </c>
      <c r="Q126" s="79">
        <f t="shared" si="31"/>
        <v>0.60749336892109018</v>
      </c>
      <c r="R126" s="95">
        <f t="shared" si="32"/>
        <v>173745</v>
      </c>
      <c r="S126" s="95">
        <f t="shared" si="33"/>
        <v>82875</v>
      </c>
      <c r="T126" s="62">
        <f t="shared" si="22"/>
        <v>0.505</v>
      </c>
      <c r="U126" s="61">
        <f t="shared" si="37"/>
        <v>37875</v>
      </c>
    </row>
    <row r="127" spans="1:21" x14ac:dyDescent="0.35">
      <c r="A127" s="1">
        <f t="shared" si="35"/>
        <v>46302</v>
      </c>
      <c r="C127" s="11">
        <f>C126</f>
        <v>157235.29411764705</v>
      </c>
      <c r="E127" s="11">
        <f>E126</f>
        <v>75000</v>
      </c>
      <c r="F127" s="11">
        <f t="shared" si="23"/>
        <v>7736646.1764705833</v>
      </c>
      <c r="G127" s="11">
        <f t="shared" si="24"/>
        <v>2762115</v>
      </c>
      <c r="H127" s="11">
        <f t="shared" si="25"/>
        <v>4974531.1764705833</v>
      </c>
      <c r="I127" s="61">
        <f t="shared" si="40"/>
        <v>0.43371982734219533</v>
      </c>
      <c r="J127" s="61">
        <f t="shared" si="26"/>
        <v>68196.064616805175</v>
      </c>
      <c r="K127" s="94">
        <f t="shared" si="36"/>
        <v>0.6</v>
      </c>
      <c r="L127" s="61">
        <f t="shared" si="27"/>
        <v>45000</v>
      </c>
      <c r="M127" s="61">
        <f t="shared" si="28"/>
        <v>23196.064616805175</v>
      </c>
      <c r="N127" s="61">
        <f t="shared" si="34"/>
        <v>1.105</v>
      </c>
      <c r="O127" s="61">
        <f t="shared" si="29"/>
        <v>82875</v>
      </c>
      <c r="P127" s="79">
        <f t="shared" si="30"/>
        <v>0.45701357466063347</v>
      </c>
      <c r="Q127" s="79">
        <f t="shared" si="31"/>
        <v>0.60749336892109018</v>
      </c>
      <c r="R127" s="95">
        <f t="shared" si="32"/>
        <v>173745</v>
      </c>
      <c r="S127" s="95">
        <f t="shared" si="33"/>
        <v>82875</v>
      </c>
      <c r="T127" s="62">
        <f t="shared" si="22"/>
        <v>0.505</v>
      </c>
      <c r="U127" s="61">
        <f t="shared" si="37"/>
        <v>37875</v>
      </c>
    </row>
    <row r="128" spans="1:21" x14ac:dyDescent="0.35">
      <c r="A128" s="1">
        <f t="shared" si="35"/>
        <v>46303</v>
      </c>
      <c r="C128" s="11">
        <f>C127</f>
        <v>157235.29411764705</v>
      </c>
      <c r="E128" s="11">
        <f>E127</f>
        <v>75000</v>
      </c>
      <c r="F128" s="11">
        <f t="shared" si="23"/>
        <v>7893881.4705882305</v>
      </c>
      <c r="G128" s="11">
        <f t="shared" si="24"/>
        <v>2837115</v>
      </c>
      <c r="H128" s="11">
        <f t="shared" si="25"/>
        <v>5056766.4705882305</v>
      </c>
      <c r="I128" s="61">
        <f t="shared" si="40"/>
        <v>0.43371982734219533</v>
      </c>
      <c r="J128" s="61">
        <f t="shared" si="26"/>
        <v>68196.064616805175</v>
      </c>
      <c r="K128" s="94">
        <f t="shared" si="36"/>
        <v>0.6</v>
      </c>
      <c r="L128" s="61">
        <f t="shared" si="27"/>
        <v>45000</v>
      </c>
      <c r="M128" s="61">
        <f t="shared" si="28"/>
        <v>23196.064616805175</v>
      </c>
      <c r="N128" s="61">
        <f t="shared" si="34"/>
        <v>1.105</v>
      </c>
      <c r="O128" s="61">
        <f t="shared" si="29"/>
        <v>82875</v>
      </c>
      <c r="P128" s="79">
        <f t="shared" si="30"/>
        <v>0.45701357466063347</v>
      </c>
      <c r="Q128" s="79">
        <f t="shared" si="31"/>
        <v>0.60749336892109018</v>
      </c>
      <c r="R128" s="95">
        <f t="shared" si="32"/>
        <v>173745</v>
      </c>
      <c r="S128" s="95">
        <f t="shared" si="33"/>
        <v>82875</v>
      </c>
      <c r="T128" s="62">
        <f t="shared" si="22"/>
        <v>0.505</v>
      </c>
      <c r="U128" s="61">
        <f t="shared" si="37"/>
        <v>37875</v>
      </c>
    </row>
    <row r="129" spans="1:21" x14ac:dyDescent="0.35">
      <c r="A129" s="1">
        <f t="shared" si="35"/>
        <v>46304</v>
      </c>
      <c r="C129" s="11">
        <v>0</v>
      </c>
      <c r="E129" s="11">
        <v>75000</v>
      </c>
      <c r="F129" s="11">
        <f t="shared" si="23"/>
        <v>7893881.4705882305</v>
      </c>
      <c r="G129" s="11">
        <f t="shared" si="24"/>
        <v>2912115</v>
      </c>
      <c r="H129" s="11">
        <f t="shared" si="25"/>
        <v>4981766.4705882305</v>
      </c>
      <c r="I129" s="61">
        <f t="shared" si="40"/>
        <v>0.43371982734219533</v>
      </c>
      <c r="J129" s="61">
        <f t="shared" si="26"/>
        <v>0</v>
      </c>
      <c r="K129" s="94">
        <f t="shared" si="36"/>
        <v>0.6</v>
      </c>
      <c r="L129" s="61">
        <f t="shared" si="27"/>
        <v>45000</v>
      </c>
      <c r="M129" s="61">
        <f t="shared" si="28"/>
        <v>-45000</v>
      </c>
      <c r="N129" s="61">
        <f t="shared" si="34"/>
        <v>1.105</v>
      </c>
      <c r="O129" s="61">
        <f t="shared" si="29"/>
        <v>82875</v>
      </c>
      <c r="P129" s="79">
        <f t="shared" si="30"/>
        <v>0.45701357466063347</v>
      </c>
      <c r="Q129" s="79">
        <f t="shared" si="31"/>
        <v>0.60749336892109018</v>
      </c>
      <c r="R129" s="95">
        <f t="shared" si="32"/>
        <v>0</v>
      </c>
      <c r="S129" s="95">
        <f t="shared" si="33"/>
        <v>82875</v>
      </c>
      <c r="T129" s="62">
        <f t="shared" si="22"/>
        <v>0.505</v>
      </c>
      <c r="U129" s="61">
        <f t="shared" si="37"/>
        <v>37875</v>
      </c>
    </row>
    <row r="130" spans="1:21" x14ac:dyDescent="0.35">
      <c r="A130" s="1">
        <f t="shared" si="35"/>
        <v>46305</v>
      </c>
      <c r="C130" s="11">
        <f>B130</f>
        <v>0</v>
      </c>
      <c r="F130" s="11">
        <f t="shared" si="23"/>
        <v>7893881.4705882305</v>
      </c>
      <c r="G130" s="11">
        <f t="shared" si="24"/>
        <v>2912115</v>
      </c>
      <c r="H130" s="11">
        <f t="shared" si="25"/>
        <v>4981766.4705882305</v>
      </c>
      <c r="I130" s="61">
        <f t="shared" si="40"/>
        <v>0.43371982734219533</v>
      </c>
      <c r="J130" s="61">
        <f t="shared" si="26"/>
        <v>0</v>
      </c>
      <c r="K130" s="94">
        <f t="shared" si="36"/>
        <v>0.6</v>
      </c>
      <c r="L130" s="61">
        <f t="shared" si="27"/>
        <v>0</v>
      </c>
      <c r="M130" s="61">
        <f t="shared" si="28"/>
        <v>0</v>
      </c>
      <c r="N130" s="61">
        <f t="shared" si="34"/>
        <v>1.105</v>
      </c>
      <c r="O130" s="61">
        <f t="shared" si="29"/>
        <v>0</v>
      </c>
      <c r="P130" s="79">
        <f t="shared" si="30"/>
        <v>0.45701357466063347</v>
      </c>
      <c r="Q130" s="79">
        <f t="shared" si="31"/>
        <v>0.60749336892109018</v>
      </c>
      <c r="R130" s="95">
        <f t="shared" si="32"/>
        <v>0</v>
      </c>
      <c r="S130" s="95">
        <f t="shared" si="33"/>
        <v>0</v>
      </c>
      <c r="T130" s="62">
        <f t="shared" si="22"/>
        <v>0.505</v>
      </c>
      <c r="U130" s="61">
        <f t="shared" si="37"/>
        <v>0</v>
      </c>
    </row>
    <row r="131" spans="1:21" x14ac:dyDescent="0.35">
      <c r="A131" s="1">
        <f t="shared" si="35"/>
        <v>46306</v>
      </c>
      <c r="B131" s="93" t="s">
        <v>205</v>
      </c>
      <c r="C131" s="11">
        <v>0</v>
      </c>
      <c r="F131" s="11">
        <f t="shared" si="23"/>
        <v>7893881.4705882305</v>
      </c>
      <c r="G131" s="11">
        <f t="shared" si="24"/>
        <v>2912115</v>
      </c>
      <c r="H131" s="11">
        <f t="shared" si="25"/>
        <v>4981766.4705882305</v>
      </c>
      <c r="I131" s="61">
        <f t="shared" si="40"/>
        <v>0.43371982734219533</v>
      </c>
      <c r="J131" s="61">
        <f t="shared" si="26"/>
        <v>0</v>
      </c>
      <c r="K131" s="94">
        <f t="shared" si="36"/>
        <v>0.6</v>
      </c>
      <c r="L131" s="61">
        <f t="shared" si="27"/>
        <v>0</v>
      </c>
      <c r="M131" s="61">
        <f t="shared" si="28"/>
        <v>0</v>
      </c>
      <c r="N131" s="61">
        <f t="shared" si="34"/>
        <v>1.105</v>
      </c>
      <c r="O131" s="61">
        <f t="shared" si="29"/>
        <v>0</v>
      </c>
      <c r="P131" s="79">
        <f t="shared" si="30"/>
        <v>0.45701357466063347</v>
      </c>
      <c r="Q131" s="79">
        <f t="shared" si="31"/>
        <v>0.60749336892109018</v>
      </c>
      <c r="R131" s="95">
        <f t="shared" si="32"/>
        <v>0</v>
      </c>
      <c r="S131" s="95">
        <f t="shared" si="33"/>
        <v>0</v>
      </c>
      <c r="T131" s="62">
        <f t="shared" ref="T131:T194" si="41">N131-K131</f>
        <v>0.505</v>
      </c>
      <c r="U131" s="61">
        <f t="shared" si="37"/>
        <v>0</v>
      </c>
    </row>
    <row r="132" spans="1:21" x14ac:dyDescent="0.35">
      <c r="A132" s="1">
        <f t="shared" si="35"/>
        <v>46307</v>
      </c>
      <c r="C132" s="11">
        <f>C128</f>
        <v>157235.29411764705</v>
      </c>
      <c r="E132" s="11">
        <f>E128</f>
        <v>75000</v>
      </c>
      <c r="F132" s="11">
        <f t="shared" ref="F132:F195" si="42">C132+F131</f>
        <v>8051116.7647058778</v>
      </c>
      <c r="G132" s="11">
        <f t="shared" ref="G132:G195" si="43">G131+D132+E132</f>
        <v>2987115</v>
      </c>
      <c r="H132" s="11">
        <f t="shared" ref="H132:H195" si="44">F132-G132</f>
        <v>5064001.7647058778</v>
      </c>
      <c r="I132" s="61">
        <f t="shared" si="40"/>
        <v>0.43371982734219533</v>
      </c>
      <c r="J132" s="61">
        <f t="shared" ref="J132:J195" si="45">I132*C132</f>
        <v>68196.064616805175</v>
      </c>
      <c r="K132" s="94">
        <f t="shared" si="36"/>
        <v>0.6</v>
      </c>
      <c r="L132" s="61">
        <f t="shared" ref="L132:L195" si="46">K132*(D132+E132)</f>
        <v>45000</v>
      </c>
      <c r="M132" s="61">
        <f t="shared" ref="M132:M195" si="47">J132-L132</f>
        <v>23196.064616805175</v>
      </c>
      <c r="N132" s="61">
        <f t="shared" si="34"/>
        <v>1.105</v>
      </c>
      <c r="O132" s="61">
        <f t="shared" ref="O132:O195" si="48">N132*(D132+E132)</f>
        <v>82875</v>
      </c>
      <c r="P132" s="79">
        <f t="shared" ref="P132:P195" si="49">(N132-K132)/N132</f>
        <v>0.45701357466063347</v>
      </c>
      <c r="Q132" s="79">
        <f t="shared" ref="Q132:Q195" si="50">(N132-I132)/N132</f>
        <v>0.60749336892109018</v>
      </c>
      <c r="R132" s="95">
        <f t="shared" ref="R132:R195" si="51">C132*N132</f>
        <v>173745</v>
      </c>
      <c r="S132" s="95">
        <f t="shared" ref="S132:S195" si="52">(D132+E132)*N132</f>
        <v>82875</v>
      </c>
      <c r="T132" s="62">
        <f t="shared" si="41"/>
        <v>0.505</v>
      </c>
      <c r="U132" s="61">
        <f t="shared" si="37"/>
        <v>37875</v>
      </c>
    </row>
    <row r="133" spans="1:21" x14ac:dyDescent="0.35">
      <c r="A133" s="1">
        <f t="shared" si="35"/>
        <v>46308</v>
      </c>
      <c r="C133" s="11">
        <f>C132</f>
        <v>157235.29411764705</v>
      </c>
      <c r="E133" s="11">
        <f>E132</f>
        <v>75000</v>
      </c>
      <c r="F133" s="11">
        <f t="shared" si="42"/>
        <v>8208352.058823525</v>
      </c>
      <c r="G133" s="11">
        <f t="shared" si="43"/>
        <v>3062115</v>
      </c>
      <c r="H133" s="11">
        <f t="shared" si="44"/>
        <v>5146237.058823525</v>
      </c>
      <c r="I133" s="61">
        <f t="shared" si="40"/>
        <v>0.43371982734219533</v>
      </c>
      <c r="J133" s="61">
        <f t="shared" si="45"/>
        <v>68196.064616805175</v>
      </c>
      <c r="K133" s="94">
        <f t="shared" si="36"/>
        <v>0.6</v>
      </c>
      <c r="L133" s="61">
        <f t="shared" si="46"/>
        <v>45000</v>
      </c>
      <c r="M133" s="61">
        <f t="shared" si="47"/>
        <v>23196.064616805175</v>
      </c>
      <c r="N133" s="61">
        <f t="shared" ref="N133:N196" si="53">N132</f>
        <v>1.105</v>
      </c>
      <c r="O133" s="61">
        <f t="shared" si="48"/>
        <v>82875</v>
      </c>
      <c r="P133" s="79">
        <f t="shared" si="49"/>
        <v>0.45701357466063347</v>
      </c>
      <c r="Q133" s="79">
        <f t="shared" si="50"/>
        <v>0.60749336892109018</v>
      </c>
      <c r="R133" s="95">
        <f t="shared" si="51"/>
        <v>173745</v>
      </c>
      <c r="S133" s="95">
        <f t="shared" si="52"/>
        <v>82875</v>
      </c>
      <c r="T133" s="62">
        <f t="shared" si="41"/>
        <v>0.505</v>
      </c>
      <c r="U133" s="61">
        <f t="shared" si="37"/>
        <v>37875</v>
      </c>
    </row>
    <row r="134" spans="1:21" x14ac:dyDescent="0.35">
      <c r="A134" s="1">
        <f t="shared" si="35"/>
        <v>46309</v>
      </c>
      <c r="C134" s="11">
        <f>C133</f>
        <v>157235.29411764705</v>
      </c>
      <c r="E134" s="11">
        <f>E133</f>
        <v>75000</v>
      </c>
      <c r="F134" s="11">
        <f t="shared" si="42"/>
        <v>8365587.3529411722</v>
      </c>
      <c r="G134" s="11">
        <f t="shared" si="43"/>
        <v>3137115</v>
      </c>
      <c r="H134" s="11">
        <f t="shared" si="44"/>
        <v>5228472.3529411722</v>
      </c>
      <c r="I134" s="61">
        <f t="shared" si="40"/>
        <v>0.43371982734219533</v>
      </c>
      <c r="J134" s="61">
        <f t="shared" si="45"/>
        <v>68196.064616805175</v>
      </c>
      <c r="K134" s="94">
        <f t="shared" si="36"/>
        <v>0.6</v>
      </c>
      <c r="L134" s="61">
        <f t="shared" si="46"/>
        <v>45000</v>
      </c>
      <c r="M134" s="61">
        <f t="shared" si="47"/>
        <v>23196.064616805175</v>
      </c>
      <c r="N134" s="61">
        <f t="shared" si="53"/>
        <v>1.105</v>
      </c>
      <c r="O134" s="61">
        <f t="shared" si="48"/>
        <v>82875</v>
      </c>
      <c r="P134" s="79">
        <f t="shared" si="49"/>
        <v>0.45701357466063347</v>
      </c>
      <c r="Q134" s="79">
        <f t="shared" si="50"/>
        <v>0.60749336892109018</v>
      </c>
      <c r="R134" s="95">
        <f t="shared" si="51"/>
        <v>173745</v>
      </c>
      <c r="S134" s="95">
        <f t="shared" si="52"/>
        <v>82875</v>
      </c>
      <c r="T134" s="62">
        <f t="shared" si="41"/>
        <v>0.505</v>
      </c>
      <c r="U134" s="61">
        <f t="shared" si="37"/>
        <v>37875</v>
      </c>
    </row>
    <row r="135" spans="1:21" x14ac:dyDescent="0.35">
      <c r="A135" s="1">
        <f t="shared" si="35"/>
        <v>46310</v>
      </c>
      <c r="C135" s="11">
        <f>C134</f>
        <v>157235.29411764705</v>
      </c>
      <c r="E135" s="11">
        <f>E134</f>
        <v>75000</v>
      </c>
      <c r="F135" s="11">
        <f t="shared" si="42"/>
        <v>8522822.6470588185</v>
      </c>
      <c r="G135" s="11">
        <f t="shared" si="43"/>
        <v>3212115</v>
      </c>
      <c r="H135" s="11">
        <f t="shared" si="44"/>
        <v>5310707.6470588185</v>
      </c>
      <c r="I135" s="61">
        <f t="shared" si="40"/>
        <v>0.43371982734219533</v>
      </c>
      <c r="J135" s="61">
        <f t="shared" si="45"/>
        <v>68196.064616805175</v>
      </c>
      <c r="K135" s="94">
        <f t="shared" si="36"/>
        <v>0.6</v>
      </c>
      <c r="L135" s="61">
        <f t="shared" si="46"/>
        <v>45000</v>
      </c>
      <c r="M135" s="61">
        <f t="shared" si="47"/>
        <v>23196.064616805175</v>
      </c>
      <c r="N135" s="61">
        <f t="shared" si="53"/>
        <v>1.105</v>
      </c>
      <c r="O135" s="61">
        <f t="shared" si="48"/>
        <v>82875</v>
      </c>
      <c r="P135" s="79">
        <f t="shared" si="49"/>
        <v>0.45701357466063347</v>
      </c>
      <c r="Q135" s="79">
        <f t="shared" si="50"/>
        <v>0.60749336892109018</v>
      </c>
      <c r="R135" s="95">
        <f t="shared" si="51"/>
        <v>173745</v>
      </c>
      <c r="S135" s="95">
        <f t="shared" si="52"/>
        <v>82875</v>
      </c>
      <c r="T135" s="62">
        <f t="shared" si="41"/>
        <v>0.505</v>
      </c>
      <c r="U135" s="61">
        <f t="shared" si="37"/>
        <v>37875</v>
      </c>
    </row>
    <row r="136" spans="1:21" x14ac:dyDescent="0.35">
      <c r="A136" s="1">
        <f t="shared" si="35"/>
        <v>46311</v>
      </c>
      <c r="C136" s="11">
        <v>0</v>
      </c>
      <c r="E136" s="11">
        <v>75000</v>
      </c>
      <c r="F136" s="11">
        <f t="shared" si="42"/>
        <v>8522822.6470588185</v>
      </c>
      <c r="G136" s="11">
        <f t="shared" si="43"/>
        <v>3287115</v>
      </c>
      <c r="H136" s="11">
        <f t="shared" si="44"/>
        <v>5235707.6470588185</v>
      </c>
      <c r="I136" s="61">
        <f t="shared" si="40"/>
        <v>0.43371982734219533</v>
      </c>
      <c r="J136" s="61">
        <f t="shared" si="45"/>
        <v>0</v>
      </c>
      <c r="K136" s="94">
        <f t="shared" si="36"/>
        <v>0.6</v>
      </c>
      <c r="L136" s="61">
        <f t="shared" si="46"/>
        <v>45000</v>
      </c>
      <c r="M136" s="61">
        <f t="shared" si="47"/>
        <v>-45000</v>
      </c>
      <c r="N136" s="61">
        <f t="shared" si="53"/>
        <v>1.105</v>
      </c>
      <c r="O136" s="61">
        <f t="shared" si="48"/>
        <v>82875</v>
      </c>
      <c r="P136" s="79">
        <f t="shared" si="49"/>
        <v>0.45701357466063347</v>
      </c>
      <c r="Q136" s="79">
        <f t="shared" si="50"/>
        <v>0.60749336892109018</v>
      </c>
      <c r="R136" s="95">
        <f t="shared" si="51"/>
        <v>0</v>
      </c>
      <c r="S136" s="95">
        <f t="shared" si="52"/>
        <v>82875</v>
      </c>
      <c r="T136" s="62">
        <f t="shared" si="41"/>
        <v>0.505</v>
      </c>
      <c r="U136" s="61">
        <f t="shared" si="37"/>
        <v>37875</v>
      </c>
    </row>
    <row r="137" spans="1:21" x14ac:dyDescent="0.35">
      <c r="A137" s="1">
        <f t="shared" si="35"/>
        <v>46312</v>
      </c>
      <c r="C137" s="11">
        <f>B137</f>
        <v>0</v>
      </c>
      <c r="F137" s="11">
        <f t="shared" si="42"/>
        <v>8522822.6470588185</v>
      </c>
      <c r="G137" s="11">
        <f t="shared" si="43"/>
        <v>3287115</v>
      </c>
      <c r="H137" s="11">
        <f t="shared" si="44"/>
        <v>5235707.6470588185</v>
      </c>
      <c r="I137" s="61">
        <f t="shared" si="40"/>
        <v>0.43371982734219533</v>
      </c>
      <c r="J137" s="61">
        <f t="shared" si="45"/>
        <v>0</v>
      </c>
      <c r="K137" s="94">
        <f t="shared" si="36"/>
        <v>0.6</v>
      </c>
      <c r="L137" s="61">
        <f t="shared" si="46"/>
        <v>0</v>
      </c>
      <c r="M137" s="61">
        <f t="shared" si="47"/>
        <v>0</v>
      </c>
      <c r="N137" s="61">
        <f t="shared" si="53"/>
        <v>1.105</v>
      </c>
      <c r="O137" s="61">
        <f t="shared" si="48"/>
        <v>0</v>
      </c>
      <c r="P137" s="79">
        <f t="shared" si="49"/>
        <v>0.45701357466063347</v>
      </c>
      <c r="Q137" s="79">
        <f t="shared" si="50"/>
        <v>0.60749336892109018</v>
      </c>
      <c r="R137" s="95">
        <f t="shared" si="51"/>
        <v>0</v>
      </c>
      <c r="S137" s="95">
        <f t="shared" si="52"/>
        <v>0</v>
      </c>
      <c r="T137" s="62">
        <f t="shared" si="41"/>
        <v>0.505</v>
      </c>
      <c r="U137" s="61">
        <f t="shared" si="37"/>
        <v>0</v>
      </c>
    </row>
    <row r="138" spans="1:21" x14ac:dyDescent="0.35">
      <c r="A138" s="1">
        <f t="shared" si="35"/>
        <v>46313</v>
      </c>
      <c r="B138" s="93" t="s">
        <v>205</v>
      </c>
      <c r="C138" s="11">
        <v>0</v>
      </c>
      <c r="F138" s="11">
        <f t="shared" si="42"/>
        <v>8522822.6470588185</v>
      </c>
      <c r="G138" s="11">
        <f t="shared" si="43"/>
        <v>3287115</v>
      </c>
      <c r="H138" s="11">
        <f t="shared" si="44"/>
        <v>5235707.6470588185</v>
      </c>
      <c r="I138" s="61">
        <f t="shared" si="40"/>
        <v>0.43371982734219533</v>
      </c>
      <c r="J138" s="61">
        <f t="shared" si="45"/>
        <v>0</v>
      </c>
      <c r="K138" s="94">
        <f t="shared" si="36"/>
        <v>0.6</v>
      </c>
      <c r="L138" s="61">
        <f t="shared" si="46"/>
        <v>0</v>
      </c>
      <c r="M138" s="61">
        <f t="shared" si="47"/>
        <v>0</v>
      </c>
      <c r="N138" s="61">
        <f t="shared" si="53"/>
        <v>1.105</v>
      </c>
      <c r="O138" s="61">
        <f t="shared" si="48"/>
        <v>0</v>
      </c>
      <c r="P138" s="79">
        <f t="shared" si="49"/>
        <v>0.45701357466063347</v>
      </c>
      <c r="Q138" s="79">
        <f t="shared" si="50"/>
        <v>0.60749336892109018</v>
      </c>
      <c r="R138" s="95">
        <f t="shared" si="51"/>
        <v>0</v>
      </c>
      <c r="S138" s="95">
        <f t="shared" si="52"/>
        <v>0</v>
      </c>
      <c r="T138" s="62">
        <f t="shared" si="41"/>
        <v>0.505</v>
      </c>
      <c r="U138" s="61">
        <f t="shared" si="37"/>
        <v>0</v>
      </c>
    </row>
    <row r="139" spans="1:21" x14ac:dyDescent="0.35">
      <c r="A139" s="1">
        <f t="shared" si="35"/>
        <v>46314</v>
      </c>
      <c r="C139" s="11">
        <f>C135</f>
        <v>157235.29411764705</v>
      </c>
      <c r="E139" s="11">
        <f>E135</f>
        <v>75000</v>
      </c>
      <c r="F139" s="11">
        <f t="shared" si="42"/>
        <v>8680057.9411764648</v>
      </c>
      <c r="G139" s="11">
        <f t="shared" si="43"/>
        <v>3362115</v>
      </c>
      <c r="H139" s="11">
        <f t="shared" si="44"/>
        <v>5317942.9411764648</v>
      </c>
      <c r="I139" s="61">
        <f t="shared" si="40"/>
        <v>0.43371982734219533</v>
      </c>
      <c r="J139" s="61">
        <f t="shared" si="45"/>
        <v>68196.064616805175</v>
      </c>
      <c r="K139" s="94">
        <f t="shared" si="36"/>
        <v>0.6</v>
      </c>
      <c r="L139" s="61">
        <f t="shared" si="46"/>
        <v>45000</v>
      </c>
      <c r="M139" s="61">
        <f t="shared" si="47"/>
        <v>23196.064616805175</v>
      </c>
      <c r="N139" s="61">
        <f t="shared" si="53"/>
        <v>1.105</v>
      </c>
      <c r="O139" s="61">
        <f t="shared" si="48"/>
        <v>82875</v>
      </c>
      <c r="P139" s="79">
        <f t="shared" si="49"/>
        <v>0.45701357466063347</v>
      </c>
      <c r="Q139" s="79">
        <f t="shared" si="50"/>
        <v>0.60749336892109018</v>
      </c>
      <c r="R139" s="95">
        <f t="shared" si="51"/>
        <v>173745</v>
      </c>
      <c r="S139" s="95">
        <f t="shared" si="52"/>
        <v>82875</v>
      </c>
      <c r="T139" s="62">
        <f t="shared" si="41"/>
        <v>0.505</v>
      </c>
      <c r="U139" s="61">
        <f t="shared" si="37"/>
        <v>37875</v>
      </c>
    </row>
    <row r="140" spans="1:21" x14ac:dyDescent="0.35">
      <c r="A140" s="1">
        <f t="shared" si="35"/>
        <v>46315</v>
      </c>
      <c r="C140" s="11">
        <f>C139</f>
        <v>157235.29411764705</v>
      </c>
      <c r="E140" s="11">
        <f>E139</f>
        <v>75000</v>
      </c>
      <c r="F140" s="11">
        <f t="shared" si="42"/>
        <v>8837293.2352941111</v>
      </c>
      <c r="G140" s="11">
        <f t="shared" si="43"/>
        <v>3437115</v>
      </c>
      <c r="H140" s="11">
        <f t="shared" si="44"/>
        <v>5400178.2352941111</v>
      </c>
      <c r="I140" s="61">
        <f t="shared" si="40"/>
        <v>0.43371982734219533</v>
      </c>
      <c r="J140" s="61">
        <f t="shared" si="45"/>
        <v>68196.064616805175</v>
      </c>
      <c r="K140" s="94">
        <f t="shared" si="36"/>
        <v>0.6</v>
      </c>
      <c r="L140" s="61">
        <f t="shared" si="46"/>
        <v>45000</v>
      </c>
      <c r="M140" s="61">
        <f t="shared" si="47"/>
        <v>23196.064616805175</v>
      </c>
      <c r="N140" s="61">
        <f t="shared" si="53"/>
        <v>1.105</v>
      </c>
      <c r="O140" s="61">
        <f t="shared" si="48"/>
        <v>82875</v>
      </c>
      <c r="P140" s="79">
        <f t="shared" si="49"/>
        <v>0.45701357466063347</v>
      </c>
      <c r="Q140" s="79">
        <f t="shared" si="50"/>
        <v>0.60749336892109018</v>
      </c>
      <c r="R140" s="95">
        <f t="shared" si="51"/>
        <v>173745</v>
      </c>
      <c r="S140" s="95">
        <f t="shared" si="52"/>
        <v>82875</v>
      </c>
      <c r="T140" s="62">
        <f t="shared" si="41"/>
        <v>0.505</v>
      </c>
      <c r="U140" s="61">
        <f t="shared" si="37"/>
        <v>37875</v>
      </c>
    </row>
    <row r="141" spans="1:21" x14ac:dyDescent="0.35">
      <c r="A141" s="1">
        <f t="shared" si="35"/>
        <v>46316</v>
      </c>
      <c r="C141" s="11">
        <f>C140</f>
        <v>157235.29411764705</v>
      </c>
      <c r="E141" s="11">
        <f>E140</f>
        <v>75000</v>
      </c>
      <c r="F141" s="11">
        <f t="shared" si="42"/>
        <v>8994528.5294117574</v>
      </c>
      <c r="G141" s="11">
        <f t="shared" si="43"/>
        <v>3512115</v>
      </c>
      <c r="H141" s="11">
        <f t="shared" si="44"/>
        <v>5482413.5294117574</v>
      </c>
      <c r="I141" s="61">
        <f t="shared" si="40"/>
        <v>0.43371982734219533</v>
      </c>
      <c r="J141" s="61">
        <f t="shared" si="45"/>
        <v>68196.064616805175</v>
      </c>
      <c r="K141" s="94">
        <f t="shared" si="36"/>
        <v>0.6</v>
      </c>
      <c r="L141" s="61">
        <f t="shared" si="46"/>
        <v>45000</v>
      </c>
      <c r="M141" s="61">
        <f t="shared" si="47"/>
        <v>23196.064616805175</v>
      </c>
      <c r="N141" s="61">
        <f t="shared" si="53"/>
        <v>1.105</v>
      </c>
      <c r="O141" s="61">
        <f t="shared" si="48"/>
        <v>82875</v>
      </c>
      <c r="P141" s="79">
        <f t="shared" si="49"/>
        <v>0.45701357466063347</v>
      </c>
      <c r="Q141" s="79">
        <f t="shared" si="50"/>
        <v>0.60749336892109018</v>
      </c>
      <c r="R141" s="95">
        <f t="shared" si="51"/>
        <v>173745</v>
      </c>
      <c r="S141" s="95">
        <f t="shared" si="52"/>
        <v>82875</v>
      </c>
      <c r="T141" s="62">
        <f t="shared" si="41"/>
        <v>0.505</v>
      </c>
      <c r="U141" s="61">
        <f t="shared" si="37"/>
        <v>37875</v>
      </c>
    </row>
    <row r="142" spans="1:21" x14ac:dyDescent="0.35">
      <c r="A142" s="1">
        <f t="shared" si="35"/>
        <v>46317</v>
      </c>
      <c r="C142" s="11">
        <f>C141</f>
        <v>157235.29411764705</v>
      </c>
      <c r="E142" s="11">
        <f>E141</f>
        <v>75000</v>
      </c>
      <c r="F142" s="11">
        <f t="shared" si="42"/>
        <v>9151763.8235294037</v>
      </c>
      <c r="G142" s="11">
        <f t="shared" si="43"/>
        <v>3587115</v>
      </c>
      <c r="H142" s="11">
        <f t="shared" si="44"/>
        <v>5564648.8235294037</v>
      </c>
      <c r="I142" s="61">
        <f t="shared" si="40"/>
        <v>0.43371982734219533</v>
      </c>
      <c r="J142" s="61">
        <f t="shared" si="45"/>
        <v>68196.064616805175</v>
      </c>
      <c r="K142" s="94">
        <f t="shared" si="36"/>
        <v>0.6</v>
      </c>
      <c r="L142" s="61">
        <f t="shared" si="46"/>
        <v>45000</v>
      </c>
      <c r="M142" s="61">
        <f t="shared" si="47"/>
        <v>23196.064616805175</v>
      </c>
      <c r="N142" s="61">
        <f t="shared" si="53"/>
        <v>1.105</v>
      </c>
      <c r="O142" s="61">
        <f t="shared" si="48"/>
        <v>82875</v>
      </c>
      <c r="P142" s="79">
        <f t="shared" si="49"/>
        <v>0.45701357466063347</v>
      </c>
      <c r="Q142" s="79">
        <f t="shared" si="50"/>
        <v>0.60749336892109018</v>
      </c>
      <c r="R142" s="95">
        <f t="shared" si="51"/>
        <v>173745</v>
      </c>
      <c r="S142" s="95">
        <f t="shared" si="52"/>
        <v>82875</v>
      </c>
      <c r="T142" s="62">
        <f t="shared" si="41"/>
        <v>0.505</v>
      </c>
      <c r="U142" s="61">
        <f t="shared" si="37"/>
        <v>37875</v>
      </c>
    </row>
    <row r="143" spans="1:21" x14ac:dyDescent="0.35">
      <c r="A143" s="1">
        <f t="shared" ref="A143:A206" si="54">A142+1</f>
        <v>46318</v>
      </c>
      <c r="C143" s="11">
        <v>0</v>
      </c>
      <c r="E143" s="11">
        <v>75000</v>
      </c>
      <c r="F143" s="11">
        <f t="shared" si="42"/>
        <v>9151763.8235294037</v>
      </c>
      <c r="G143" s="11">
        <f t="shared" si="43"/>
        <v>3662115</v>
      </c>
      <c r="H143" s="11">
        <f t="shared" si="44"/>
        <v>5489648.8235294037</v>
      </c>
      <c r="I143" s="61">
        <f t="shared" si="40"/>
        <v>0.43371982734219533</v>
      </c>
      <c r="J143" s="61">
        <f t="shared" si="45"/>
        <v>0</v>
      </c>
      <c r="K143" s="94">
        <f t="shared" si="36"/>
        <v>0.6</v>
      </c>
      <c r="L143" s="61">
        <f t="shared" si="46"/>
        <v>45000</v>
      </c>
      <c r="M143" s="61">
        <f t="shared" si="47"/>
        <v>-45000</v>
      </c>
      <c r="N143" s="61">
        <f t="shared" si="53"/>
        <v>1.105</v>
      </c>
      <c r="O143" s="61">
        <f t="shared" si="48"/>
        <v>82875</v>
      </c>
      <c r="P143" s="79">
        <f t="shared" si="49"/>
        <v>0.45701357466063347</v>
      </c>
      <c r="Q143" s="79">
        <f t="shared" si="50"/>
        <v>0.60749336892109018</v>
      </c>
      <c r="R143" s="95">
        <f t="shared" si="51"/>
        <v>0</v>
      </c>
      <c r="S143" s="95">
        <f t="shared" si="52"/>
        <v>82875</v>
      </c>
      <c r="T143" s="62">
        <f t="shared" si="41"/>
        <v>0.505</v>
      </c>
      <c r="U143" s="61">
        <f t="shared" si="37"/>
        <v>37875</v>
      </c>
    </row>
    <row r="144" spans="1:21" x14ac:dyDescent="0.35">
      <c r="A144" s="1">
        <f t="shared" si="54"/>
        <v>46319</v>
      </c>
      <c r="C144" s="11">
        <f>B144</f>
        <v>0</v>
      </c>
      <c r="F144" s="11">
        <f t="shared" si="42"/>
        <v>9151763.8235294037</v>
      </c>
      <c r="G144" s="11">
        <f t="shared" si="43"/>
        <v>3662115</v>
      </c>
      <c r="H144" s="11">
        <f t="shared" si="44"/>
        <v>5489648.8235294037</v>
      </c>
      <c r="I144" s="61">
        <f t="shared" si="40"/>
        <v>0.43371982734219533</v>
      </c>
      <c r="J144" s="61">
        <f t="shared" si="45"/>
        <v>0</v>
      </c>
      <c r="K144" s="94">
        <f t="shared" si="36"/>
        <v>0.6</v>
      </c>
      <c r="L144" s="61">
        <f t="shared" si="46"/>
        <v>0</v>
      </c>
      <c r="M144" s="61">
        <f t="shared" si="47"/>
        <v>0</v>
      </c>
      <c r="N144" s="61">
        <f t="shared" si="53"/>
        <v>1.105</v>
      </c>
      <c r="O144" s="61">
        <f t="shared" si="48"/>
        <v>0</v>
      </c>
      <c r="P144" s="79">
        <f t="shared" si="49"/>
        <v>0.45701357466063347</v>
      </c>
      <c r="Q144" s="79">
        <f t="shared" si="50"/>
        <v>0.60749336892109018</v>
      </c>
      <c r="R144" s="95">
        <f t="shared" si="51"/>
        <v>0</v>
      </c>
      <c r="S144" s="95">
        <f t="shared" si="52"/>
        <v>0</v>
      </c>
      <c r="T144" s="62">
        <f t="shared" si="41"/>
        <v>0.505</v>
      </c>
      <c r="U144" s="61">
        <f t="shared" si="37"/>
        <v>0</v>
      </c>
    </row>
    <row r="145" spans="1:21" x14ac:dyDescent="0.35">
      <c r="A145" s="1">
        <f t="shared" si="54"/>
        <v>46320</v>
      </c>
      <c r="B145" s="93" t="s">
        <v>205</v>
      </c>
      <c r="C145" s="11">
        <v>0</v>
      </c>
      <c r="F145" s="11">
        <f t="shared" si="42"/>
        <v>9151763.8235294037</v>
      </c>
      <c r="G145" s="11">
        <f t="shared" si="43"/>
        <v>3662115</v>
      </c>
      <c r="H145" s="11">
        <f t="shared" si="44"/>
        <v>5489648.8235294037</v>
      </c>
      <c r="I145" s="61">
        <f t="shared" si="40"/>
        <v>0.43371982734219533</v>
      </c>
      <c r="J145" s="61">
        <f t="shared" si="45"/>
        <v>0</v>
      </c>
      <c r="K145" s="94">
        <f t="shared" si="36"/>
        <v>0.6</v>
      </c>
      <c r="L145" s="61">
        <f t="shared" si="46"/>
        <v>0</v>
      </c>
      <c r="M145" s="61">
        <f t="shared" si="47"/>
        <v>0</v>
      </c>
      <c r="N145" s="61">
        <f t="shared" si="53"/>
        <v>1.105</v>
      </c>
      <c r="O145" s="61">
        <f t="shared" si="48"/>
        <v>0</v>
      </c>
      <c r="P145" s="79">
        <f t="shared" si="49"/>
        <v>0.45701357466063347</v>
      </c>
      <c r="Q145" s="79">
        <f t="shared" si="50"/>
        <v>0.60749336892109018</v>
      </c>
      <c r="R145" s="95">
        <f t="shared" si="51"/>
        <v>0</v>
      </c>
      <c r="S145" s="95">
        <f t="shared" si="52"/>
        <v>0</v>
      </c>
      <c r="T145" s="62">
        <f t="shared" si="41"/>
        <v>0.505</v>
      </c>
      <c r="U145" s="61">
        <f t="shared" si="37"/>
        <v>0</v>
      </c>
    </row>
    <row r="146" spans="1:21" x14ac:dyDescent="0.35">
      <c r="A146" s="1">
        <f t="shared" si="54"/>
        <v>46321</v>
      </c>
      <c r="C146" s="11">
        <f>C142</f>
        <v>157235.29411764705</v>
      </c>
      <c r="E146" s="11">
        <f>E142</f>
        <v>75000</v>
      </c>
      <c r="F146" s="11">
        <f t="shared" si="42"/>
        <v>9308999.1176470499</v>
      </c>
      <c r="G146" s="11">
        <f t="shared" si="43"/>
        <v>3737115</v>
      </c>
      <c r="H146" s="11">
        <f t="shared" si="44"/>
        <v>5571884.1176470499</v>
      </c>
      <c r="I146" s="61">
        <f t="shared" si="40"/>
        <v>0.43371982734219533</v>
      </c>
      <c r="J146" s="61">
        <f t="shared" si="45"/>
        <v>68196.064616805175</v>
      </c>
      <c r="K146" s="94">
        <f t="shared" ref="K146:K209" si="55">K145</f>
        <v>0.6</v>
      </c>
      <c r="L146" s="61">
        <f t="shared" si="46"/>
        <v>45000</v>
      </c>
      <c r="M146" s="61">
        <f t="shared" si="47"/>
        <v>23196.064616805175</v>
      </c>
      <c r="N146" s="61">
        <f t="shared" si="53"/>
        <v>1.105</v>
      </c>
      <c r="O146" s="61">
        <f t="shared" si="48"/>
        <v>82875</v>
      </c>
      <c r="P146" s="79">
        <f t="shared" si="49"/>
        <v>0.45701357466063347</v>
      </c>
      <c r="Q146" s="79">
        <f t="shared" si="50"/>
        <v>0.60749336892109018</v>
      </c>
      <c r="R146" s="95">
        <f t="shared" si="51"/>
        <v>173745</v>
      </c>
      <c r="S146" s="95">
        <f t="shared" si="52"/>
        <v>82875</v>
      </c>
      <c r="T146" s="62">
        <f t="shared" si="41"/>
        <v>0.505</v>
      </c>
      <c r="U146" s="61">
        <f t="shared" si="37"/>
        <v>37875</v>
      </c>
    </row>
    <row r="147" spans="1:21" x14ac:dyDescent="0.35">
      <c r="A147" s="1">
        <f t="shared" si="54"/>
        <v>46322</v>
      </c>
      <c r="C147" s="11">
        <f>C146</f>
        <v>157235.29411764705</v>
      </c>
      <c r="E147" s="11">
        <f>E146</f>
        <v>75000</v>
      </c>
      <c r="F147" s="11">
        <f t="shared" si="42"/>
        <v>9466234.4117646962</v>
      </c>
      <c r="G147" s="11">
        <f t="shared" si="43"/>
        <v>3812115</v>
      </c>
      <c r="H147" s="11">
        <f t="shared" si="44"/>
        <v>5654119.4117646962</v>
      </c>
      <c r="I147" s="61">
        <f t="shared" si="40"/>
        <v>0.43371982734219533</v>
      </c>
      <c r="J147" s="61">
        <f t="shared" si="45"/>
        <v>68196.064616805175</v>
      </c>
      <c r="K147" s="94">
        <f t="shared" si="55"/>
        <v>0.6</v>
      </c>
      <c r="L147" s="61">
        <f t="shared" si="46"/>
        <v>45000</v>
      </c>
      <c r="M147" s="61">
        <f t="shared" si="47"/>
        <v>23196.064616805175</v>
      </c>
      <c r="N147" s="61">
        <f t="shared" si="53"/>
        <v>1.105</v>
      </c>
      <c r="O147" s="61">
        <f t="shared" si="48"/>
        <v>82875</v>
      </c>
      <c r="P147" s="79">
        <f t="shared" si="49"/>
        <v>0.45701357466063347</v>
      </c>
      <c r="Q147" s="79">
        <f t="shared" si="50"/>
        <v>0.60749336892109018</v>
      </c>
      <c r="R147" s="95">
        <f t="shared" si="51"/>
        <v>173745</v>
      </c>
      <c r="S147" s="95">
        <f t="shared" si="52"/>
        <v>82875</v>
      </c>
      <c r="T147" s="62">
        <f t="shared" si="41"/>
        <v>0.505</v>
      </c>
      <c r="U147" s="61">
        <f t="shared" ref="U147:U210" si="56">T147*(D147+E147)</f>
        <v>37875</v>
      </c>
    </row>
    <row r="148" spans="1:21" x14ac:dyDescent="0.35">
      <c r="A148" s="1">
        <f t="shared" si="54"/>
        <v>46323</v>
      </c>
      <c r="C148" s="11">
        <f>C147</f>
        <v>157235.29411764705</v>
      </c>
      <c r="E148" s="11">
        <f>E147</f>
        <v>75000</v>
      </c>
      <c r="F148" s="11">
        <f t="shared" si="42"/>
        <v>9623469.7058823425</v>
      </c>
      <c r="G148" s="11">
        <f t="shared" si="43"/>
        <v>3887115</v>
      </c>
      <c r="H148" s="11">
        <f t="shared" si="44"/>
        <v>5736354.7058823425</v>
      </c>
      <c r="I148" s="61">
        <f t="shared" si="40"/>
        <v>0.43371982734219533</v>
      </c>
      <c r="J148" s="61">
        <f t="shared" si="45"/>
        <v>68196.064616805175</v>
      </c>
      <c r="K148" s="94">
        <f t="shared" si="55"/>
        <v>0.6</v>
      </c>
      <c r="L148" s="61">
        <f t="shared" si="46"/>
        <v>45000</v>
      </c>
      <c r="M148" s="61">
        <f t="shared" si="47"/>
        <v>23196.064616805175</v>
      </c>
      <c r="N148" s="61">
        <f t="shared" si="53"/>
        <v>1.105</v>
      </c>
      <c r="O148" s="61">
        <f t="shared" si="48"/>
        <v>82875</v>
      </c>
      <c r="P148" s="79">
        <f t="shared" si="49"/>
        <v>0.45701357466063347</v>
      </c>
      <c r="Q148" s="79">
        <f t="shared" si="50"/>
        <v>0.60749336892109018</v>
      </c>
      <c r="R148" s="95">
        <f t="shared" si="51"/>
        <v>173745</v>
      </c>
      <c r="S148" s="95">
        <f t="shared" si="52"/>
        <v>82875</v>
      </c>
      <c r="T148" s="62">
        <f t="shared" si="41"/>
        <v>0.505</v>
      </c>
      <c r="U148" s="61">
        <f t="shared" si="56"/>
        <v>37875</v>
      </c>
    </row>
    <row r="149" spans="1:21" x14ac:dyDescent="0.35">
      <c r="A149" s="1">
        <f t="shared" si="54"/>
        <v>46324</v>
      </c>
      <c r="C149" s="11">
        <f>C148</f>
        <v>157235.29411764705</v>
      </c>
      <c r="E149" s="11">
        <f>E148</f>
        <v>75000</v>
      </c>
      <c r="F149" s="11">
        <f t="shared" si="42"/>
        <v>9780704.9999999888</v>
      </c>
      <c r="G149" s="11">
        <f t="shared" si="43"/>
        <v>3962115</v>
      </c>
      <c r="H149" s="11">
        <f t="shared" si="44"/>
        <v>5818589.9999999888</v>
      </c>
      <c r="I149" s="61">
        <f t="shared" si="40"/>
        <v>0.43371982734219533</v>
      </c>
      <c r="J149" s="61">
        <f t="shared" si="45"/>
        <v>68196.064616805175</v>
      </c>
      <c r="K149" s="94">
        <f t="shared" si="55"/>
        <v>0.6</v>
      </c>
      <c r="L149" s="61">
        <f t="shared" si="46"/>
        <v>45000</v>
      </c>
      <c r="M149" s="61">
        <f t="shared" si="47"/>
        <v>23196.064616805175</v>
      </c>
      <c r="N149" s="61">
        <f t="shared" si="53"/>
        <v>1.105</v>
      </c>
      <c r="O149" s="61">
        <f t="shared" si="48"/>
        <v>82875</v>
      </c>
      <c r="P149" s="79">
        <f t="shared" si="49"/>
        <v>0.45701357466063347</v>
      </c>
      <c r="Q149" s="79">
        <f t="shared" si="50"/>
        <v>0.60749336892109018</v>
      </c>
      <c r="R149" s="95">
        <f t="shared" si="51"/>
        <v>173745</v>
      </c>
      <c r="S149" s="95">
        <f t="shared" si="52"/>
        <v>82875</v>
      </c>
      <c r="T149" s="62">
        <f t="shared" si="41"/>
        <v>0.505</v>
      </c>
      <c r="U149" s="61">
        <f t="shared" si="56"/>
        <v>37875</v>
      </c>
    </row>
    <row r="150" spans="1:21" x14ac:dyDescent="0.35">
      <c r="A150" s="1">
        <f t="shared" si="54"/>
        <v>46325</v>
      </c>
      <c r="C150" s="11">
        <v>0</v>
      </c>
      <c r="E150" s="11">
        <v>75000</v>
      </c>
      <c r="F150" s="11">
        <f t="shared" si="42"/>
        <v>9780704.9999999888</v>
      </c>
      <c r="G150" s="11">
        <f t="shared" si="43"/>
        <v>4037115</v>
      </c>
      <c r="H150" s="11">
        <f t="shared" si="44"/>
        <v>5743589.9999999888</v>
      </c>
      <c r="I150" s="61">
        <f t="shared" si="40"/>
        <v>0.43371982734219533</v>
      </c>
      <c r="J150" s="61">
        <f t="shared" si="45"/>
        <v>0</v>
      </c>
      <c r="K150" s="94">
        <f t="shared" si="55"/>
        <v>0.6</v>
      </c>
      <c r="L150" s="61">
        <f t="shared" si="46"/>
        <v>45000</v>
      </c>
      <c r="M150" s="61">
        <f t="shared" si="47"/>
        <v>-45000</v>
      </c>
      <c r="N150" s="61">
        <f t="shared" si="53"/>
        <v>1.105</v>
      </c>
      <c r="O150" s="61">
        <f t="shared" si="48"/>
        <v>82875</v>
      </c>
      <c r="P150" s="79">
        <f t="shared" si="49"/>
        <v>0.45701357466063347</v>
      </c>
      <c r="Q150" s="79">
        <f t="shared" si="50"/>
        <v>0.60749336892109018</v>
      </c>
      <c r="R150" s="95">
        <f t="shared" si="51"/>
        <v>0</v>
      </c>
      <c r="S150" s="95">
        <f t="shared" si="52"/>
        <v>82875</v>
      </c>
      <c r="T150" s="62">
        <f t="shared" si="41"/>
        <v>0.505</v>
      </c>
      <c r="U150" s="61">
        <f t="shared" si="56"/>
        <v>37875</v>
      </c>
    </row>
    <row r="151" spans="1:21" x14ac:dyDescent="0.35">
      <c r="A151" s="1">
        <f t="shared" si="54"/>
        <v>46326</v>
      </c>
      <c r="C151" s="11">
        <f>B151</f>
        <v>0</v>
      </c>
      <c r="F151" s="11">
        <f t="shared" si="42"/>
        <v>9780704.9999999888</v>
      </c>
      <c r="G151" s="11">
        <f t="shared" si="43"/>
        <v>4037115</v>
      </c>
      <c r="H151" s="11">
        <f t="shared" si="44"/>
        <v>5743589.9999999888</v>
      </c>
      <c r="I151" s="61">
        <f t="shared" si="40"/>
        <v>0.43371982734219533</v>
      </c>
      <c r="J151" s="61">
        <f t="shared" si="45"/>
        <v>0</v>
      </c>
      <c r="K151" s="94">
        <f t="shared" si="55"/>
        <v>0.6</v>
      </c>
      <c r="L151" s="61">
        <f t="shared" si="46"/>
        <v>0</v>
      </c>
      <c r="M151" s="61">
        <f t="shared" si="47"/>
        <v>0</v>
      </c>
      <c r="N151" s="61">
        <f t="shared" si="53"/>
        <v>1.105</v>
      </c>
      <c r="O151" s="61">
        <f t="shared" si="48"/>
        <v>0</v>
      </c>
      <c r="P151" s="79">
        <f t="shared" si="49"/>
        <v>0.45701357466063347</v>
      </c>
      <c r="Q151" s="79">
        <f t="shared" si="50"/>
        <v>0.60749336892109018</v>
      </c>
      <c r="R151" s="95">
        <f t="shared" si="51"/>
        <v>0</v>
      </c>
      <c r="S151" s="95">
        <f t="shared" si="52"/>
        <v>0</v>
      </c>
      <c r="T151" s="62">
        <f t="shared" si="41"/>
        <v>0.505</v>
      </c>
      <c r="U151" s="61">
        <f t="shared" si="56"/>
        <v>0</v>
      </c>
    </row>
    <row r="152" spans="1:21" x14ac:dyDescent="0.35">
      <c r="A152" s="1">
        <f t="shared" si="54"/>
        <v>46327</v>
      </c>
      <c r="B152" s="93" t="s">
        <v>205</v>
      </c>
      <c r="C152" s="11">
        <v>0</v>
      </c>
      <c r="F152" s="11">
        <f t="shared" si="42"/>
        <v>9780704.9999999888</v>
      </c>
      <c r="G152" s="11">
        <f t="shared" si="43"/>
        <v>4037115</v>
      </c>
      <c r="H152" s="11">
        <f t="shared" si="44"/>
        <v>5743589.9999999888</v>
      </c>
      <c r="I152" s="61">
        <f>'[1]Ramp Plan'!Z163</f>
        <v>0.44805010496960956</v>
      </c>
      <c r="J152" s="61">
        <f t="shared" si="45"/>
        <v>0</v>
      </c>
      <c r="K152" s="94">
        <v>0.57999999999999996</v>
      </c>
      <c r="L152" s="61">
        <f t="shared" si="46"/>
        <v>0</v>
      </c>
      <c r="M152" s="61">
        <f t="shared" si="47"/>
        <v>0</v>
      </c>
      <c r="N152" s="61">
        <f t="shared" si="53"/>
        <v>1.105</v>
      </c>
      <c r="O152" s="61">
        <f t="shared" si="48"/>
        <v>0</v>
      </c>
      <c r="P152" s="79">
        <f t="shared" si="49"/>
        <v>0.47511312217194573</v>
      </c>
      <c r="Q152" s="79">
        <f t="shared" si="50"/>
        <v>0.59452479188270635</v>
      </c>
      <c r="R152" s="95">
        <f t="shared" si="51"/>
        <v>0</v>
      </c>
      <c r="S152" s="95">
        <f t="shared" si="52"/>
        <v>0</v>
      </c>
      <c r="T152" s="62">
        <f t="shared" si="41"/>
        <v>0.52500000000000002</v>
      </c>
      <c r="U152" s="61">
        <f t="shared" si="56"/>
        <v>0</v>
      </c>
    </row>
    <row r="153" spans="1:21" x14ac:dyDescent="0.35">
      <c r="A153" s="1">
        <f t="shared" si="54"/>
        <v>46328</v>
      </c>
      <c r="C153" s="11">
        <f>'[1]Ramp Plan'!Z82/16</f>
        <v>143065.47566047206</v>
      </c>
      <c r="E153" s="11">
        <f>E149</f>
        <v>75000</v>
      </c>
      <c r="F153" s="11">
        <f t="shared" si="42"/>
        <v>9923770.4756604601</v>
      </c>
      <c r="G153" s="11">
        <f t="shared" si="43"/>
        <v>4112115</v>
      </c>
      <c r="H153" s="11">
        <f t="shared" si="44"/>
        <v>5811655.4756604601</v>
      </c>
      <c r="I153" s="61">
        <f>$I$152</f>
        <v>0.44805010496960956</v>
      </c>
      <c r="J153" s="61">
        <f t="shared" si="45"/>
        <v>64100.501387201628</v>
      </c>
      <c r="K153" s="94">
        <f t="shared" si="55"/>
        <v>0.57999999999999996</v>
      </c>
      <c r="L153" s="61">
        <f t="shared" si="46"/>
        <v>43500</v>
      </c>
      <c r="M153" s="61">
        <f t="shared" si="47"/>
        <v>20600.501387201628</v>
      </c>
      <c r="N153" s="61">
        <f t="shared" si="53"/>
        <v>1.105</v>
      </c>
      <c r="O153" s="61">
        <f t="shared" si="48"/>
        <v>82875</v>
      </c>
      <c r="P153" s="79">
        <f t="shared" si="49"/>
        <v>0.47511312217194573</v>
      </c>
      <c r="Q153" s="79">
        <f t="shared" si="50"/>
        <v>0.59452479188270635</v>
      </c>
      <c r="R153" s="95">
        <f t="shared" si="51"/>
        <v>158087.35060482164</v>
      </c>
      <c r="S153" s="95">
        <f t="shared" si="52"/>
        <v>82875</v>
      </c>
      <c r="T153" s="62">
        <f t="shared" si="41"/>
        <v>0.52500000000000002</v>
      </c>
      <c r="U153" s="61">
        <f t="shared" si="56"/>
        <v>39375</v>
      </c>
    </row>
    <row r="154" spans="1:21" x14ac:dyDescent="0.35">
      <c r="A154" s="1">
        <f t="shared" si="54"/>
        <v>46329</v>
      </c>
      <c r="C154" s="11">
        <f>572262/4</f>
        <v>143065.5</v>
      </c>
      <c r="E154" s="11">
        <f>E153</f>
        <v>75000</v>
      </c>
      <c r="F154" s="11">
        <f t="shared" si="42"/>
        <v>10066835.97566046</v>
      </c>
      <c r="G154" s="11">
        <f t="shared" si="43"/>
        <v>4187115</v>
      </c>
      <c r="H154" s="11">
        <f t="shared" si="44"/>
        <v>5879720.9756604601</v>
      </c>
      <c r="I154" s="61">
        <f t="shared" ref="I154:I181" si="57">$I$152</f>
        <v>0.44805010496960956</v>
      </c>
      <c r="J154" s="61">
        <f t="shared" si="45"/>
        <v>64100.512292529675</v>
      </c>
      <c r="K154" s="94">
        <f t="shared" si="55"/>
        <v>0.57999999999999996</v>
      </c>
      <c r="L154" s="61">
        <f t="shared" si="46"/>
        <v>43500</v>
      </c>
      <c r="M154" s="61">
        <f t="shared" si="47"/>
        <v>20600.512292529675</v>
      </c>
      <c r="N154" s="61">
        <f t="shared" si="53"/>
        <v>1.105</v>
      </c>
      <c r="O154" s="61">
        <f t="shared" si="48"/>
        <v>82875</v>
      </c>
      <c r="P154" s="79">
        <f t="shared" si="49"/>
        <v>0.47511312217194573</v>
      </c>
      <c r="Q154" s="79">
        <f t="shared" si="50"/>
        <v>0.59452479188270635</v>
      </c>
      <c r="R154" s="95">
        <f t="shared" si="51"/>
        <v>158087.3775</v>
      </c>
      <c r="S154" s="95">
        <f t="shared" si="52"/>
        <v>82875</v>
      </c>
      <c r="T154" s="62">
        <f t="shared" si="41"/>
        <v>0.52500000000000002</v>
      </c>
      <c r="U154" s="61">
        <f t="shared" si="56"/>
        <v>39375</v>
      </c>
    </row>
    <row r="155" spans="1:21" x14ac:dyDescent="0.35">
      <c r="A155" s="1">
        <f t="shared" si="54"/>
        <v>46330</v>
      </c>
      <c r="C155" s="11">
        <f>572262/4</f>
        <v>143065.5</v>
      </c>
      <c r="E155" s="11">
        <f>E154</f>
        <v>75000</v>
      </c>
      <c r="F155" s="11">
        <f t="shared" si="42"/>
        <v>10209901.47566046</v>
      </c>
      <c r="G155" s="11">
        <f t="shared" si="43"/>
        <v>4262115</v>
      </c>
      <c r="H155" s="11">
        <f t="shared" si="44"/>
        <v>5947786.4756604601</v>
      </c>
      <c r="I155" s="61">
        <f t="shared" si="57"/>
        <v>0.44805010496960956</v>
      </c>
      <c r="J155" s="61">
        <f t="shared" si="45"/>
        <v>64100.512292529675</v>
      </c>
      <c r="K155" s="94">
        <f t="shared" si="55"/>
        <v>0.57999999999999996</v>
      </c>
      <c r="L155" s="61">
        <f t="shared" si="46"/>
        <v>43500</v>
      </c>
      <c r="M155" s="61">
        <f t="shared" si="47"/>
        <v>20600.512292529675</v>
      </c>
      <c r="N155" s="61">
        <f t="shared" si="53"/>
        <v>1.105</v>
      </c>
      <c r="O155" s="61">
        <f t="shared" si="48"/>
        <v>82875</v>
      </c>
      <c r="P155" s="79">
        <f t="shared" si="49"/>
        <v>0.47511312217194573</v>
      </c>
      <c r="Q155" s="79">
        <f t="shared" si="50"/>
        <v>0.59452479188270635</v>
      </c>
      <c r="R155" s="95">
        <f t="shared" si="51"/>
        <v>158087.3775</v>
      </c>
      <c r="S155" s="95">
        <f t="shared" si="52"/>
        <v>82875</v>
      </c>
      <c r="T155" s="62">
        <f t="shared" si="41"/>
        <v>0.52500000000000002</v>
      </c>
      <c r="U155" s="61">
        <f t="shared" si="56"/>
        <v>39375</v>
      </c>
    </row>
    <row r="156" spans="1:21" x14ac:dyDescent="0.35">
      <c r="A156" s="1">
        <f t="shared" si="54"/>
        <v>46331</v>
      </c>
      <c r="C156" s="11">
        <f>572262/4</f>
        <v>143065.5</v>
      </c>
      <c r="E156" s="11">
        <f>E155</f>
        <v>75000</v>
      </c>
      <c r="F156" s="11">
        <f t="shared" si="42"/>
        <v>10352966.97566046</v>
      </c>
      <c r="G156" s="11">
        <f t="shared" si="43"/>
        <v>4337115</v>
      </c>
      <c r="H156" s="11">
        <f t="shared" si="44"/>
        <v>6015851.9756604601</v>
      </c>
      <c r="I156" s="61">
        <f t="shared" si="57"/>
        <v>0.44805010496960956</v>
      </c>
      <c r="J156" s="61">
        <f t="shared" si="45"/>
        <v>64100.512292529675</v>
      </c>
      <c r="K156" s="94">
        <f t="shared" si="55"/>
        <v>0.57999999999999996</v>
      </c>
      <c r="L156" s="61">
        <f t="shared" si="46"/>
        <v>43500</v>
      </c>
      <c r="M156" s="61">
        <f t="shared" si="47"/>
        <v>20600.512292529675</v>
      </c>
      <c r="N156" s="61">
        <f t="shared" si="53"/>
        <v>1.105</v>
      </c>
      <c r="O156" s="61">
        <f t="shared" si="48"/>
        <v>82875</v>
      </c>
      <c r="P156" s="79">
        <f t="shared" si="49"/>
        <v>0.47511312217194573</v>
      </c>
      <c r="Q156" s="79">
        <f t="shared" si="50"/>
        <v>0.59452479188270635</v>
      </c>
      <c r="R156" s="95">
        <f t="shared" si="51"/>
        <v>158087.3775</v>
      </c>
      <c r="S156" s="95">
        <f t="shared" si="52"/>
        <v>82875</v>
      </c>
      <c r="T156" s="62">
        <f t="shared" si="41"/>
        <v>0.52500000000000002</v>
      </c>
      <c r="U156" s="61">
        <f t="shared" si="56"/>
        <v>39375</v>
      </c>
    </row>
    <row r="157" spans="1:21" x14ac:dyDescent="0.35">
      <c r="A157" s="1">
        <f t="shared" si="54"/>
        <v>46332</v>
      </c>
      <c r="C157" s="11">
        <v>0</v>
      </c>
      <c r="E157" s="11">
        <v>75000</v>
      </c>
      <c r="F157" s="11">
        <f t="shared" si="42"/>
        <v>10352966.97566046</v>
      </c>
      <c r="G157" s="11">
        <f t="shared" si="43"/>
        <v>4412115</v>
      </c>
      <c r="H157" s="11">
        <f t="shared" si="44"/>
        <v>5940851.9756604601</v>
      </c>
      <c r="I157" s="61">
        <f t="shared" si="57"/>
        <v>0.44805010496960956</v>
      </c>
      <c r="J157" s="61">
        <f t="shared" si="45"/>
        <v>0</v>
      </c>
      <c r="K157" s="94">
        <f t="shared" si="55"/>
        <v>0.57999999999999996</v>
      </c>
      <c r="L157" s="61">
        <f t="shared" si="46"/>
        <v>43500</v>
      </c>
      <c r="M157" s="61">
        <f t="shared" si="47"/>
        <v>-43500</v>
      </c>
      <c r="N157" s="61">
        <f t="shared" si="53"/>
        <v>1.105</v>
      </c>
      <c r="O157" s="61">
        <f t="shared" si="48"/>
        <v>82875</v>
      </c>
      <c r="P157" s="79">
        <f t="shared" si="49"/>
        <v>0.47511312217194573</v>
      </c>
      <c r="Q157" s="79">
        <f t="shared" si="50"/>
        <v>0.59452479188270635</v>
      </c>
      <c r="R157" s="95">
        <f t="shared" si="51"/>
        <v>0</v>
      </c>
      <c r="S157" s="95">
        <f t="shared" si="52"/>
        <v>82875</v>
      </c>
      <c r="T157" s="62">
        <f t="shared" si="41"/>
        <v>0.52500000000000002</v>
      </c>
      <c r="U157" s="61">
        <f t="shared" si="56"/>
        <v>39375</v>
      </c>
    </row>
    <row r="158" spans="1:21" x14ac:dyDescent="0.35">
      <c r="A158" s="1">
        <f t="shared" si="54"/>
        <v>46333</v>
      </c>
      <c r="C158" s="11">
        <f>B158</f>
        <v>0</v>
      </c>
      <c r="F158" s="11">
        <f t="shared" si="42"/>
        <v>10352966.97566046</v>
      </c>
      <c r="G158" s="11">
        <f t="shared" si="43"/>
        <v>4412115</v>
      </c>
      <c r="H158" s="11">
        <f t="shared" si="44"/>
        <v>5940851.9756604601</v>
      </c>
      <c r="I158" s="61">
        <f t="shared" si="57"/>
        <v>0.44805010496960956</v>
      </c>
      <c r="J158" s="61">
        <f t="shared" si="45"/>
        <v>0</v>
      </c>
      <c r="K158" s="94">
        <f t="shared" si="55"/>
        <v>0.57999999999999996</v>
      </c>
      <c r="L158" s="61">
        <f t="shared" si="46"/>
        <v>0</v>
      </c>
      <c r="M158" s="61">
        <f t="shared" si="47"/>
        <v>0</v>
      </c>
      <c r="N158" s="61">
        <f t="shared" si="53"/>
        <v>1.105</v>
      </c>
      <c r="O158" s="61">
        <f t="shared" si="48"/>
        <v>0</v>
      </c>
      <c r="P158" s="79">
        <f t="shared" si="49"/>
        <v>0.47511312217194573</v>
      </c>
      <c r="Q158" s="79">
        <f t="shared" si="50"/>
        <v>0.59452479188270635</v>
      </c>
      <c r="R158" s="95">
        <f t="shared" si="51"/>
        <v>0</v>
      </c>
      <c r="S158" s="95">
        <f t="shared" si="52"/>
        <v>0</v>
      </c>
      <c r="T158" s="62">
        <f t="shared" si="41"/>
        <v>0.52500000000000002</v>
      </c>
      <c r="U158" s="61">
        <f t="shared" si="56"/>
        <v>0</v>
      </c>
    </row>
    <row r="159" spans="1:21" x14ac:dyDescent="0.35">
      <c r="A159" s="1">
        <f t="shared" si="54"/>
        <v>46334</v>
      </c>
      <c r="B159" s="93" t="s">
        <v>205</v>
      </c>
      <c r="C159" s="11">
        <v>0</v>
      </c>
      <c r="F159" s="11">
        <f t="shared" si="42"/>
        <v>10352966.97566046</v>
      </c>
      <c r="G159" s="11">
        <f t="shared" si="43"/>
        <v>4412115</v>
      </c>
      <c r="H159" s="11">
        <f t="shared" si="44"/>
        <v>5940851.9756604601</v>
      </c>
      <c r="I159" s="61">
        <f t="shared" si="57"/>
        <v>0.44805010496960956</v>
      </c>
      <c r="J159" s="61">
        <f t="shared" si="45"/>
        <v>0</v>
      </c>
      <c r="K159" s="94">
        <f t="shared" si="55"/>
        <v>0.57999999999999996</v>
      </c>
      <c r="L159" s="61">
        <f t="shared" si="46"/>
        <v>0</v>
      </c>
      <c r="M159" s="61">
        <f t="shared" si="47"/>
        <v>0</v>
      </c>
      <c r="N159" s="61">
        <f t="shared" si="53"/>
        <v>1.105</v>
      </c>
      <c r="O159" s="61">
        <f t="shared" si="48"/>
        <v>0</v>
      </c>
      <c r="P159" s="79">
        <f t="shared" si="49"/>
        <v>0.47511312217194573</v>
      </c>
      <c r="Q159" s="79">
        <f t="shared" si="50"/>
        <v>0.59452479188270635</v>
      </c>
      <c r="R159" s="95">
        <f t="shared" si="51"/>
        <v>0</v>
      </c>
      <c r="S159" s="95">
        <f t="shared" si="52"/>
        <v>0</v>
      </c>
      <c r="T159" s="62">
        <f t="shared" si="41"/>
        <v>0.52500000000000002</v>
      </c>
      <c r="U159" s="61">
        <f t="shared" si="56"/>
        <v>0</v>
      </c>
    </row>
    <row r="160" spans="1:21" x14ac:dyDescent="0.35">
      <c r="A160" s="1">
        <f t="shared" si="54"/>
        <v>46335</v>
      </c>
      <c r="C160" s="11">
        <v>143066</v>
      </c>
      <c r="E160" s="11">
        <f>E156</f>
        <v>75000</v>
      </c>
      <c r="F160" s="11">
        <f t="shared" si="42"/>
        <v>10496032.97566046</v>
      </c>
      <c r="G160" s="11">
        <f t="shared" si="43"/>
        <v>4487115</v>
      </c>
      <c r="H160" s="11">
        <f t="shared" si="44"/>
        <v>6008917.9756604601</v>
      </c>
      <c r="I160" s="61">
        <f t="shared" si="57"/>
        <v>0.44805010496960956</v>
      </c>
      <c r="J160" s="61">
        <f t="shared" si="45"/>
        <v>64100.736317582159</v>
      </c>
      <c r="K160" s="94">
        <f t="shared" si="55"/>
        <v>0.57999999999999996</v>
      </c>
      <c r="L160" s="61">
        <f t="shared" si="46"/>
        <v>43500</v>
      </c>
      <c r="M160" s="61">
        <f t="shared" si="47"/>
        <v>20600.736317582159</v>
      </c>
      <c r="N160" s="61">
        <f t="shared" si="53"/>
        <v>1.105</v>
      </c>
      <c r="O160" s="61">
        <f t="shared" si="48"/>
        <v>82875</v>
      </c>
      <c r="P160" s="79">
        <f t="shared" si="49"/>
        <v>0.47511312217194573</v>
      </c>
      <c r="Q160" s="79">
        <f t="shared" si="50"/>
        <v>0.59452479188270635</v>
      </c>
      <c r="R160" s="95">
        <f t="shared" si="51"/>
        <v>158087.93</v>
      </c>
      <c r="S160" s="95">
        <f t="shared" si="52"/>
        <v>82875</v>
      </c>
      <c r="T160" s="62">
        <f t="shared" si="41"/>
        <v>0.52500000000000002</v>
      </c>
      <c r="U160" s="61">
        <f t="shared" si="56"/>
        <v>39375</v>
      </c>
    </row>
    <row r="161" spans="1:21" ht="16" x14ac:dyDescent="0.4">
      <c r="A161" s="1">
        <f t="shared" si="54"/>
        <v>46336</v>
      </c>
      <c r="C161" s="97">
        <v>143066</v>
      </c>
      <c r="E161" s="11">
        <f>E160</f>
        <v>75000</v>
      </c>
      <c r="F161" s="11">
        <f t="shared" si="42"/>
        <v>10639098.97566046</v>
      </c>
      <c r="G161" s="11">
        <f t="shared" si="43"/>
        <v>4562115</v>
      </c>
      <c r="H161" s="11">
        <f t="shared" si="44"/>
        <v>6076983.9756604601</v>
      </c>
      <c r="I161" s="61">
        <f t="shared" si="57"/>
        <v>0.44805010496960956</v>
      </c>
      <c r="J161" s="61">
        <f t="shared" si="45"/>
        <v>64100.736317582159</v>
      </c>
      <c r="K161" s="94">
        <f t="shared" si="55"/>
        <v>0.57999999999999996</v>
      </c>
      <c r="L161" s="61">
        <f t="shared" si="46"/>
        <v>43500</v>
      </c>
      <c r="M161" s="61">
        <f t="shared" si="47"/>
        <v>20600.736317582159</v>
      </c>
      <c r="N161" s="61">
        <f t="shared" si="53"/>
        <v>1.105</v>
      </c>
      <c r="O161" s="61">
        <f t="shared" si="48"/>
        <v>82875</v>
      </c>
      <c r="P161" s="79">
        <f t="shared" si="49"/>
        <v>0.47511312217194573</v>
      </c>
      <c r="Q161" s="79">
        <f t="shared" si="50"/>
        <v>0.59452479188270635</v>
      </c>
      <c r="R161" s="95">
        <f t="shared" si="51"/>
        <v>158087.93</v>
      </c>
      <c r="S161" s="95">
        <f t="shared" si="52"/>
        <v>82875</v>
      </c>
      <c r="T161" s="62">
        <f t="shared" si="41"/>
        <v>0.52500000000000002</v>
      </c>
      <c r="U161" s="61">
        <f t="shared" si="56"/>
        <v>39375</v>
      </c>
    </row>
    <row r="162" spans="1:21" ht="16" x14ac:dyDescent="0.4">
      <c r="A162" s="1">
        <f t="shared" si="54"/>
        <v>46337</v>
      </c>
      <c r="C162" s="97">
        <v>143066</v>
      </c>
      <c r="E162" s="11">
        <f>E161</f>
        <v>75000</v>
      </c>
      <c r="F162" s="11">
        <f t="shared" si="42"/>
        <v>10782164.97566046</v>
      </c>
      <c r="G162" s="11">
        <f t="shared" si="43"/>
        <v>4637115</v>
      </c>
      <c r="H162" s="11">
        <f t="shared" si="44"/>
        <v>6145049.9756604601</v>
      </c>
      <c r="I162" s="61">
        <f t="shared" si="57"/>
        <v>0.44805010496960956</v>
      </c>
      <c r="J162" s="61">
        <f t="shared" si="45"/>
        <v>64100.736317582159</v>
      </c>
      <c r="K162" s="94">
        <f t="shared" si="55"/>
        <v>0.57999999999999996</v>
      </c>
      <c r="L162" s="61">
        <f t="shared" si="46"/>
        <v>43500</v>
      </c>
      <c r="M162" s="61">
        <f t="shared" si="47"/>
        <v>20600.736317582159</v>
      </c>
      <c r="N162" s="61">
        <f t="shared" si="53"/>
        <v>1.105</v>
      </c>
      <c r="O162" s="61">
        <f t="shared" si="48"/>
        <v>82875</v>
      </c>
      <c r="P162" s="79">
        <f t="shared" si="49"/>
        <v>0.47511312217194573</v>
      </c>
      <c r="Q162" s="79">
        <f t="shared" si="50"/>
        <v>0.59452479188270635</v>
      </c>
      <c r="R162" s="95">
        <f t="shared" si="51"/>
        <v>158087.93</v>
      </c>
      <c r="S162" s="95">
        <f t="shared" si="52"/>
        <v>82875</v>
      </c>
      <c r="T162" s="62">
        <f t="shared" si="41"/>
        <v>0.52500000000000002</v>
      </c>
      <c r="U162" s="61">
        <f t="shared" si="56"/>
        <v>39375</v>
      </c>
    </row>
    <row r="163" spans="1:21" ht="16" x14ac:dyDescent="0.4">
      <c r="A163" s="1">
        <f t="shared" si="54"/>
        <v>46338</v>
      </c>
      <c r="C163" s="97">
        <v>143066</v>
      </c>
      <c r="E163" s="11">
        <f>E162</f>
        <v>75000</v>
      </c>
      <c r="F163" s="11">
        <f t="shared" si="42"/>
        <v>10925230.97566046</v>
      </c>
      <c r="G163" s="11">
        <f t="shared" si="43"/>
        <v>4712115</v>
      </c>
      <c r="H163" s="11">
        <f t="shared" si="44"/>
        <v>6213115.9756604601</v>
      </c>
      <c r="I163" s="61">
        <f t="shared" si="57"/>
        <v>0.44805010496960956</v>
      </c>
      <c r="J163" s="61">
        <f t="shared" si="45"/>
        <v>64100.736317582159</v>
      </c>
      <c r="K163" s="94">
        <f t="shared" si="55"/>
        <v>0.57999999999999996</v>
      </c>
      <c r="L163" s="61">
        <f t="shared" si="46"/>
        <v>43500</v>
      </c>
      <c r="M163" s="61">
        <f t="shared" si="47"/>
        <v>20600.736317582159</v>
      </c>
      <c r="N163" s="61">
        <f t="shared" si="53"/>
        <v>1.105</v>
      </c>
      <c r="O163" s="61">
        <f t="shared" si="48"/>
        <v>82875</v>
      </c>
      <c r="P163" s="79">
        <f t="shared" si="49"/>
        <v>0.47511312217194573</v>
      </c>
      <c r="Q163" s="79">
        <f t="shared" si="50"/>
        <v>0.59452479188270635</v>
      </c>
      <c r="R163" s="95">
        <f t="shared" si="51"/>
        <v>158087.93</v>
      </c>
      <c r="S163" s="95">
        <f t="shared" si="52"/>
        <v>82875</v>
      </c>
      <c r="T163" s="62">
        <f t="shared" si="41"/>
        <v>0.52500000000000002</v>
      </c>
      <c r="U163" s="61">
        <f t="shared" si="56"/>
        <v>39375</v>
      </c>
    </row>
    <row r="164" spans="1:21" x14ac:dyDescent="0.35">
      <c r="A164" s="1">
        <f t="shared" si="54"/>
        <v>46339</v>
      </c>
      <c r="C164" s="11">
        <v>0</v>
      </c>
      <c r="E164" s="11">
        <v>75000</v>
      </c>
      <c r="F164" s="11">
        <f t="shared" si="42"/>
        <v>10925230.97566046</v>
      </c>
      <c r="G164" s="11">
        <f t="shared" si="43"/>
        <v>4787115</v>
      </c>
      <c r="H164" s="11">
        <f t="shared" si="44"/>
        <v>6138115.9756604601</v>
      </c>
      <c r="I164" s="61">
        <f t="shared" si="57"/>
        <v>0.44805010496960956</v>
      </c>
      <c r="J164" s="61">
        <f t="shared" si="45"/>
        <v>0</v>
      </c>
      <c r="K164" s="94">
        <f t="shared" si="55"/>
        <v>0.57999999999999996</v>
      </c>
      <c r="L164" s="61">
        <f t="shared" si="46"/>
        <v>43500</v>
      </c>
      <c r="M164" s="61">
        <f t="shared" si="47"/>
        <v>-43500</v>
      </c>
      <c r="N164" s="61">
        <f t="shared" si="53"/>
        <v>1.105</v>
      </c>
      <c r="O164" s="61">
        <f t="shared" si="48"/>
        <v>82875</v>
      </c>
      <c r="P164" s="79">
        <f t="shared" si="49"/>
        <v>0.47511312217194573</v>
      </c>
      <c r="Q164" s="79">
        <f t="shared" si="50"/>
        <v>0.59452479188270635</v>
      </c>
      <c r="R164" s="95">
        <f t="shared" si="51"/>
        <v>0</v>
      </c>
      <c r="S164" s="95">
        <f t="shared" si="52"/>
        <v>82875</v>
      </c>
      <c r="T164" s="62">
        <f t="shared" si="41"/>
        <v>0.52500000000000002</v>
      </c>
      <c r="U164" s="61">
        <f t="shared" si="56"/>
        <v>39375</v>
      </c>
    </row>
    <row r="165" spans="1:21" x14ac:dyDescent="0.35">
      <c r="A165" s="1">
        <f t="shared" si="54"/>
        <v>46340</v>
      </c>
      <c r="C165" s="11">
        <f>B165</f>
        <v>0</v>
      </c>
      <c r="F165" s="11">
        <f t="shared" si="42"/>
        <v>10925230.97566046</v>
      </c>
      <c r="G165" s="11">
        <f t="shared" si="43"/>
        <v>4787115</v>
      </c>
      <c r="H165" s="11">
        <f t="shared" si="44"/>
        <v>6138115.9756604601</v>
      </c>
      <c r="I165" s="61">
        <f t="shared" si="57"/>
        <v>0.44805010496960956</v>
      </c>
      <c r="J165" s="61">
        <f t="shared" si="45"/>
        <v>0</v>
      </c>
      <c r="K165" s="94">
        <f t="shared" si="55"/>
        <v>0.57999999999999996</v>
      </c>
      <c r="L165" s="61">
        <f t="shared" si="46"/>
        <v>0</v>
      </c>
      <c r="M165" s="61">
        <f t="shared" si="47"/>
        <v>0</v>
      </c>
      <c r="N165" s="61">
        <f t="shared" si="53"/>
        <v>1.105</v>
      </c>
      <c r="O165" s="61">
        <f t="shared" si="48"/>
        <v>0</v>
      </c>
      <c r="P165" s="79">
        <f t="shared" si="49"/>
        <v>0.47511312217194573</v>
      </c>
      <c r="Q165" s="79">
        <f t="shared" si="50"/>
        <v>0.59452479188270635</v>
      </c>
      <c r="R165" s="95">
        <f t="shared" si="51"/>
        <v>0</v>
      </c>
      <c r="S165" s="95">
        <f t="shared" si="52"/>
        <v>0</v>
      </c>
      <c r="T165" s="62">
        <f t="shared" si="41"/>
        <v>0.52500000000000002</v>
      </c>
      <c r="U165" s="61">
        <f t="shared" si="56"/>
        <v>0</v>
      </c>
    </row>
    <row r="166" spans="1:21" x14ac:dyDescent="0.35">
      <c r="A166" s="1">
        <f t="shared" si="54"/>
        <v>46341</v>
      </c>
      <c r="B166" s="93" t="s">
        <v>205</v>
      </c>
      <c r="C166" s="11">
        <v>0</v>
      </c>
      <c r="F166" s="11">
        <f t="shared" si="42"/>
        <v>10925230.97566046</v>
      </c>
      <c r="G166" s="11">
        <f t="shared" si="43"/>
        <v>4787115</v>
      </c>
      <c r="H166" s="11">
        <f t="shared" si="44"/>
        <v>6138115.9756604601</v>
      </c>
      <c r="I166" s="61">
        <f t="shared" si="57"/>
        <v>0.44805010496960956</v>
      </c>
      <c r="J166" s="61">
        <f t="shared" si="45"/>
        <v>0</v>
      </c>
      <c r="K166" s="94">
        <f t="shared" si="55"/>
        <v>0.57999999999999996</v>
      </c>
      <c r="L166" s="61">
        <f t="shared" si="46"/>
        <v>0</v>
      </c>
      <c r="M166" s="61">
        <f t="shared" si="47"/>
        <v>0</v>
      </c>
      <c r="N166" s="61">
        <f t="shared" si="53"/>
        <v>1.105</v>
      </c>
      <c r="O166" s="61">
        <f t="shared" si="48"/>
        <v>0</v>
      </c>
      <c r="P166" s="79">
        <f t="shared" si="49"/>
        <v>0.47511312217194573</v>
      </c>
      <c r="Q166" s="79">
        <f t="shared" si="50"/>
        <v>0.59452479188270635</v>
      </c>
      <c r="R166" s="95">
        <f t="shared" si="51"/>
        <v>0</v>
      </c>
      <c r="S166" s="95">
        <f t="shared" si="52"/>
        <v>0</v>
      </c>
      <c r="T166" s="62">
        <f t="shared" si="41"/>
        <v>0.52500000000000002</v>
      </c>
      <c r="U166" s="61">
        <f t="shared" si="56"/>
        <v>0</v>
      </c>
    </row>
    <row r="167" spans="1:21" ht="16" x14ac:dyDescent="0.4">
      <c r="A167" s="1">
        <f t="shared" si="54"/>
        <v>46342</v>
      </c>
      <c r="C167" s="97">
        <v>143066</v>
      </c>
      <c r="E167" s="11">
        <f>E163</f>
        <v>75000</v>
      </c>
      <c r="F167" s="11">
        <f t="shared" si="42"/>
        <v>11068296.97566046</v>
      </c>
      <c r="G167" s="11">
        <f t="shared" si="43"/>
        <v>4862115</v>
      </c>
      <c r="H167" s="11">
        <f t="shared" si="44"/>
        <v>6206181.9756604601</v>
      </c>
      <c r="I167" s="61">
        <f t="shared" si="57"/>
        <v>0.44805010496960956</v>
      </c>
      <c r="J167" s="61">
        <f t="shared" si="45"/>
        <v>64100.736317582159</v>
      </c>
      <c r="K167" s="94">
        <f t="shared" si="55"/>
        <v>0.57999999999999996</v>
      </c>
      <c r="L167" s="61">
        <f t="shared" si="46"/>
        <v>43500</v>
      </c>
      <c r="M167" s="61">
        <f t="shared" si="47"/>
        <v>20600.736317582159</v>
      </c>
      <c r="N167" s="61">
        <f t="shared" si="53"/>
        <v>1.105</v>
      </c>
      <c r="O167" s="61">
        <f t="shared" si="48"/>
        <v>82875</v>
      </c>
      <c r="P167" s="79">
        <f t="shared" si="49"/>
        <v>0.47511312217194573</v>
      </c>
      <c r="Q167" s="79">
        <f t="shared" si="50"/>
        <v>0.59452479188270635</v>
      </c>
      <c r="R167" s="95">
        <f t="shared" si="51"/>
        <v>158087.93</v>
      </c>
      <c r="S167" s="95">
        <f t="shared" si="52"/>
        <v>82875</v>
      </c>
      <c r="T167" s="62">
        <f t="shared" si="41"/>
        <v>0.52500000000000002</v>
      </c>
      <c r="U167" s="61">
        <f t="shared" si="56"/>
        <v>39375</v>
      </c>
    </row>
    <row r="168" spans="1:21" ht="16" x14ac:dyDescent="0.4">
      <c r="A168" s="1">
        <f t="shared" si="54"/>
        <v>46343</v>
      </c>
      <c r="C168" s="97">
        <v>143066</v>
      </c>
      <c r="E168" s="11">
        <f>E167</f>
        <v>75000</v>
      </c>
      <c r="F168" s="11">
        <f t="shared" si="42"/>
        <v>11211362.97566046</v>
      </c>
      <c r="G168" s="11">
        <f t="shared" si="43"/>
        <v>4937115</v>
      </c>
      <c r="H168" s="11">
        <f t="shared" si="44"/>
        <v>6274247.9756604601</v>
      </c>
      <c r="I168" s="61">
        <f t="shared" si="57"/>
        <v>0.44805010496960956</v>
      </c>
      <c r="J168" s="61">
        <f t="shared" si="45"/>
        <v>64100.736317582159</v>
      </c>
      <c r="K168" s="94">
        <f t="shared" si="55"/>
        <v>0.57999999999999996</v>
      </c>
      <c r="L168" s="61">
        <f t="shared" si="46"/>
        <v>43500</v>
      </c>
      <c r="M168" s="61">
        <f t="shared" si="47"/>
        <v>20600.736317582159</v>
      </c>
      <c r="N168" s="61">
        <f t="shared" si="53"/>
        <v>1.105</v>
      </c>
      <c r="O168" s="61">
        <f t="shared" si="48"/>
        <v>82875</v>
      </c>
      <c r="P168" s="79">
        <f t="shared" si="49"/>
        <v>0.47511312217194573</v>
      </c>
      <c r="Q168" s="79">
        <f t="shared" si="50"/>
        <v>0.59452479188270635</v>
      </c>
      <c r="R168" s="95">
        <f t="shared" si="51"/>
        <v>158087.93</v>
      </c>
      <c r="S168" s="95">
        <f t="shared" si="52"/>
        <v>82875</v>
      </c>
      <c r="T168" s="62">
        <f t="shared" si="41"/>
        <v>0.52500000000000002</v>
      </c>
      <c r="U168" s="61">
        <f t="shared" si="56"/>
        <v>39375</v>
      </c>
    </row>
    <row r="169" spans="1:21" ht="16" x14ac:dyDescent="0.4">
      <c r="A169" s="1">
        <f t="shared" si="54"/>
        <v>46344</v>
      </c>
      <c r="C169" s="97">
        <v>143066</v>
      </c>
      <c r="E169" s="11">
        <f>E168</f>
        <v>75000</v>
      </c>
      <c r="F169" s="11">
        <f t="shared" si="42"/>
        <v>11354428.97566046</v>
      </c>
      <c r="G169" s="11">
        <f t="shared" si="43"/>
        <v>5012115</v>
      </c>
      <c r="H169" s="11">
        <f t="shared" si="44"/>
        <v>6342313.9756604601</v>
      </c>
      <c r="I169" s="61">
        <f t="shared" si="57"/>
        <v>0.44805010496960956</v>
      </c>
      <c r="J169" s="61">
        <f t="shared" si="45"/>
        <v>64100.736317582159</v>
      </c>
      <c r="K169" s="94">
        <f t="shared" si="55"/>
        <v>0.57999999999999996</v>
      </c>
      <c r="L169" s="61">
        <f t="shared" si="46"/>
        <v>43500</v>
      </c>
      <c r="M169" s="61">
        <f t="shared" si="47"/>
        <v>20600.736317582159</v>
      </c>
      <c r="N169" s="61">
        <f t="shared" si="53"/>
        <v>1.105</v>
      </c>
      <c r="O169" s="61">
        <f t="shared" si="48"/>
        <v>82875</v>
      </c>
      <c r="P169" s="79">
        <f t="shared" si="49"/>
        <v>0.47511312217194573</v>
      </c>
      <c r="Q169" s="79">
        <f t="shared" si="50"/>
        <v>0.59452479188270635</v>
      </c>
      <c r="R169" s="95">
        <f t="shared" si="51"/>
        <v>158087.93</v>
      </c>
      <c r="S169" s="95">
        <f t="shared" si="52"/>
        <v>82875</v>
      </c>
      <c r="T169" s="62">
        <f t="shared" si="41"/>
        <v>0.52500000000000002</v>
      </c>
      <c r="U169" s="61">
        <f t="shared" si="56"/>
        <v>39375</v>
      </c>
    </row>
    <row r="170" spans="1:21" ht="16" x14ac:dyDescent="0.4">
      <c r="A170" s="1">
        <f t="shared" si="54"/>
        <v>46345</v>
      </c>
      <c r="C170" s="97">
        <v>143066</v>
      </c>
      <c r="E170" s="11">
        <f>E169</f>
        <v>75000</v>
      </c>
      <c r="F170" s="11">
        <f t="shared" si="42"/>
        <v>11497494.97566046</v>
      </c>
      <c r="G170" s="11">
        <f t="shared" si="43"/>
        <v>5087115</v>
      </c>
      <c r="H170" s="11">
        <f t="shared" si="44"/>
        <v>6410379.9756604601</v>
      </c>
      <c r="I170" s="61">
        <f t="shared" si="57"/>
        <v>0.44805010496960956</v>
      </c>
      <c r="J170" s="61">
        <f t="shared" si="45"/>
        <v>64100.736317582159</v>
      </c>
      <c r="K170" s="94">
        <f t="shared" si="55"/>
        <v>0.57999999999999996</v>
      </c>
      <c r="L170" s="61">
        <f t="shared" si="46"/>
        <v>43500</v>
      </c>
      <c r="M170" s="61">
        <f t="shared" si="47"/>
        <v>20600.736317582159</v>
      </c>
      <c r="N170" s="61">
        <f t="shared" si="53"/>
        <v>1.105</v>
      </c>
      <c r="O170" s="61">
        <f t="shared" si="48"/>
        <v>82875</v>
      </c>
      <c r="P170" s="79">
        <f t="shared" si="49"/>
        <v>0.47511312217194573</v>
      </c>
      <c r="Q170" s="79">
        <f t="shared" si="50"/>
        <v>0.59452479188270635</v>
      </c>
      <c r="R170" s="95">
        <f t="shared" si="51"/>
        <v>158087.93</v>
      </c>
      <c r="S170" s="95">
        <f t="shared" si="52"/>
        <v>82875</v>
      </c>
      <c r="T170" s="62">
        <f t="shared" si="41"/>
        <v>0.52500000000000002</v>
      </c>
      <c r="U170" s="61">
        <f t="shared" si="56"/>
        <v>39375</v>
      </c>
    </row>
    <row r="171" spans="1:21" x14ac:dyDescent="0.35">
      <c r="A171" s="1">
        <f t="shared" si="54"/>
        <v>46346</v>
      </c>
      <c r="C171" s="11">
        <v>0</v>
      </c>
      <c r="E171" s="11">
        <v>75000</v>
      </c>
      <c r="F171" s="11">
        <f t="shared" si="42"/>
        <v>11497494.97566046</v>
      </c>
      <c r="G171" s="11">
        <f t="shared" si="43"/>
        <v>5162115</v>
      </c>
      <c r="H171" s="11">
        <f t="shared" si="44"/>
        <v>6335379.9756604601</v>
      </c>
      <c r="I171" s="61">
        <f t="shared" si="57"/>
        <v>0.44805010496960956</v>
      </c>
      <c r="J171" s="61">
        <f t="shared" si="45"/>
        <v>0</v>
      </c>
      <c r="K171" s="94">
        <f t="shared" si="55"/>
        <v>0.57999999999999996</v>
      </c>
      <c r="L171" s="61">
        <f t="shared" si="46"/>
        <v>43500</v>
      </c>
      <c r="M171" s="61">
        <f t="shared" si="47"/>
        <v>-43500</v>
      </c>
      <c r="N171" s="61">
        <f t="shared" si="53"/>
        <v>1.105</v>
      </c>
      <c r="O171" s="61">
        <f t="shared" si="48"/>
        <v>82875</v>
      </c>
      <c r="P171" s="79">
        <f t="shared" si="49"/>
        <v>0.47511312217194573</v>
      </c>
      <c r="Q171" s="79">
        <f t="shared" si="50"/>
        <v>0.59452479188270635</v>
      </c>
      <c r="R171" s="95">
        <f t="shared" si="51"/>
        <v>0</v>
      </c>
      <c r="S171" s="95">
        <f t="shared" si="52"/>
        <v>82875</v>
      </c>
      <c r="T171" s="62">
        <f t="shared" si="41"/>
        <v>0.52500000000000002</v>
      </c>
      <c r="U171" s="61">
        <f t="shared" si="56"/>
        <v>39375</v>
      </c>
    </row>
    <row r="172" spans="1:21" x14ac:dyDescent="0.35">
      <c r="A172" s="1">
        <f t="shared" si="54"/>
        <v>46347</v>
      </c>
      <c r="C172" s="11">
        <f>B172</f>
        <v>0</v>
      </c>
      <c r="F172" s="11">
        <f t="shared" si="42"/>
        <v>11497494.97566046</v>
      </c>
      <c r="G172" s="11">
        <f t="shared" si="43"/>
        <v>5162115</v>
      </c>
      <c r="H172" s="11">
        <f t="shared" si="44"/>
        <v>6335379.9756604601</v>
      </c>
      <c r="I172" s="61">
        <f t="shared" si="57"/>
        <v>0.44805010496960956</v>
      </c>
      <c r="J172" s="61">
        <f t="shared" si="45"/>
        <v>0</v>
      </c>
      <c r="K172" s="94">
        <f t="shared" si="55"/>
        <v>0.57999999999999996</v>
      </c>
      <c r="L172" s="61">
        <f t="shared" si="46"/>
        <v>0</v>
      </c>
      <c r="M172" s="61">
        <f t="shared" si="47"/>
        <v>0</v>
      </c>
      <c r="N172" s="61">
        <f t="shared" si="53"/>
        <v>1.105</v>
      </c>
      <c r="O172" s="61">
        <f t="shared" si="48"/>
        <v>0</v>
      </c>
      <c r="P172" s="79">
        <f t="shared" si="49"/>
        <v>0.47511312217194573</v>
      </c>
      <c r="Q172" s="79">
        <f t="shared" si="50"/>
        <v>0.59452479188270635</v>
      </c>
      <c r="R172" s="95">
        <f t="shared" si="51"/>
        <v>0</v>
      </c>
      <c r="S172" s="95">
        <f t="shared" si="52"/>
        <v>0</v>
      </c>
      <c r="T172" s="62">
        <f t="shared" si="41"/>
        <v>0.52500000000000002</v>
      </c>
      <c r="U172" s="61">
        <f t="shared" si="56"/>
        <v>0</v>
      </c>
    </row>
    <row r="173" spans="1:21" x14ac:dyDescent="0.35">
      <c r="A173" s="1">
        <f t="shared" si="54"/>
        <v>46348</v>
      </c>
      <c r="B173" s="93" t="s">
        <v>205</v>
      </c>
      <c r="C173" s="11">
        <v>0</v>
      </c>
      <c r="F173" s="11">
        <f t="shared" si="42"/>
        <v>11497494.97566046</v>
      </c>
      <c r="G173" s="11">
        <f t="shared" si="43"/>
        <v>5162115</v>
      </c>
      <c r="H173" s="11">
        <f t="shared" si="44"/>
        <v>6335379.9756604601</v>
      </c>
      <c r="I173" s="61">
        <f t="shared" si="57"/>
        <v>0.44805010496960956</v>
      </c>
      <c r="J173" s="61">
        <f t="shared" si="45"/>
        <v>0</v>
      </c>
      <c r="K173" s="94">
        <f t="shared" si="55"/>
        <v>0.57999999999999996</v>
      </c>
      <c r="L173" s="61">
        <f t="shared" si="46"/>
        <v>0</v>
      </c>
      <c r="M173" s="61">
        <f t="shared" si="47"/>
        <v>0</v>
      </c>
      <c r="N173" s="61">
        <f t="shared" si="53"/>
        <v>1.105</v>
      </c>
      <c r="O173" s="61">
        <f t="shared" si="48"/>
        <v>0</v>
      </c>
      <c r="P173" s="79">
        <f t="shared" si="49"/>
        <v>0.47511312217194573</v>
      </c>
      <c r="Q173" s="79">
        <f t="shared" si="50"/>
        <v>0.59452479188270635</v>
      </c>
      <c r="R173" s="95">
        <f t="shared" si="51"/>
        <v>0</v>
      </c>
      <c r="S173" s="95">
        <f t="shared" si="52"/>
        <v>0</v>
      </c>
      <c r="T173" s="62">
        <f t="shared" si="41"/>
        <v>0.52500000000000002</v>
      </c>
      <c r="U173" s="61">
        <f t="shared" si="56"/>
        <v>0</v>
      </c>
    </row>
    <row r="174" spans="1:21" ht="16" x14ac:dyDescent="0.4">
      <c r="A174" s="1">
        <f t="shared" si="54"/>
        <v>46349</v>
      </c>
      <c r="C174" s="97">
        <v>143066</v>
      </c>
      <c r="E174" s="11">
        <f>E167</f>
        <v>75000</v>
      </c>
      <c r="F174" s="11">
        <f t="shared" si="42"/>
        <v>11640560.97566046</v>
      </c>
      <c r="G174" s="11">
        <f t="shared" si="43"/>
        <v>5237115</v>
      </c>
      <c r="H174" s="11">
        <f t="shared" si="44"/>
        <v>6403445.9756604601</v>
      </c>
      <c r="I174" s="61">
        <f t="shared" si="57"/>
        <v>0.44805010496960956</v>
      </c>
      <c r="J174" s="61">
        <f t="shared" si="45"/>
        <v>64100.736317582159</v>
      </c>
      <c r="K174" s="94">
        <f t="shared" si="55"/>
        <v>0.57999999999999996</v>
      </c>
      <c r="L174" s="61">
        <f t="shared" si="46"/>
        <v>43500</v>
      </c>
      <c r="M174" s="61">
        <f t="shared" si="47"/>
        <v>20600.736317582159</v>
      </c>
      <c r="N174" s="61">
        <f t="shared" si="53"/>
        <v>1.105</v>
      </c>
      <c r="O174" s="61">
        <f t="shared" si="48"/>
        <v>82875</v>
      </c>
      <c r="P174" s="79">
        <f t="shared" si="49"/>
        <v>0.47511312217194573</v>
      </c>
      <c r="Q174" s="79">
        <f t="shared" si="50"/>
        <v>0.59452479188270635</v>
      </c>
      <c r="R174" s="95">
        <f t="shared" si="51"/>
        <v>158087.93</v>
      </c>
      <c r="S174" s="95">
        <f t="shared" si="52"/>
        <v>82875</v>
      </c>
      <c r="T174" s="62">
        <f t="shared" si="41"/>
        <v>0.52500000000000002</v>
      </c>
      <c r="U174" s="61">
        <f t="shared" si="56"/>
        <v>39375</v>
      </c>
    </row>
    <row r="175" spans="1:21" ht="16" x14ac:dyDescent="0.4">
      <c r="A175" s="1">
        <f t="shared" si="54"/>
        <v>46350</v>
      </c>
      <c r="C175" s="97">
        <v>143066</v>
      </c>
      <c r="E175" s="11">
        <f>E174</f>
        <v>75000</v>
      </c>
      <c r="F175" s="11">
        <f t="shared" si="42"/>
        <v>11783626.97566046</v>
      </c>
      <c r="G175" s="11">
        <f t="shared" si="43"/>
        <v>5312115</v>
      </c>
      <c r="H175" s="11">
        <f t="shared" si="44"/>
        <v>6471511.9756604601</v>
      </c>
      <c r="I175" s="61">
        <f t="shared" si="57"/>
        <v>0.44805010496960956</v>
      </c>
      <c r="J175" s="61">
        <f t="shared" si="45"/>
        <v>64100.736317582159</v>
      </c>
      <c r="K175" s="94">
        <f t="shared" si="55"/>
        <v>0.57999999999999996</v>
      </c>
      <c r="L175" s="61">
        <f t="shared" si="46"/>
        <v>43500</v>
      </c>
      <c r="M175" s="61">
        <f t="shared" si="47"/>
        <v>20600.736317582159</v>
      </c>
      <c r="N175" s="61">
        <f t="shared" si="53"/>
        <v>1.105</v>
      </c>
      <c r="O175" s="61">
        <f t="shared" si="48"/>
        <v>82875</v>
      </c>
      <c r="P175" s="79">
        <f t="shared" si="49"/>
        <v>0.47511312217194573</v>
      </c>
      <c r="Q175" s="79">
        <f t="shared" si="50"/>
        <v>0.59452479188270635</v>
      </c>
      <c r="R175" s="95">
        <f t="shared" si="51"/>
        <v>158087.93</v>
      </c>
      <c r="S175" s="95">
        <f t="shared" si="52"/>
        <v>82875</v>
      </c>
      <c r="T175" s="62">
        <f t="shared" si="41"/>
        <v>0.52500000000000002</v>
      </c>
      <c r="U175" s="61">
        <f t="shared" si="56"/>
        <v>39375</v>
      </c>
    </row>
    <row r="176" spans="1:21" ht="16" x14ac:dyDescent="0.4">
      <c r="A176" s="1">
        <f t="shared" si="54"/>
        <v>46351</v>
      </c>
      <c r="C176" s="97">
        <v>143066</v>
      </c>
      <c r="E176" s="11">
        <f>E175</f>
        <v>75000</v>
      </c>
      <c r="F176" s="11">
        <f t="shared" si="42"/>
        <v>11926692.97566046</v>
      </c>
      <c r="G176" s="11">
        <f t="shared" si="43"/>
        <v>5387115</v>
      </c>
      <c r="H176" s="11">
        <f t="shared" si="44"/>
        <v>6539577.9756604601</v>
      </c>
      <c r="I176" s="61">
        <f t="shared" si="57"/>
        <v>0.44805010496960956</v>
      </c>
      <c r="J176" s="61">
        <f t="shared" si="45"/>
        <v>64100.736317582159</v>
      </c>
      <c r="K176" s="94">
        <f t="shared" si="55"/>
        <v>0.57999999999999996</v>
      </c>
      <c r="L176" s="61">
        <f t="shared" si="46"/>
        <v>43500</v>
      </c>
      <c r="M176" s="61">
        <f t="shared" si="47"/>
        <v>20600.736317582159</v>
      </c>
      <c r="N176" s="61">
        <f t="shared" si="53"/>
        <v>1.105</v>
      </c>
      <c r="O176" s="61">
        <f t="shared" si="48"/>
        <v>82875</v>
      </c>
      <c r="P176" s="79">
        <f t="shared" si="49"/>
        <v>0.47511312217194573</v>
      </c>
      <c r="Q176" s="79">
        <f t="shared" si="50"/>
        <v>0.59452479188270635</v>
      </c>
      <c r="R176" s="95">
        <f t="shared" si="51"/>
        <v>158087.93</v>
      </c>
      <c r="S176" s="95">
        <f t="shared" si="52"/>
        <v>82875</v>
      </c>
      <c r="T176" s="62">
        <f t="shared" si="41"/>
        <v>0.52500000000000002</v>
      </c>
      <c r="U176" s="61">
        <f t="shared" si="56"/>
        <v>39375</v>
      </c>
    </row>
    <row r="177" spans="1:21" x14ac:dyDescent="0.35">
      <c r="A177" s="1">
        <f t="shared" si="54"/>
        <v>46352</v>
      </c>
      <c r="B177" s="93" t="s">
        <v>205</v>
      </c>
      <c r="C177" s="11">
        <v>0</v>
      </c>
      <c r="F177" s="11">
        <f t="shared" si="42"/>
        <v>11926692.97566046</v>
      </c>
      <c r="G177" s="11">
        <f t="shared" si="43"/>
        <v>5387115</v>
      </c>
      <c r="H177" s="11">
        <f t="shared" si="44"/>
        <v>6539577.9756604601</v>
      </c>
      <c r="I177" s="61">
        <f t="shared" si="57"/>
        <v>0.44805010496960956</v>
      </c>
      <c r="J177" s="61">
        <f t="shared" si="45"/>
        <v>0</v>
      </c>
      <c r="K177" s="94">
        <f t="shared" si="55"/>
        <v>0.57999999999999996</v>
      </c>
      <c r="L177" s="61">
        <f t="shared" si="46"/>
        <v>0</v>
      </c>
      <c r="M177" s="61">
        <f t="shared" si="47"/>
        <v>0</v>
      </c>
      <c r="N177" s="61">
        <f t="shared" si="53"/>
        <v>1.105</v>
      </c>
      <c r="O177" s="61">
        <f t="shared" si="48"/>
        <v>0</v>
      </c>
      <c r="P177" s="79">
        <f t="shared" si="49"/>
        <v>0.47511312217194573</v>
      </c>
      <c r="Q177" s="79">
        <f t="shared" si="50"/>
        <v>0.59452479188270635</v>
      </c>
      <c r="R177" s="95">
        <f t="shared" si="51"/>
        <v>0</v>
      </c>
      <c r="S177" s="95">
        <f t="shared" si="52"/>
        <v>0</v>
      </c>
      <c r="T177" s="62">
        <f t="shared" si="41"/>
        <v>0.52500000000000002</v>
      </c>
      <c r="U177" s="61">
        <f t="shared" si="56"/>
        <v>0</v>
      </c>
    </row>
    <row r="178" spans="1:21" x14ac:dyDescent="0.35">
      <c r="A178" s="1">
        <f t="shared" si="54"/>
        <v>46353</v>
      </c>
      <c r="B178" s="93" t="s">
        <v>205</v>
      </c>
      <c r="C178" s="11">
        <v>0</v>
      </c>
      <c r="F178" s="11">
        <f t="shared" si="42"/>
        <v>11926692.97566046</v>
      </c>
      <c r="G178" s="11">
        <f t="shared" si="43"/>
        <v>5387115</v>
      </c>
      <c r="H178" s="11">
        <f t="shared" si="44"/>
        <v>6539577.9756604601</v>
      </c>
      <c r="I178" s="61">
        <f t="shared" si="57"/>
        <v>0.44805010496960956</v>
      </c>
      <c r="J178" s="61">
        <f t="shared" si="45"/>
        <v>0</v>
      </c>
      <c r="K178" s="94">
        <f t="shared" si="55"/>
        <v>0.57999999999999996</v>
      </c>
      <c r="L178" s="61">
        <f t="shared" si="46"/>
        <v>0</v>
      </c>
      <c r="M178" s="61">
        <f t="shared" si="47"/>
        <v>0</v>
      </c>
      <c r="N178" s="61">
        <f t="shared" si="53"/>
        <v>1.105</v>
      </c>
      <c r="O178" s="61">
        <f t="shared" si="48"/>
        <v>0</v>
      </c>
      <c r="P178" s="79">
        <f t="shared" si="49"/>
        <v>0.47511312217194573</v>
      </c>
      <c r="Q178" s="79">
        <f t="shared" si="50"/>
        <v>0.59452479188270635</v>
      </c>
      <c r="R178" s="95">
        <f t="shared" si="51"/>
        <v>0</v>
      </c>
      <c r="S178" s="95">
        <f t="shared" si="52"/>
        <v>0</v>
      </c>
      <c r="T178" s="62">
        <f t="shared" si="41"/>
        <v>0.52500000000000002</v>
      </c>
      <c r="U178" s="61">
        <f t="shared" si="56"/>
        <v>0</v>
      </c>
    </row>
    <row r="179" spans="1:21" x14ac:dyDescent="0.35">
      <c r="A179" s="1">
        <f t="shared" si="54"/>
        <v>46354</v>
      </c>
      <c r="B179" s="93" t="s">
        <v>205</v>
      </c>
      <c r="C179" s="11">
        <v>0</v>
      </c>
      <c r="F179" s="11">
        <f t="shared" si="42"/>
        <v>11926692.97566046</v>
      </c>
      <c r="G179" s="11">
        <f t="shared" si="43"/>
        <v>5387115</v>
      </c>
      <c r="H179" s="11">
        <f t="shared" si="44"/>
        <v>6539577.9756604601</v>
      </c>
      <c r="I179" s="61">
        <f t="shared" si="57"/>
        <v>0.44805010496960956</v>
      </c>
      <c r="J179" s="61">
        <f t="shared" si="45"/>
        <v>0</v>
      </c>
      <c r="K179" s="94">
        <f t="shared" si="55"/>
        <v>0.57999999999999996</v>
      </c>
      <c r="L179" s="61">
        <f t="shared" si="46"/>
        <v>0</v>
      </c>
      <c r="M179" s="61">
        <f t="shared" si="47"/>
        <v>0</v>
      </c>
      <c r="N179" s="61">
        <f t="shared" si="53"/>
        <v>1.105</v>
      </c>
      <c r="O179" s="61">
        <f t="shared" si="48"/>
        <v>0</v>
      </c>
      <c r="P179" s="79">
        <f t="shared" si="49"/>
        <v>0.47511312217194573</v>
      </c>
      <c r="Q179" s="79">
        <f t="shared" si="50"/>
        <v>0.59452479188270635</v>
      </c>
      <c r="R179" s="95">
        <f t="shared" si="51"/>
        <v>0</v>
      </c>
      <c r="S179" s="95">
        <f t="shared" si="52"/>
        <v>0</v>
      </c>
      <c r="T179" s="62">
        <f t="shared" si="41"/>
        <v>0.52500000000000002</v>
      </c>
      <c r="U179" s="61">
        <f t="shared" si="56"/>
        <v>0</v>
      </c>
    </row>
    <row r="180" spans="1:21" x14ac:dyDescent="0.35">
      <c r="A180" s="1">
        <f t="shared" si="54"/>
        <v>46355</v>
      </c>
      <c r="B180" s="93" t="s">
        <v>205</v>
      </c>
      <c r="C180" s="11">
        <v>0</v>
      </c>
      <c r="F180" s="11">
        <f t="shared" si="42"/>
        <v>11926692.97566046</v>
      </c>
      <c r="G180" s="11">
        <f t="shared" si="43"/>
        <v>5387115</v>
      </c>
      <c r="H180" s="11">
        <f t="shared" si="44"/>
        <v>6539577.9756604601</v>
      </c>
      <c r="I180" s="61">
        <f t="shared" si="57"/>
        <v>0.44805010496960956</v>
      </c>
      <c r="J180" s="61">
        <f t="shared" si="45"/>
        <v>0</v>
      </c>
      <c r="K180" s="94">
        <f t="shared" si="55"/>
        <v>0.57999999999999996</v>
      </c>
      <c r="L180" s="61">
        <f t="shared" si="46"/>
        <v>0</v>
      </c>
      <c r="M180" s="61">
        <f t="shared" si="47"/>
        <v>0</v>
      </c>
      <c r="N180" s="61">
        <f t="shared" si="53"/>
        <v>1.105</v>
      </c>
      <c r="O180" s="61">
        <f t="shared" si="48"/>
        <v>0</v>
      </c>
      <c r="P180" s="79">
        <f t="shared" si="49"/>
        <v>0.47511312217194573</v>
      </c>
      <c r="Q180" s="79">
        <f t="shared" si="50"/>
        <v>0.59452479188270635</v>
      </c>
      <c r="R180" s="95">
        <f t="shared" si="51"/>
        <v>0</v>
      </c>
      <c r="S180" s="95">
        <f t="shared" si="52"/>
        <v>0</v>
      </c>
      <c r="T180" s="62">
        <f t="shared" si="41"/>
        <v>0.52500000000000002</v>
      </c>
      <c r="U180" s="61">
        <f t="shared" si="56"/>
        <v>0</v>
      </c>
    </row>
    <row r="181" spans="1:21" ht="16" x14ac:dyDescent="0.4">
      <c r="A181" s="1">
        <f t="shared" si="54"/>
        <v>46356</v>
      </c>
      <c r="C181" s="97">
        <v>143066</v>
      </c>
      <c r="E181" s="11">
        <f>E167</f>
        <v>75000</v>
      </c>
      <c r="F181" s="11">
        <f t="shared" si="42"/>
        <v>12069758.97566046</v>
      </c>
      <c r="G181" s="11">
        <f t="shared" si="43"/>
        <v>5462115</v>
      </c>
      <c r="H181" s="11">
        <f t="shared" si="44"/>
        <v>6607643.9756604601</v>
      </c>
      <c r="I181" s="61">
        <f t="shared" si="57"/>
        <v>0.44805010496960956</v>
      </c>
      <c r="J181" s="61">
        <f t="shared" si="45"/>
        <v>64100.736317582159</v>
      </c>
      <c r="K181" s="94">
        <f t="shared" si="55"/>
        <v>0.57999999999999996</v>
      </c>
      <c r="L181" s="61">
        <f t="shared" si="46"/>
        <v>43500</v>
      </c>
      <c r="M181" s="61">
        <f t="shared" si="47"/>
        <v>20600.736317582159</v>
      </c>
      <c r="N181" s="61">
        <f t="shared" si="53"/>
        <v>1.105</v>
      </c>
      <c r="O181" s="61">
        <f t="shared" si="48"/>
        <v>82875</v>
      </c>
      <c r="P181" s="79">
        <f t="shared" si="49"/>
        <v>0.47511312217194573</v>
      </c>
      <c r="Q181" s="79">
        <f t="shared" si="50"/>
        <v>0.59452479188270635</v>
      </c>
      <c r="R181" s="95">
        <f t="shared" si="51"/>
        <v>158087.93</v>
      </c>
      <c r="S181" s="95">
        <f t="shared" si="52"/>
        <v>82875</v>
      </c>
      <c r="T181" s="62">
        <f t="shared" si="41"/>
        <v>0.52500000000000002</v>
      </c>
      <c r="U181" s="61">
        <f t="shared" si="56"/>
        <v>39375</v>
      </c>
    </row>
    <row r="182" spans="1:21" x14ac:dyDescent="0.35">
      <c r="A182" s="1">
        <f t="shared" si="54"/>
        <v>46357</v>
      </c>
      <c r="C182" s="11">
        <f>'[1]Ramp Plan'!AA82/14</f>
        <v>163503.40075482521</v>
      </c>
      <c r="E182" s="11">
        <f>E181</f>
        <v>75000</v>
      </c>
      <c r="F182" s="11">
        <f t="shared" si="42"/>
        <v>12233262.376415286</v>
      </c>
      <c r="G182" s="11">
        <f t="shared" si="43"/>
        <v>5537115</v>
      </c>
      <c r="H182" s="11">
        <f t="shared" si="44"/>
        <v>6696147.3764152862</v>
      </c>
      <c r="I182" s="61">
        <f>'[1]Ramp Plan'!AA163</f>
        <v>0.44805010496960956</v>
      </c>
      <c r="J182" s="61">
        <f t="shared" si="45"/>
        <v>73257.715871087581</v>
      </c>
      <c r="K182" s="94">
        <v>0.55000000000000004</v>
      </c>
      <c r="L182" s="61">
        <f t="shared" si="46"/>
        <v>41250</v>
      </c>
      <c r="M182" s="61">
        <f t="shared" si="47"/>
        <v>32007.715871087581</v>
      </c>
      <c r="N182" s="61">
        <f t="shared" si="53"/>
        <v>1.105</v>
      </c>
      <c r="O182" s="61">
        <f t="shared" si="48"/>
        <v>82875</v>
      </c>
      <c r="P182" s="79">
        <f t="shared" si="49"/>
        <v>0.50226244343891402</v>
      </c>
      <c r="Q182" s="79">
        <f t="shared" si="50"/>
        <v>0.59452479188270635</v>
      </c>
      <c r="R182" s="95">
        <f t="shared" si="51"/>
        <v>180671.25783408186</v>
      </c>
      <c r="S182" s="95">
        <f t="shared" si="52"/>
        <v>82875</v>
      </c>
      <c r="T182" s="62">
        <f t="shared" si="41"/>
        <v>0.55499999999999994</v>
      </c>
      <c r="U182" s="61">
        <f t="shared" si="56"/>
        <v>41624.999999999993</v>
      </c>
    </row>
    <row r="183" spans="1:21" x14ac:dyDescent="0.35">
      <c r="A183" s="1">
        <f t="shared" si="54"/>
        <v>46358</v>
      </c>
      <c r="C183" s="11">
        <f>C182</f>
        <v>163503.40075482521</v>
      </c>
      <c r="E183" s="11">
        <f>E182</f>
        <v>75000</v>
      </c>
      <c r="F183" s="11">
        <f t="shared" si="42"/>
        <v>12396765.77717011</v>
      </c>
      <c r="G183" s="11">
        <f t="shared" si="43"/>
        <v>5612115</v>
      </c>
      <c r="H183" s="11">
        <f t="shared" si="44"/>
        <v>6784650.7771701105</v>
      </c>
      <c r="I183" s="61">
        <f>$I$182</f>
        <v>0.44805010496960956</v>
      </c>
      <c r="J183" s="61">
        <f t="shared" si="45"/>
        <v>73257.715871087581</v>
      </c>
      <c r="K183" s="94">
        <f t="shared" si="55"/>
        <v>0.55000000000000004</v>
      </c>
      <c r="L183" s="61">
        <f t="shared" si="46"/>
        <v>41250</v>
      </c>
      <c r="M183" s="61">
        <f t="shared" si="47"/>
        <v>32007.715871087581</v>
      </c>
      <c r="N183" s="61">
        <f t="shared" si="53"/>
        <v>1.105</v>
      </c>
      <c r="O183" s="61">
        <f t="shared" si="48"/>
        <v>82875</v>
      </c>
      <c r="P183" s="79">
        <f t="shared" si="49"/>
        <v>0.50226244343891402</v>
      </c>
      <c r="Q183" s="79">
        <f t="shared" si="50"/>
        <v>0.59452479188270635</v>
      </c>
      <c r="R183" s="95">
        <f t="shared" si="51"/>
        <v>180671.25783408186</v>
      </c>
      <c r="S183" s="95">
        <f t="shared" si="52"/>
        <v>82875</v>
      </c>
      <c r="T183" s="62">
        <f t="shared" si="41"/>
        <v>0.55499999999999994</v>
      </c>
      <c r="U183" s="61">
        <f t="shared" si="56"/>
        <v>41624.999999999993</v>
      </c>
    </row>
    <row r="184" spans="1:21" x14ac:dyDescent="0.35">
      <c r="A184" s="1">
        <f t="shared" si="54"/>
        <v>46359</v>
      </c>
      <c r="C184" s="11">
        <f>C183</f>
        <v>163503.40075482521</v>
      </c>
      <c r="E184" s="11">
        <f>E183</f>
        <v>75000</v>
      </c>
      <c r="F184" s="11">
        <f t="shared" si="42"/>
        <v>12560269.177924935</v>
      </c>
      <c r="G184" s="11">
        <f t="shared" si="43"/>
        <v>5687115</v>
      </c>
      <c r="H184" s="11">
        <f t="shared" si="44"/>
        <v>6873154.1779249348</v>
      </c>
      <c r="I184" s="61">
        <f t="shared" ref="I184:I212" si="58">$I$182</f>
        <v>0.44805010496960956</v>
      </c>
      <c r="J184" s="61">
        <f t="shared" si="45"/>
        <v>73257.715871087581</v>
      </c>
      <c r="K184" s="94">
        <f t="shared" si="55"/>
        <v>0.55000000000000004</v>
      </c>
      <c r="L184" s="61">
        <f t="shared" si="46"/>
        <v>41250</v>
      </c>
      <c r="M184" s="61">
        <f t="shared" si="47"/>
        <v>32007.715871087581</v>
      </c>
      <c r="N184" s="61">
        <f t="shared" si="53"/>
        <v>1.105</v>
      </c>
      <c r="O184" s="61">
        <f t="shared" si="48"/>
        <v>82875</v>
      </c>
      <c r="P184" s="79">
        <f t="shared" si="49"/>
        <v>0.50226244343891402</v>
      </c>
      <c r="Q184" s="79">
        <f t="shared" si="50"/>
        <v>0.59452479188270635</v>
      </c>
      <c r="R184" s="95">
        <f t="shared" si="51"/>
        <v>180671.25783408186</v>
      </c>
      <c r="S184" s="95">
        <f t="shared" si="52"/>
        <v>82875</v>
      </c>
      <c r="T184" s="62">
        <f t="shared" si="41"/>
        <v>0.55499999999999994</v>
      </c>
      <c r="U184" s="61">
        <f t="shared" si="56"/>
        <v>41624.999999999993</v>
      </c>
    </row>
    <row r="185" spans="1:21" x14ac:dyDescent="0.35">
      <c r="A185" s="1">
        <f t="shared" si="54"/>
        <v>46360</v>
      </c>
      <c r="C185" s="11">
        <v>0</v>
      </c>
      <c r="E185" s="11">
        <v>75000</v>
      </c>
      <c r="F185" s="11">
        <f t="shared" si="42"/>
        <v>12560269.177924935</v>
      </c>
      <c r="G185" s="11">
        <f t="shared" si="43"/>
        <v>5762115</v>
      </c>
      <c r="H185" s="11">
        <f t="shared" si="44"/>
        <v>6798154.1779249348</v>
      </c>
      <c r="I185" s="61">
        <f t="shared" si="58"/>
        <v>0.44805010496960956</v>
      </c>
      <c r="J185" s="61">
        <f t="shared" si="45"/>
        <v>0</v>
      </c>
      <c r="K185" s="94">
        <f t="shared" si="55"/>
        <v>0.55000000000000004</v>
      </c>
      <c r="L185" s="61">
        <f t="shared" si="46"/>
        <v>41250</v>
      </c>
      <c r="M185" s="61">
        <f t="shared" si="47"/>
        <v>-41250</v>
      </c>
      <c r="N185" s="61">
        <f t="shared" si="53"/>
        <v>1.105</v>
      </c>
      <c r="O185" s="61">
        <f t="shared" si="48"/>
        <v>82875</v>
      </c>
      <c r="P185" s="79">
        <f t="shared" si="49"/>
        <v>0.50226244343891402</v>
      </c>
      <c r="Q185" s="79">
        <f t="shared" si="50"/>
        <v>0.59452479188270635</v>
      </c>
      <c r="R185" s="95">
        <f t="shared" si="51"/>
        <v>0</v>
      </c>
      <c r="S185" s="95">
        <f t="shared" si="52"/>
        <v>82875</v>
      </c>
      <c r="T185" s="62">
        <f t="shared" si="41"/>
        <v>0.55499999999999994</v>
      </c>
      <c r="U185" s="61">
        <f t="shared" si="56"/>
        <v>41624.999999999993</v>
      </c>
    </row>
    <row r="186" spans="1:21" x14ac:dyDescent="0.35">
      <c r="A186" s="1">
        <f t="shared" si="54"/>
        <v>46361</v>
      </c>
      <c r="C186" s="11">
        <f>B186</f>
        <v>0</v>
      </c>
      <c r="F186" s="11">
        <f t="shared" si="42"/>
        <v>12560269.177924935</v>
      </c>
      <c r="G186" s="11">
        <f t="shared" si="43"/>
        <v>5762115</v>
      </c>
      <c r="H186" s="11">
        <f t="shared" si="44"/>
        <v>6798154.1779249348</v>
      </c>
      <c r="I186" s="61">
        <f t="shared" si="58"/>
        <v>0.44805010496960956</v>
      </c>
      <c r="J186" s="61">
        <f t="shared" si="45"/>
        <v>0</v>
      </c>
      <c r="K186" s="94">
        <f t="shared" si="55"/>
        <v>0.55000000000000004</v>
      </c>
      <c r="L186" s="61">
        <f t="shared" si="46"/>
        <v>0</v>
      </c>
      <c r="M186" s="61">
        <f t="shared" si="47"/>
        <v>0</v>
      </c>
      <c r="N186" s="61">
        <f t="shared" si="53"/>
        <v>1.105</v>
      </c>
      <c r="O186" s="61">
        <f t="shared" si="48"/>
        <v>0</v>
      </c>
      <c r="P186" s="79">
        <f t="shared" si="49"/>
        <v>0.50226244343891402</v>
      </c>
      <c r="Q186" s="79">
        <f t="shared" si="50"/>
        <v>0.59452479188270635</v>
      </c>
      <c r="R186" s="95">
        <f t="shared" si="51"/>
        <v>0</v>
      </c>
      <c r="S186" s="95">
        <f t="shared" si="52"/>
        <v>0</v>
      </c>
      <c r="T186" s="62">
        <f t="shared" si="41"/>
        <v>0.55499999999999994</v>
      </c>
      <c r="U186" s="61">
        <f t="shared" si="56"/>
        <v>0</v>
      </c>
    </row>
    <row r="187" spans="1:21" x14ac:dyDescent="0.35">
      <c r="A187" s="1">
        <f t="shared" si="54"/>
        <v>46362</v>
      </c>
      <c r="B187" s="93" t="s">
        <v>205</v>
      </c>
      <c r="C187" s="11">
        <v>0</v>
      </c>
      <c r="F187" s="11">
        <f t="shared" si="42"/>
        <v>12560269.177924935</v>
      </c>
      <c r="G187" s="11">
        <f t="shared" si="43"/>
        <v>5762115</v>
      </c>
      <c r="H187" s="11">
        <f t="shared" si="44"/>
        <v>6798154.1779249348</v>
      </c>
      <c r="I187" s="61">
        <f t="shared" si="58"/>
        <v>0.44805010496960956</v>
      </c>
      <c r="J187" s="61">
        <f t="shared" si="45"/>
        <v>0</v>
      </c>
      <c r="K187" s="94">
        <f t="shared" si="55"/>
        <v>0.55000000000000004</v>
      </c>
      <c r="L187" s="61">
        <f t="shared" si="46"/>
        <v>0</v>
      </c>
      <c r="M187" s="61">
        <f t="shared" si="47"/>
        <v>0</v>
      </c>
      <c r="N187" s="61">
        <f t="shared" si="53"/>
        <v>1.105</v>
      </c>
      <c r="O187" s="61">
        <f t="shared" si="48"/>
        <v>0</v>
      </c>
      <c r="P187" s="79">
        <f t="shared" si="49"/>
        <v>0.50226244343891402</v>
      </c>
      <c r="Q187" s="79">
        <f t="shared" si="50"/>
        <v>0.59452479188270635</v>
      </c>
      <c r="R187" s="95">
        <f t="shared" si="51"/>
        <v>0</v>
      </c>
      <c r="S187" s="95">
        <f t="shared" si="52"/>
        <v>0</v>
      </c>
      <c r="T187" s="62">
        <f t="shared" si="41"/>
        <v>0.55499999999999994</v>
      </c>
      <c r="U187" s="61">
        <f t="shared" si="56"/>
        <v>0</v>
      </c>
    </row>
    <row r="188" spans="1:21" x14ac:dyDescent="0.35">
      <c r="A188" s="1">
        <f t="shared" si="54"/>
        <v>46363</v>
      </c>
      <c r="C188" s="11">
        <f>C184</f>
        <v>163503.40075482521</v>
      </c>
      <c r="E188" s="11">
        <f>E174</f>
        <v>75000</v>
      </c>
      <c r="F188" s="11">
        <f t="shared" si="42"/>
        <v>12723772.578679759</v>
      </c>
      <c r="G188" s="11">
        <f t="shared" si="43"/>
        <v>5837115</v>
      </c>
      <c r="H188" s="11">
        <f t="shared" si="44"/>
        <v>6886657.5786797591</v>
      </c>
      <c r="I188" s="61">
        <f t="shared" si="58"/>
        <v>0.44805010496960956</v>
      </c>
      <c r="J188" s="61">
        <f t="shared" si="45"/>
        <v>73257.715871087581</v>
      </c>
      <c r="K188" s="94">
        <f t="shared" si="55"/>
        <v>0.55000000000000004</v>
      </c>
      <c r="L188" s="61">
        <f t="shared" si="46"/>
        <v>41250</v>
      </c>
      <c r="M188" s="61">
        <f t="shared" si="47"/>
        <v>32007.715871087581</v>
      </c>
      <c r="N188" s="61">
        <f t="shared" si="53"/>
        <v>1.105</v>
      </c>
      <c r="O188" s="61">
        <f t="shared" si="48"/>
        <v>82875</v>
      </c>
      <c r="P188" s="79">
        <f t="shared" si="49"/>
        <v>0.50226244343891402</v>
      </c>
      <c r="Q188" s="79">
        <f t="shared" si="50"/>
        <v>0.59452479188270635</v>
      </c>
      <c r="R188" s="95">
        <f t="shared" si="51"/>
        <v>180671.25783408186</v>
      </c>
      <c r="S188" s="95">
        <f t="shared" si="52"/>
        <v>82875</v>
      </c>
      <c r="T188" s="62">
        <f t="shared" si="41"/>
        <v>0.55499999999999994</v>
      </c>
      <c r="U188" s="61">
        <f t="shared" si="56"/>
        <v>41624.999999999993</v>
      </c>
    </row>
    <row r="189" spans="1:21" x14ac:dyDescent="0.35">
      <c r="A189" s="1">
        <f t="shared" si="54"/>
        <v>46364</v>
      </c>
      <c r="C189" s="11">
        <f>C188</f>
        <v>163503.40075482521</v>
      </c>
      <c r="E189" s="11">
        <f>E188</f>
        <v>75000</v>
      </c>
      <c r="F189" s="11">
        <f t="shared" si="42"/>
        <v>12887275.979434583</v>
      </c>
      <c r="G189" s="11">
        <f t="shared" si="43"/>
        <v>5912115</v>
      </c>
      <c r="H189" s="11">
        <f t="shared" si="44"/>
        <v>6975160.9794345833</v>
      </c>
      <c r="I189" s="61">
        <f t="shared" si="58"/>
        <v>0.44805010496960956</v>
      </c>
      <c r="J189" s="61">
        <f t="shared" si="45"/>
        <v>73257.715871087581</v>
      </c>
      <c r="K189" s="94">
        <f t="shared" si="55"/>
        <v>0.55000000000000004</v>
      </c>
      <c r="L189" s="61">
        <f t="shared" si="46"/>
        <v>41250</v>
      </c>
      <c r="M189" s="61">
        <f t="shared" si="47"/>
        <v>32007.715871087581</v>
      </c>
      <c r="N189" s="61">
        <f t="shared" si="53"/>
        <v>1.105</v>
      </c>
      <c r="O189" s="61">
        <f t="shared" si="48"/>
        <v>82875</v>
      </c>
      <c r="P189" s="79">
        <f t="shared" si="49"/>
        <v>0.50226244343891402</v>
      </c>
      <c r="Q189" s="79">
        <f t="shared" si="50"/>
        <v>0.59452479188270635</v>
      </c>
      <c r="R189" s="95">
        <f t="shared" si="51"/>
        <v>180671.25783408186</v>
      </c>
      <c r="S189" s="95">
        <f t="shared" si="52"/>
        <v>82875</v>
      </c>
      <c r="T189" s="62">
        <f t="shared" si="41"/>
        <v>0.55499999999999994</v>
      </c>
      <c r="U189" s="61">
        <f t="shared" si="56"/>
        <v>41624.999999999993</v>
      </c>
    </row>
    <row r="190" spans="1:21" x14ac:dyDescent="0.35">
      <c r="A190" s="1">
        <f t="shared" si="54"/>
        <v>46365</v>
      </c>
      <c r="C190" s="11">
        <f>C189</f>
        <v>163503.40075482521</v>
      </c>
      <c r="E190" s="11">
        <f>E189</f>
        <v>75000</v>
      </c>
      <c r="F190" s="11">
        <f t="shared" si="42"/>
        <v>13050779.380189408</v>
      </c>
      <c r="G190" s="11">
        <f t="shared" si="43"/>
        <v>5987115</v>
      </c>
      <c r="H190" s="11">
        <f t="shared" si="44"/>
        <v>7063664.3801894076</v>
      </c>
      <c r="I190" s="61">
        <f t="shared" si="58"/>
        <v>0.44805010496960956</v>
      </c>
      <c r="J190" s="61">
        <f t="shared" si="45"/>
        <v>73257.715871087581</v>
      </c>
      <c r="K190" s="94">
        <f t="shared" si="55"/>
        <v>0.55000000000000004</v>
      </c>
      <c r="L190" s="61">
        <f t="shared" si="46"/>
        <v>41250</v>
      </c>
      <c r="M190" s="61">
        <f t="shared" si="47"/>
        <v>32007.715871087581</v>
      </c>
      <c r="N190" s="61">
        <f t="shared" si="53"/>
        <v>1.105</v>
      </c>
      <c r="O190" s="61">
        <f t="shared" si="48"/>
        <v>82875</v>
      </c>
      <c r="P190" s="79">
        <f t="shared" si="49"/>
        <v>0.50226244343891402</v>
      </c>
      <c r="Q190" s="79">
        <f t="shared" si="50"/>
        <v>0.59452479188270635</v>
      </c>
      <c r="R190" s="95">
        <f t="shared" si="51"/>
        <v>180671.25783408186</v>
      </c>
      <c r="S190" s="95">
        <f t="shared" si="52"/>
        <v>82875</v>
      </c>
      <c r="T190" s="62">
        <f t="shared" si="41"/>
        <v>0.55499999999999994</v>
      </c>
      <c r="U190" s="61">
        <f t="shared" si="56"/>
        <v>41624.999999999993</v>
      </c>
    </row>
    <row r="191" spans="1:21" x14ac:dyDescent="0.35">
      <c r="A191" s="1">
        <f t="shared" si="54"/>
        <v>46366</v>
      </c>
      <c r="C191" s="11">
        <f>C190</f>
        <v>163503.40075482521</v>
      </c>
      <c r="E191" s="11">
        <f>E190</f>
        <v>75000</v>
      </c>
      <c r="F191" s="11">
        <f t="shared" si="42"/>
        <v>13214282.780944232</v>
      </c>
      <c r="G191" s="11">
        <f t="shared" si="43"/>
        <v>6062115</v>
      </c>
      <c r="H191" s="11">
        <f t="shared" si="44"/>
        <v>7152167.7809442319</v>
      </c>
      <c r="I191" s="61">
        <f t="shared" si="58"/>
        <v>0.44805010496960956</v>
      </c>
      <c r="J191" s="61">
        <f t="shared" si="45"/>
        <v>73257.715871087581</v>
      </c>
      <c r="K191" s="94">
        <f t="shared" si="55"/>
        <v>0.55000000000000004</v>
      </c>
      <c r="L191" s="61">
        <f t="shared" si="46"/>
        <v>41250</v>
      </c>
      <c r="M191" s="61">
        <f t="shared" si="47"/>
        <v>32007.715871087581</v>
      </c>
      <c r="N191" s="61">
        <f t="shared" si="53"/>
        <v>1.105</v>
      </c>
      <c r="O191" s="61">
        <f t="shared" si="48"/>
        <v>82875</v>
      </c>
      <c r="P191" s="79">
        <f t="shared" si="49"/>
        <v>0.50226244343891402</v>
      </c>
      <c r="Q191" s="79">
        <f t="shared" si="50"/>
        <v>0.59452479188270635</v>
      </c>
      <c r="R191" s="95">
        <f t="shared" si="51"/>
        <v>180671.25783408186</v>
      </c>
      <c r="S191" s="95">
        <f t="shared" si="52"/>
        <v>82875</v>
      </c>
      <c r="T191" s="62">
        <f t="shared" si="41"/>
        <v>0.55499999999999994</v>
      </c>
      <c r="U191" s="61">
        <f t="shared" si="56"/>
        <v>41624.999999999993</v>
      </c>
    </row>
    <row r="192" spans="1:21" x14ac:dyDescent="0.35">
      <c r="A192" s="1">
        <f t="shared" si="54"/>
        <v>46367</v>
      </c>
      <c r="C192" s="11">
        <v>0</v>
      </c>
      <c r="E192" s="11">
        <v>75000</v>
      </c>
      <c r="F192" s="11">
        <f t="shared" si="42"/>
        <v>13214282.780944232</v>
      </c>
      <c r="G192" s="11">
        <f t="shared" si="43"/>
        <v>6137115</v>
      </c>
      <c r="H192" s="11">
        <f t="shared" si="44"/>
        <v>7077167.7809442319</v>
      </c>
      <c r="I192" s="61">
        <f t="shared" si="58"/>
        <v>0.44805010496960956</v>
      </c>
      <c r="J192" s="61">
        <f t="shared" si="45"/>
        <v>0</v>
      </c>
      <c r="K192" s="94">
        <f t="shared" si="55"/>
        <v>0.55000000000000004</v>
      </c>
      <c r="L192" s="61">
        <f t="shared" si="46"/>
        <v>41250</v>
      </c>
      <c r="M192" s="61">
        <f t="shared" si="47"/>
        <v>-41250</v>
      </c>
      <c r="N192" s="61">
        <f t="shared" si="53"/>
        <v>1.105</v>
      </c>
      <c r="O192" s="61">
        <f t="shared" si="48"/>
        <v>82875</v>
      </c>
      <c r="P192" s="79">
        <f t="shared" si="49"/>
        <v>0.50226244343891402</v>
      </c>
      <c r="Q192" s="79">
        <f t="shared" si="50"/>
        <v>0.59452479188270635</v>
      </c>
      <c r="R192" s="95">
        <f t="shared" si="51"/>
        <v>0</v>
      </c>
      <c r="S192" s="95">
        <f t="shared" si="52"/>
        <v>82875</v>
      </c>
      <c r="T192" s="62">
        <f t="shared" si="41"/>
        <v>0.55499999999999994</v>
      </c>
      <c r="U192" s="61">
        <f t="shared" si="56"/>
        <v>41624.999999999993</v>
      </c>
    </row>
    <row r="193" spans="1:21" x14ac:dyDescent="0.35">
      <c r="A193" s="1">
        <f t="shared" si="54"/>
        <v>46368</v>
      </c>
      <c r="C193" s="11">
        <f>B193</f>
        <v>0</v>
      </c>
      <c r="F193" s="11">
        <f t="shared" si="42"/>
        <v>13214282.780944232</v>
      </c>
      <c r="G193" s="11">
        <f t="shared" si="43"/>
        <v>6137115</v>
      </c>
      <c r="H193" s="11">
        <f t="shared" si="44"/>
        <v>7077167.7809442319</v>
      </c>
      <c r="I193" s="61">
        <f t="shared" si="58"/>
        <v>0.44805010496960956</v>
      </c>
      <c r="J193" s="61">
        <f t="shared" si="45"/>
        <v>0</v>
      </c>
      <c r="K193" s="94">
        <f t="shared" si="55"/>
        <v>0.55000000000000004</v>
      </c>
      <c r="L193" s="61">
        <f t="shared" si="46"/>
        <v>0</v>
      </c>
      <c r="M193" s="61">
        <f t="shared" si="47"/>
        <v>0</v>
      </c>
      <c r="N193" s="61">
        <f t="shared" si="53"/>
        <v>1.105</v>
      </c>
      <c r="O193" s="61">
        <f t="shared" si="48"/>
        <v>0</v>
      </c>
      <c r="P193" s="79">
        <f t="shared" si="49"/>
        <v>0.50226244343891402</v>
      </c>
      <c r="Q193" s="79">
        <f t="shared" si="50"/>
        <v>0.59452479188270635</v>
      </c>
      <c r="R193" s="95">
        <f t="shared" si="51"/>
        <v>0</v>
      </c>
      <c r="S193" s="95">
        <f t="shared" si="52"/>
        <v>0</v>
      </c>
      <c r="T193" s="62">
        <f t="shared" si="41"/>
        <v>0.55499999999999994</v>
      </c>
      <c r="U193" s="61">
        <f t="shared" si="56"/>
        <v>0</v>
      </c>
    </row>
    <row r="194" spans="1:21" x14ac:dyDescent="0.35">
      <c r="A194" s="1">
        <f t="shared" si="54"/>
        <v>46369</v>
      </c>
      <c r="B194" s="93" t="s">
        <v>205</v>
      </c>
      <c r="C194" s="11">
        <v>0</v>
      </c>
      <c r="F194" s="11">
        <f t="shared" si="42"/>
        <v>13214282.780944232</v>
      </c>
      <c r="G194" s="11">
        <f t="shared" si="43"/>
        <v>6137115</v>
      </c>
      <c r="H194" s="11">
        <f t="shared" si="44"/>
        <v>7077167.7809442319</v>
      </c>
      <c r="I194" s="61">
        <f t="shared" si="58"/>
        <v>0.44805010496960956</v>
      </c>
      <c r="J194" s="61">
        <f t="shared" si="45"/>
        <v>0</v>
      </c>
      <c r="K194" s="94">
        <f t="shared" si="55"/>
        <v>0.55000000000000004</v>
      </c>
      <c r="L194" s="61">
        <f t="shared" si="46"/>
        <v>0</v>
      </c>
      <c r="M194" s="61">
        <f t="shared" si="47"/>
        <v>0</v>
      </c>
      <c r="N194" s="61">
        <f t="shared" si="53"/>
        <v>1.105</v>
      </c>
      <c r="O194" s="61">
        <f t="shared" si="48"/>
        <v>0</v>
      </c>
      <c r="P194" s="79">
        <f t="shared" si="49"/>
        <v>0.50226244343891402</v>
      </c>
      <c r="Q194" s="79">
        <f t="shared" si="50"/>
        <v>0.59452479188270635</v>
      </c>
      <c r="R194" s="95">
        <f t="shared" si="51"/>
        <v>0</v>
      </c>
      <c r="S194" s="95">
        <f t="shared" si="52"/>
        <v>0</v>
      </c>
      <c r="T194" s="62">
        <f t="shared" si="41"/>
        <v>0.55499999999999994</v>
      </c>
      <c r="U194" s="61">
        <f t="shared" si="56"/>
        <v>0</v>
      </c>
    </row>
    <row r="195" spans="1:21" x14ac:dyDescent="0.35">
      <c r="A195" s="1">
        <f t="shared" si="54"/>
        <v>46370</v>
      </c>
      <c r="C195" s="11">
        <f>C191</f>
        <v>163503.40075482521</v>
      </c>
      <c r="E195" s="11">
        <f>E181</f>
        <v>75000</v>
      </c>
      <c r="F195" s="11">
        <f t="shared" si="42"/>
        <v>13377786.181699056</v>
      </c>
      <c r="G195" s="11">
        <f t="shared" si="43"/>
        <v>6212115</v>
      </c>
      <c r="H195" s="11">
        <f t="shared" si="44"/>
        <v>7165671.1816990562</v>
      </c>
      <c r="I195" s="61">
        <f t="shared" si="58"/>
        <v>0.44805010496960956</v>
      </c>
      <c r="J195" s="61">
        <f t="shared" si="45"/>
        <v>73257.715871087581</v>
      </c>
      <c r="K195" s="94">
        <f t="shared" si="55"/>
        <v>0.55000000000000004</v>
      </c>
      <c r="L195" s="61">
        <f t="shared" si="46"/>
        <v>41250</v>
      </c>
      <c r="M195" s="61">
        <f t="shared" si="47"/>
        <v>32007.715871087581</v>
      </c>
      <c r="N195" s="61">
        <f t="shared" si="53"/>
        <v>1.105</v>
      </c>
      <c r="O195" s="61">
        <f t="shared" si="48"/>
        <v>82875</v>
      </c>
      <c r="P195" s="79">
        <f t="shared" si="49"/>
        <v>0.50226244343891402</v>
      </c>
      <c r="Q195" s="79">
        <f t="shared" si="50"/>
        <v>0.59452479188270635</v>
      </c>
      <c r="R195" s="95">
        <f t="shared" si="51"/>
        <v>180671.25783408186</v>
      </c>
      <c r="S195" s="95">
        <f t="shared" si="52"/>
        <v>82875</v>
      </c>
      <c r="T195" s="62">
        <f t="shared" ref="T195:T212" si="59">N195-K195</f>
        <v>0.55499999999999994</v>
      </c>
      <c r="U195" s="61">
        <f t="shared" si="56"/>
        <v>41624.999999999993</v>
      </c>
    </row>
    <row r="196" spans="1:21" x14ac:dyDescent="0.35">
      <c r="A196" s="1">
        <f t="shared" si="54"/>
        <v>46371</v>
      </c>
      <c r="C196" s="11">
        <f>C195</f>
        <v>163503.40075482521</v>
      </c>
      <c r="E196" s="11">
        <f>E195</f>
        <v>75000</v>
      </c>
      <c r="F196" s="11">
        <f t="shared" ref="F196:F212" si="60">C196+F195</f>
        <v>13541289.58245388</v>
      </c>
      <c r="G196" s="11">
        <f t="shared" ref="G196:G212" si="61">G195+D196+E196</f>
        <v>6287115</v>
      </c>
      <c r="H196" s="11">
        <f t="shared" ref="H196:H212" si="62">F196-G196</f>
        <v>7254174.5824538805</v>
      </c>
      <c r="I196" s="61">
        <f t="shared" si="58"/>
        <v>0.44805010496960956</v>
      </c>
      <c r="J196" s="61">
        <f t="shared" ref="J196:J212" si="63">I196*C196</f>
        <v>73257.715871087581</v>
      </c>
      <c r="K196" s="94">
        <f t="shared" si="55"/>
        <v>0.55000000000000004</v>
      </c>
      <c r="L196" s="61">
        <f t="shared" ref="L196:L212" si="64">K196*(D196+E196)</f>
        <v>41250</v>
      </c>
      <c r="M196" s="61">
        <f t="shared" ref="M196:M212" si="65">J196-L196</f>
        <v>32007.715871087581</v>
      </c>
      <c r="N196" s="61">
        <f t="shared" si="53"/>
        <v>1.105</v>
      </c>
      <c r="O196" s="61">
        <f t="shared" ref="O196:O212" si="66">N196*(D196+E196)</f>
        <v>82875</v>
      </c>
      <c r="P196" s="79">
        <f t="shared" ref="P196:P212" si="67">(N196-K196)/N196</f>
        <v>0.50226244343891402</v>
      </c>
      <c r="Q196" s="79">
        <f t="shared" ref="Q196:Q212" si="68">(N196-I196)/N196</f>
        <v>0.59452479188270635</v>
      </c>
      <c r="R196" s="95">
        <f t="shared" ref="R196:R212" si="69">C196*N196</f>
        <v>180671.25783408186</v>
      </c>
      <c r="S196" s="95">
        <f t="shared" ref="S196:S212" si="70">(D196+E196)*N196</f>
        <v>82875</v>
      </c>
      <c r="T196" s="62">
        <f t="shared" si="59"/>
        <v>0.55499999999999994</v>
      </c>
      <c r="U196" s="61">
        <f t="shared" si="56"/>
        <v>41624.999999999993</v>
      </c>
    </row>
    <row r="197" spans="1:21" x14ac:dyDescent="0.35">
      <c r="A197" s="1">
        <f t="shared" si="54"/>
        <v>46372</v>
      </c>
      <c r="C197" s="11">
        <f>C196</f>
        <v>163503.40075482521</v>
      </c>
      <c r="E197" s="11">
        <f>E196</f>
        <v>75000</v>
      </c>
      <c r="F197" s="11">
        <f t="shared" si="60"/>
        <v>13704792.983208705</v>
      </c>
      <c r="G197" s="11">
        <f t="shared" si="61"/>
        <v>6362115</v>
      </c>
      <c r="H197" s="11">
        <f t="shared" si="62"/>
        <v>7342677.9832087047</v>
      </c>
      <c r="I197" s="61">
        <f t="shared" si="58"/>
        <v>0.44805010496960956</v>
      </c>
      <c r="J197" s="61">
        <f t="shared" si="63"/>
        <v>73257.715871087581</v>
      </c>
      <c r="K197" s="94">
        <f t="shared" si="55"/>
        <v>0.55000000000000004</v>
      </c>
      <c r="L197" s="61">
        <f t="shared" si="64"/>
        <v>41250</v>
      </c>
      <c r="M197" s="61">
        <f t="shared" si="65"/>
        <v>32007.715871087581</v>
      </c>
      <c r="N197" s="61">
        <f t="shared" ref="N197:N212" si="71">N196</f>
        <v>1.105</v>
      </c>
      <c r="O197" s="61">
        <f t="shared" si="66"/>
        <v>82875</v>
      </c>
      <c r="P197" s="79">
        <f t="shared" si="67"/>
        <v>0.50226244343891402</v>
      </c>
      <c r="Q197" s="79">
        <f t="shared" si="68"/>
        <v>0.59452479188270635</v>
      </c>
      <c r="R197" s="95">
        <f t="shared" si="69"/>
        <v>180671.25783408186</v>
      </c>
      <c r="S197" s="95">
        <f t="shared" si="70"/>
        <v>82875</v>
      </c>
      <c r="T197" s="62">
        <f t="shared" si="59"/>
        <v>0.55499999999999994</v>
      </c>
      <c r="U197" s="61">
        <f t="shared" si="56"/>
        <v>41624.999999999993</v>
      </c>
    </row>
    <row r="198" spans="1:21" x14ac:dyDescent="0.35">
      <c r="A198" s="1">
        <f t="shared" si="54"/>
        <v>46373</v>
      </c>
      <c r="C198" s="11">
        <f>C197</f>
        <v>163503.40075482521</v>
      </c>
      <c r="E198" s="11">
        <f>E197</f>
        <v>75000</v>
      </c>
      <c r="F198" s="11">
        <f t="shared" si="60"/>
        <v>13868296.383963529</v>
      </c>
      <c r="G198" s="11">
        <f t="shared" si="61"/>
        <v>6437115</v>
      </c>
      <c r="H198" s="11">
        <f t="shared" si="62"/>
        <v>7431181.383963529</v>
      </c>
      <c r="I198" s="61">
        <f t="shared" si="58"/>
        <v>0.44805010496960956</v>
      </c>
      <c r="J198" s="61">
        <f t="shared" si="63"/>
        <v>73257.715871087581</v>
      </c>
      <c r="K198" s="94">
        <f t="shared" si="55"/>
        <v>0.55000000000000004</v>
      </c>
      <c r="L198" s="61">
        <f t="shared" si="64"/>
        <v>41250</v>
      </c>
      <c r="M198" s="61">
        <f t="shared" si="65"/>
        <v>32007.715871087581</v>
      </c>
      <c r="N198" s="61">
        <f t="shared" si="71"/>
        <v>1.105</v>
      </c>
      <c r="O198" s="61">
        <f t="shared" si="66"/>
        <v>82875</v>
      </c>
      <c r="P198" s="79">
        <f t="shared" si="67"/>
        <v>0.50226244343891402</v>
      </c>
      <c r="Q198" s="79">
        <f t="shared" si="68"/>
        <v>0.59452479188270635</v>
      </c>
      <c r="R198" s="95">
        <f t="shared" si="69"/>
        <v>180671.25783408186</v>
      </c>
      <c r="S198" s="95">
        <f t="shared" si="70"/>
        <v>82875</v>
      </c>
      <c r="T198" s="62">
        <f t="shared" si="59"/>
        <v>0.55499999999999994</v>
      </c>
      <c r="U198" s="61">
        <f t="shared" si="56"/>
        <v>41624.999999999993</v>
      </c>
    </row>
    <row r="199" spans="1:21" x14ac:dyDescent="0.35">
      <c r="A199" s="1">
        <f t="shared" si="54"/>
        <v>46374</v>
      </c>
      <c r="C199" s="11">
        <v>0</v>
      </c>
      <c r="E199" s="11">
        <v>75000</v>
      </c>
      <c r="F199" s="11">
        <f t="shared" si="60"/>
        <v>13868296.383963529</v>
      </c>
      <c r="G199" s="11">
        <f t="shared" si="61"/>
        <v>6512115</v>
      </c>
      <c r="H199" s="11">
        <f t="shared" si="62"/>
        <v>7356181.383963529</v>
      </c>
      <c r="I199" s="61">
        <f t="shared" si="58"/>
        <v>0.44805010496960956</v>
      </c>
      <c r="J199" s="61">
        <f t="shared" si="63"/>
        <v>0</v>
      </c>
      <c r="K199" s="94">
        <f t="shared" si="55"/>
        <v>0.55000000000000004</v>
      </c>
      <c r="L199" s="61">
        <f t="shared" si="64"/>
        <v>41250</v>
      </c>
      <c r="M199" s="61">
        <f t="shared" si="65"/>
        <v>-41250</v>
      </c>
      <c r="N199" s="61">
        <f t="shared" si="71"/>
        <v>1.105</v>
      </c>
      <c r="O199" s="61">
        <f t="shared" si="66"/>
        <v>82875</v>
      </c>
      <c r="P199" s="79">
        <f t="shared" si="67"/>
        <v>0.50226244343891402</v>
      </c>
      <c r="Q199" s="79">
        <f t="shared" si="68"/>
        <v>0.59452479188270635</v>
      </c>
      <c r="R199" s="95">
        <f t="shared" si="69"/>
        <v>0</v>
      </c>
      <c r="S199" s="95">
        <f t="shared" si="70"/>
        <v>82875</v>
      </c>
      <c r="T199" s="62">
        <f t="shared" si="59"/>
        <v>0.55499999999999994</v>
      </c>
      <c r="U199" s="61">
        <f t="shared" si="56"/>
        <v>41624.999999999993</v>
      </c>
    </row>
    <row r="200" spans="1:21" x14ac:dyDescent="0.35">
      <c r="A200" s="1">
        <f t="shared" si="54"/>
        <v>46375</v>
      </c>
      <c r="C200" s="11">
        <f>B200</f>
        <v>0</v>
      </c>
      <c r="F200" s="11">
        <f t="shared" si="60"/>
        <v>13868296.383963529</v>
      </c>
      <c r="G200" s="11">
        <f t="shared" si="61"/>
        <v>6512115</v>
      </c>
      <c r="H200" s="11">
        <f t="shared" si="62"/>
        <v>7356181.383963529</v>
      </c>
      <c r="I200" s="61">
        <f t="shared" si="58"/>
        <v>0.44805010496960956</v>
      </c>
      <c r="J200" s="61">
        <f t="shared" si="63"/>
        <v>0</v>
      </c>
      <c r="K200" s="94">
        <f t="shared" si="55"/>
        <v>0.55000000000000004</v>
      </c>
      <c r="L200" s="61">
        <f t="shared" si="64"/>
        <v>0</v>
      </c>
      <c r="M200" s="61">
        <f t="shared" si="65"/>
        <v>0</v>
      </c>
      <c r="N200" s="61">
        <f t="shared" si="71"/>
        <v>1.105</v>
      </c>
      <c r="O200" s="61">
        <f t="shared" si="66"/>
        <v>0</v>
      </c>
      <c r="P200" s="79">
        <f t="shared" si="67"/>
        <v>0.50226244343891402</v>
      </c>
      <c r="Q200" s="79">
        <f t="shared" si="68"/>
        <v>0.59452479188270635</v>
      </c>
      <c r="R200" s="95">
        <f t="shared" si="69"/>
        <v>0</v>
      </c>
      <c r="S200" s="95">
        <f t="shared" si="70"/>
        <v>0</v>
      </c>
      <c r="T200" s="62">
        <f t="shared" si="59"/>
        <v>0.55499999999999994</v>
      </c>
      <c r="U200" s="61">
        <f t="shared" si="56"/>
        <v>0</v>
      </c>
    </row>
    <row r="201" spans="1:21" x14ac:dyDescent="0.35">
      <c r="A201" s="1">
        <f t="shared" si="54"/>
        <v>46376</v>
      </c>
      <c r="B201" s="93" t="s">
        <v>205</v>
      </c>
      <c r="C201" s="11">
        <v>0</v>
      </c>
      <c r="F201" s="11">
        <f t="shared" si="60"/>
        <v>13868296.383963529</v>
      </c>
      <c r="G201" s="11">
        <f t="shared" si="61"/>
        <v>6512115</v>
      </c>
      <c r="H201" s="11">
        <f t="shared" si="62"/>
        <v>7356181.383963529</v>
      </c>
      <c r="I201" s="61">
        <f t="shared" si="58"/>
        <v>0.44805010496960956</v>
      </c>
      <c r="J201" s="61">
        <f t="shared" si="63"/>
        <v>0</v>
      </c>
      <c r="K201" s="94">
        <f t="shared" si="55"/>
        <v>0.55000000000000004</v>
      </c>
      <c r="L201" s="61">
        <f t="shared" si="64"/>
        <v>0</v>
      </c>
      <c r="M201" s="61">
        <f t="shared" si="65"/>
        <v>0</v>
      </c>
      <c r="N201" s="61">
        <f t="shared" si="71"/>
        <v>1.105</v>
      </c>
      <c r="O201" s="61">
        <f t="shared" si="66"/>
        <v>0</v>
      </c>
      <c r="P201" s="79">
        <f t="shared" si="67"/>
        <v>0.50226244343891402</v>
      </c>
      <c r="Q201" s="79">
        <f t="shared" si="68"/>
        <v>0.59452479188270635</v>
      </c>
      <c r="R201" s="95">
        <f t="shared" si="69"/>
        <v>0</v>
      </c>
      <c r="S201" s="95">
        <f t="shared" si="70"/>
        <v>0</v>
      </c>
      <c r="T201" s="62">
        <f t="shared" si="59"/>
        <v>0.55499999999999994</v>
      </c>
      <c r="U201" s="61">
        <f t="shared" si="56"/>
        <v>0</v>
      </c>
    </row>
    <row r="202" spans="1:21" x14ac:dyDescent="0.35">
      <c r="A202" s="1">
        <f t="shared" si="54"/>
        <v>46377</v>
      </c>
      <c r="C202" s="11">
        <f>C198</f>
        <v>163503.40075482521</v>
      </c>
      <c r="E202" s="11">
        <f>E195</f>
        <v>75000</v>
      </c>
      <c r="F202" s="11">
        <f t="shared" si="60"/>
        <v>14031799.784718353</v>
      </c>
      <c r="G202" s="11">
        <f t="shared" si="61"/>
        <v>6587115</v>
      </c>
      <c r="H202" s="11">
        <f t="shared" si="62"/>
        <v>7444684.7847183533</v>
      </c>
      <c r="I202" s="61">
        <f t="shared" si="58"/>
        <v>0.44805010496960956</v>
      </c>
      <c r="J202" s="61">
        <f t="shared" si="63"/>
        <v>73257.715871087581</v>
      </c>
      <c r="K202" s="94">
        <f t="shared" si="55"/>
        <v>0.55000000000000004</v>
      </c>
      <c r="L202" s="61">
        <f>K202*(D202+E202)</f>
        <v>41250</v>
      </c>
      <c r="M202" s="61">
        <f t="shared" si="65"/>
        <v>32007.715871087581</v>
      </c>
      <c r="N202" s="61">
        <f t="shared" si="71"/>
        <v>1.105</v>
      </c>
      <c r="O202" s="61">
        <f t="shared" si="66"/>
        <v>82875</v>
      </c>
      <c r="P202" s="79">
        <f t="shared" si="67"/>
        <v>0.50226244343891402</v>
      </c>
      <c r="Q202" s="79">
        <f t="shared" si="68"/>
        <v>0.59452479188270635</v>
      </c>
      <c r="R202" s="95">
        <f t="shared" si="69"/>
        <v>180671.25783408186</v>
      </c>
      <c r="S202" s="95">
        <f t="shared" si="70"/>
        <v>82875</v>
      </c>
      <c r="T202" s="62">
        <f t="shared" si="59"/>
        <v>0.55499999999999994</v>
      </c>
      <c r="U202" s="61">
        <f t="shared" si="56"/>
        <v>41624.999999999993</v>
      </c>
    </row>
    <row r="203" spans="1:21" x14ac:dyDescent="0.35">
      <c r="A203" s="1">
        <f t="shared" si="54"/>
        <v>46378</v>
      </c>
      <c r="C203" s="11">
        <f>C202</f>
        <v>163503.40075482521</v>
      </c>
      <c r="E203" s="11">
        <f>E202</f>
        <v>75000</v>
      </c>
      <c r="F203" s="11">
        <f t="shared" si="60"/>
        <v>14195303.185473178</v>
      </c>
      <c r="G203" s="11">
        <f t="shared" si="61"/>
        <v>6662115</v>
      </c>
      <c r="H203" s="11">
        <f t="shared" si="62"/>
        <v>7533188.1854731776</v>
      </c>
      <c r="I203" s="61">
        <f t="shared" si="58"/>
        <v>0.44805010496960956</v>
      </c>
      <c r="J203" s="61">
        <f t="shared" si="63"/>
        <v>73257.715871087581</v>
      </c>
      <c r="K203" s="94">
        <f t="shared" si="55"/>
        <v>0.55000000000000004</v>
      </c>
      <c r="L203" s="61">
        <f t="shared" si="64"/>
        <v>41250</v>
      </c>
      <c r="M203" s="61">
        <f t="shared" si="65"/>
        <v>32007.715871087581</v>
      </c>
      <c r="N203" s="61">
        <f t="shared" si="71"/>
        <v>1.105</v>
      </c>
      <c r="O203" s="61">
        <f t="shared" si="66"/>
        <v>82875</v>
      </c>
      <c r="P203" s="79">
        <f t="shared" si="67"/>
        <v>0.50226244343891402</v>
      </c>
      <c r="Q203" s="79">
        <f t="shared" si="68"/>
        <v>0.59452479188270635</v>
      </c>
      <c r="R203" s="95">
        <f t="shared" si="69"/>
        <v>180671.25783408186</v>
      </c>
      <c r="S203" s="95">
        <f t="shared" si="70"/>
        <v>82875</v>
      </c>
      <c r="T203" s="62">
        <f t="shared" si="59"/>
        <v>0.55499999999999994</v>
      </c>
      <c r="U203" s="61">
        <f t="shared" si="56"/>
        <v>41624.999999999993</v>
      </c>
    </row>
    <row r="204" spans="1:21" x14ac:dyDescent="0.35">
      <c r="A204" s="1">
        <f t="shared" si="54"/>
        <v>46379</v>
      </c>
      <c r="C204" s="11">
        <f>C203</f>
        <v>163503.40075482521</v>
      </c>
      <c r="E204" s="11">
        <f>E203</f>
        <v>75000</v>
      </c>
      <c r="F204" s="11">
        <f t="shared" si="60"/>
        <v>14358806.586228002</v>
      </c>
      <c r="G204" s="11">
        <f t="shared" si="61"/>
        <v>6737115</v>
      </c>
      <c r="H204" s="11">
        <f t="shared" si="62"/>
        <v>7621691.5862280019</v>
      </c>
      <c r="I204" s="61">
        <f t="shared" si="58"/>
        <v>0.44805010496960956</v>
      </c>
      <c r="J204" s="61">
        <f t="shared" si="63"/>
        <v>73257.715871087581</v>
      </c>
      <c r="K204" s="94">
        <f t="shared" si="55"/>
        <v>0.55000000000000004</v>
      </c>
      <c r="L204" s="61">
        <f>K204*(D204+E204)</f>
        <v>41250</v>
      </c>
      <c r="M204" s="61">
        <f t="shared" si="65"/>
        <v>32007.715871087581</v>
      </c>
      <c r="N204" s="61">
        <f t="shared" si="71"/>
        <v>1.105</v>
      </c>
      <c r="O204" s="61">
        <f t="shared" si="66"/>
        <v>82875</v>
      </c>
      <c r="P204" s="79">
        <f t="shared" si="67"/>
        <v>0.50226244343891402</v>
      </c>
      <c r="Q204" s="79">
        <f t="shared" si="68"/>
        <v>0.59452479188270635</v>
      </c>
      <c r="R204" s="95">
        <f t="shared" si="69"/>
        <v>180671.25783408186</v>
      </c>
      <c r="S204" s="95">
        <f>(D204+E204)*N204</f>
        <v>82875</v>
      </c>
      <c r="T204" s="62">
        <f t="shared" si="59"/>
        <v>0.55499999999999994</v>
      </c>
      <c r="U204" s="61">
        <f>T204*(D204+E204)</f>
        <v>41624.999999999993</v>
      </c>
    </row>
    <row r="205" spans="1:21" x14ac:dyDescent="0.35">
      <c r="A205" s="1">
        <f t="shared" si="54"/>
        <v>46380</v>
      </c>
      <c r="B205" s="93" t="s">
        <v>205</v>
      </c>
      <c r="F205" s="11">
        <f t="shared" si="60"/>
        <v>14358806.586228002</v>
      </c>
      <c r="G205" s="11">
        <f t="shared" si="61"/>
        <v>6737115</v>
      </c>
      <c r="H205" s="11">
        <f t="shared" si="62"/>
        <v>7621691.5862280019</v>
      </c>
      <c r="I205" s="61">
        <f t="shared" si="58"/>
        <v>0.44805010496960956</v>
      </c>
      <c r="J205" s="61">
        <f t="shared" si="63"/>
        <v>0</v>
      </c>
      <c r="K205" s="94">
        <f t="shared" si="55"/>
        <v>0.55000000000000004</v>
      </c>
      <c r="L205" s="61">
        <f t="shared" si="64"/>
        <v>0</v>
      </c>
      <c r="M205" s="61">
        <f t="shared" si="65"/>
        <v>0</v>
      </c>
      <c r="N205" s="61">
        <f t="shared" si="71"/>
        <v>1.105</v>
      </c>
      <c r="O205" s="61">
        <f t="shared" si="66"/>
        <v>0</v>
      </c>
      <c r="P205" s="79">
        <f t="shared" si="67"/>
        <v>0.50226244343891402</v>
      </c>
      <c r="Q205" s="79">
        <f t="shared" si="68"/>
        <v>0.59452479188270635</v>
      </c>
      <c r="R205" s="95">
        <f t="shared" si="69"/>
        <v>0</v>
      </c>
      <c r="S205" s="95">
        <f t="shared" si="70"/>
        <v>0</v>
      </c>
      <c r="T205" s="62">
        <f t="shared" si="59"/>
        <v>0.55499999999999994</v>
      </c>
      <c r="U205" s="61">
        <f t="shared" si="56"/>
        <v>0</v>
      </c>
    </row>
    <row r="206" spans="1:21" x14ac:dyDescent="0.35">
      <c r="A206" s="1">
        <f t="shared" si="54"/>
        <v>46381</v>
      </c>
      <c r="B206" s="93" t="s">
        <v>205</v>
      </c>
      <c r="F206" s="11">
        <f t="shared" si="60"/>
        <v>14358806.586228002</v>
      </c>
      <c r="G206" s="11">
        <f t="shared" si="61"/>
        <v>6737115</v>
      </c>
      <c r="H206" s="11">
        <f t="shared" si="62"/>
        <v>7621691.5862280019</v>
      </c>
      <c r="I206" s="61">
        <f t="shared" si="58"/>
        <v>0.44805010496960956</v>
      </c>
      <c r="J206" s="61">
        <f t="shared" si="63"/>
        <v>0</v>
      </c>
      <c r="K206" s="94">
        <f t="shared" si="55"/>
        <v>0.55000000000000004</v>
      </c>
      <c r="L206" s="61">
        <f t="shared" si="64"/>
        <v>0</v>
      </c>
      <c r="M206" s="61">
        <f t="shared" si="65"/>
        <v>0</v>
      </c>
      <c r="N206" s="61">
        <f t="shared" si="71"/>
        <v>1.105</v>
      </c>
      <c r="O206" s="61">
        <f t="shared" si="66"/>
        <v>0</v>
      </c>
      <c r="P206" s="79">
        <f t="shared" si="67"/>
        <v>0.50226244343891402</v>
      </c>
      <c r="Q206" s="79">
        <f t="shared" si="68"/>
        <v>0.59452479188270635</v>
      </c>
      <c r="R206" s="95">
        <f t="shared" si="69"/>
        <v>0</v>
      </c>
      <c r="S206" s="95">
        <f t="shared" si="70"/>
        <v>0</v>
      </c>
      <c r="T206" s="62">
        <f t="shared" si="59"/>
        <v>0.55499999999999994</v>
      </c>
      <c r="U206" s="61">
        <f t="shared" si="56"/>
        <v>0</v>
      </c>
    </row>
    <row r="207" spans="1:21" x14ac:dyDescent="0.35">
      <c r="A207" s="1">
        <f t="shared" ref="A207:A212" si="72">A206+1</f>
        <v>46382</v>
      </c>
      <c r="B207" s="93" t="s">
        <v>205</v>
      </c>
      <c r="F207" s="11">
        <f t="shared" si="60"/>
        <v>14358806.586228002</v>
      </c>
      <c r="G207" s="11">
        <f t="shared" si="61"/>
        <v>6737115</v>
      </c>
      <c r="H207" s="11">
        <f t="shared" si="62"/>
        <v>7621691.5862280019</v>
      </c>
      <c r="I207" s="61">
        <f t="shared" si="58"/>
        <v>0.44805010496960956</v>
      </c>
      <c r="J207" s="61">
        <f t="shared" si="63"/>
        <v>0</v>
      </c>
      <c r="K207" s="94">
        <f t="shared" si="55"/>
        <v>0.55000000000000004</v>
      </c>
      <c r="L207" s="61">
        <f t="shared" si="64"/>
        <v>0</v>
      </c>
      <c r="M207" s="61">
        <f t="shared" si="65"/>
        <v>0</v>
      </c>
      <c r="N207" s="61">
        <f t="shared" si="71"/>
        <v>1.105</v>
      </c>
      <c r="O207" s="61">
        <f t="shared" si="66"/>
        <v>0</v>
      </c>
      <c r="P207" s="79">
        <f t="shared" si="67"/>
        <v>0.50226244343891402</v>
      </c>
      <c r="Q207" s="79">
        <f t="shared" si="68"/>
        <v>0.59452479188270635</v>
      </c>
      <c r="R207" s="95">
        <f t="shared" si="69"/>
        <v>0</v>
      </c>
      <c r="S207" s="95">
        <f t="shared" si="70"/>
        <v>0</v>
      </c>
      <c r="T207" s="62">
        <f t="shared" si="59"/>
        <v>0.55499999999999994</v>
      </c>
      <c r="U207" s="61">
        <f t="shared" si="56"/>
        <v>0</v>
      </c>
    </row>
    <row r="208" spans="1:21" x14ac:dyDescent="0.35">
      <c r="A208" s="1">
        <f t="shared" si="72"/>
        <v>46383</v>
      </c>
      <c r="B208" s="93" t="s">
        <v>205</v>
      </c>
      <c r="F208" s="11">
        <f t="shared" si="60"/>
        <v>14358806.586228002</v>
      </c>
      <c r="G208" s="11">
        <f t="shared" si="61"/>
        <v>6737115</v>
      </c>
      <c r="H208" s="11">
        <f t="shared" si="62"/>
        <v>7621691.5862280019</v>
      </c>
      <c r="I208" s="61">
        <f t="shared" si="58"/>
        <v>0.44805010496960956</v>
      </c>
      <c r="J208" s="61">
        <f t="shared" si="63"/>
        <v>0</v>
      </c>
      <c r="K208" s="94">
        <f t="shared" si="55"/>
        <v>0.55000000000000004</v>
      </c>
      <c r="L208" s="61">
        <f t="shared" si="64"/>
        <v>0</v>
      </c>
      <c r="M208" s="61">
        <f t="shared" si="65"/>
        <v>0</v>
      </c>
      <c r="N208" s="61">
        <f t="shared" si="71"/>
        <v>1.105</v>
      </c>
      <c r="O208" s="61">
        <f t="shared" si="66"/>
        <v>0</v>
      </c>
      <c r="P208" s="79">
        <f t="shared" si="67"/>
        <v>0.50226244343891402</v>
      </c>
      <c r="Q208" s="79">
        <f t="shared" si="68"/>
        <v>0.59452479188270635</v>
      </c>
      <c r="R208" s="95">
        <f t="shared" si="69"/>
        <v>0</v>
      </c>
      <c r="S208" s="95">
        <f t="shared" si="70"/>
        <v>0</v>
      </c>
      <c r="T208" s="62">
        <f t="shared" si="59"/>
        <v>0.55499999999999994</v>
      </c>
      <c r="U208" s="61">
        <f t="shared" si="56"/>
        <v>0</v>
      </c>
    </row>
    <row r="209" spans="1:21" x14ac:dyDescent="0.35">
      <c r="A209" s="1">
        <f t="shared" si="72"/>
        <v>46384</v>
      </c>
      <c r="B209" s="93" t="s">
        <v>205</v>
      </c>
      <c r="F209" s="11">
        <f t="shared" si="60"/>
        <v>14358806.586228002</v>
      </c>
      <c r="G209" s="11">
        <f t="shared" si="61"/>
        <v>6737115</v>
      </c>
      <c r="H209" s="11">
        <f t="shared" si="62"/>
        <v>7621691.5862280019</v>
      </c>
      <c r="I209" s="61">
        <f t="shared" si="58"/>
        <v>0.44805010496960956</v>
      </c>
      <c r="J209" s="61">
        <f t="shared" si="63"/>
        <v>0</v>
      </c>
      <c r="K209" s="94">
        <f t="shared" si="55"/>
        <v>0.55000000000000004</v>
      </c>
      <c r="L209" s="61">
        <f t="shared" si="64"/>
        <v>0</v>
      </c>
      <c r="M209" s="61">
        <f t="shared" si="65"/>
        <v>0</v>
      </c>
      <c r="N209" s="61">
        <f t="shared" si="71"/>
        <v>1.105</v>
      </c>
      <c r="O209" s="61">
        <f t="shared" si="66"/>
        <v>0</v>
      </c>
      <c r="P209" s="79">
        <f t="shared" si="67"/>
        <v>0.50226244343891402</v>
      </c>
      <c r="Q209" s="79">
        <f t="shared" si="68"/>
        <v>0.59452479188270635</v>
      </c>
      <c r="R209" s="95">
        <f t="shared" si="69"/>
        <v>0</v>
      </c>
      <c r="S209" s="95">
        <f t="shared" si="70"/>
        <v>0</v>
      </c>
      <c r="T209" s="62">
        <f t="shared" si="59"/>
        <v>0.55499999999999994</v>
      </c>
      <c r="U209" s="61">
        <f t="shared" si="56"/>
        <v>0</v>
      </c>
    </row>
    <row r="210" spans="1:21" x14ac:dyDescent="0.35">
      <c r="A210" s="1">
        <f t="shared" si="72"/>
        <v>46385</v>
      </c>
      <c r="B210" s="93" t="s">
        <v>205</v>
      </c>
      <c r="F210" s="11">
        <f t="shared" si="60"/>
        <v>14358806.586228002</v>
      </c>
      <c r="G210" s="11">
        <f t="shared" si="61"/>
        <v>6737115</v>
      </c>
      <c r="H210" s="11">
        <f t="shared" si="62"/>
        <v>7621691.5862280019</v>
      </c>
      <c r="I210" s="61">
        <f t="shared" si="58"/>
        <v>0.44805010496960956</v>
      </c>
      <c r="J210" s="61">
        <f t="shared" si="63"/>
        <v>0</v>
      </c>
      <c r="K210" s="94">
        <f>K209</f>
        <v>0.55000000000000004</v>
      </c>
      <c r="L210" s="61">
        <f t="shared" si="64"/>
        <v>0</v>
      </c>
      <c r="M210" s="61">
        <f t="shared" si="65"/>
        <v>0</v>
      </c>
      <c r="N210" s="61">
        <f t="shared" si="71"/>
        <v>1.105</v>
      </c>
      <c r="O210" s="61">
        <f t="shared" si="66"/>
        <v>0</v>
      </c>
      <c r="P210" s="79">
        <f t="shared" si="67"/>
        <v>0.50226244343891402</v>
      </c>
      <c r="Q210" s="79">
        <f t="shared" si="68"/>
        <v>0.59452479188270635</v>
      </c>
      <c r="R210" s="95">
        <f t="shared" si="69"/>
        <v>0</v>
      </c>
      <c r="S210" s="95">
        <f t="shared" si="70"/>
        <v>0</v>
      </c>
      <c r="T210" s="62">
        <f t="shared" si="59"/>
        <v>0.55499999999999994</v>
      </c>
      <c r="U210" s="61">
        <f t="shared" si="56"/>
        <v>0</v>
      </c>
    </row>
    <row r="211" spans="1:21" x14ac:dyDescent="0.35">
      <c r="A211" s="1">
        <f t="shared" si="72"/>
        <v>46386</v>
      </c>
      <c r="B211" s="93" t="s">
        <v>205</v>
      </c>
      <c r="F211" s="11">
        <f t="shared" si="60"/>
        <v>14358806.586228002</v>
      </c>
      <c r="G211" s="11">
        <f t="shared" si="61"/>
        <v>6737115</v>
      </c>
      <c r="H211" s="11">
        <f t="shared" si="62"/>
        <v>7621691.5862280019</v>
      </c>
      <c r="I211" s="61">
        <f t="shared" si="58"/>
        <v>0.44805010496960956</v>
      </c>
      <c r="J211" s="61">
        <f t="shared" si="63"/>
        <v>0</v>
      </c>
      <c r="K211" s="94">
        <f>K210</f>
        <v>0.55000000000000004</v>
      </c>
      <c r="L211" s="61">
        <f t="shared" si="64"/>
        <v>0</v>
      </c>
      <c r="M211" s="61">
        <f t="shared" si="65"/>
        <v>0</v>
      </c>
      <c r="N211" s="61">
        <f t="shared" si="71"/>
        <v>1.105</v>
      </c>
      <c r="O211" s="61">
        <f t="shared" si="66"/>
        <v>0</v>
      </c>
      <c r="P211" s="79">
        <f t="shared" si="67"/>
        <v>0.50226244343891402</v>
      </c>
      <c r="Q211" s="79">
        <f t="shared" si="68"/>
        <v>0.59452479188270635</v>
      </c>
      <c r="R211" s="95">
        <f t="shared" si="69"/>
        <v>0</v>
      </c>
      <c r="S211" s="95">
        <f t="shared" si="70"/>
        <v>0</v>
      </c>
      <c r="T211" s="62">
        <f t="shared" si="59"/>
        <v>0.55499999999999994</v>
      </c>
      <c r="U211" s="61">
        <f>T211*(D211+E211)</f>
        <v>0</v>
      </c>
    </row>
    <row r="212" spans="1:21" x14ac:dyDescent="0.35">
      <c r="A212" s="1">
        <f t="shared" si="72"/>
        <v>46387</v>
      </c>
      <c r="B212" s="93" t="s">
        <v>205</v>
      </c>
      <c r="F212" s="11">
        <f t="shared" si="60"/>
        <v>14358806.586228002</v>
      </c>
      <c r="G212" s="11">
        <f t="shared" si="61"/>
        <v>6737115</v>
      </c>
      <c r="H212" s="11">
        <f t="shared" si="62"/>
        <v>7621691.5862280019</v>
      </c>
      <c r="I212" s="61">
        <f t="shared" si="58"/>
        <v>0.44805010496960956</v>
      </c>
      <c r="J212" s="61">
        <f t="shared" si="63"/>
        <v>0</v>
      </c>
      <c r="K212" s="94">
        <f>K211</f>
        <v>0.55000000000000004</v>
      </c>
      <c r="L212" s="61">
        <f t="shared" si="64"/>
        <v>0</v>
      </c>
      <c r="M212" s="61">
        <f t="shared" si="65"/>
        <v>0</v>
      </c>
      <c r="N212" s="61">
        <f t="shared" si="71"/>
        <v>1.105</v>
      </c>
      <c r="O212" s="61">
        <f t="shared" si="66"/>
        <v>0</v>
      </c>
      <c r="P212" s="79">
        <f t="shared" si="67"/>
        <v>0.50226244343891402</v>
      </c>
      <c r="Q212" s="79">
        <f t="shared" si="68"/>
        <v>0.59452479188270635</v>
      </c>
      <c r="R212" s="95">
        <f t="shared" si="69"/>
        <v>0</v>
      </c>
      <c r="S212" s="95">
        <f t="shared" si="70"/>
        <v>0</v>
      </c>
      <c r="T212" s="62">
        <f t="shared" si="59"/>
        <v>0.55499999999999994</v>
      </c>
      <c r="U212" s="61">
        <f>T212*(D212+E212)</f>
        <v>0</v>
      </c>
    </row>
    <row r="213" spans="1:21" ht="16" x14ac:dyDescent="0.4">
      <c r="L213" s="62">
        <f>SUM(L3:L212)</f>
        <v>4167436.7399999998</v>
      </c>
      <c r="R213" s="98">
        <f>SUM(R3:R212)</f>
        <v>15866481.277781973</v>
      </c>
      <c r="S213" s="98">
        <f>SUM(S3:S212)</f>
        <v>7444512.0750000002</v>
      </c>
      <c r="U213" s="99">
        <f>SUM(U122:U212)</f>
        <v>2251125</v>
      </c>
    </row>
    <row r="214" spans="1:21" ht="16" x14ac:dyDescent="0.4">
      <c r="G214" s="11">
        <f>[1]Bao!G212</f>
        <v>8579320.6666666586</v>
      </c>
      <c r="L214" s="62">
        <f>S213-L213</f>
        <v>3277075.3350000004</v>
      </c>
      <c r="S214" s="100">
        <f>S213-R213</f>
        <v>-8421969.2027819715</v>
      </c>
    </row>
    <row r="215" spans="1:21" x14ac:dyDescent="0.35">
      <c r="A215" t="s">
        <v>207</v>
      </c>
      <c r="E215" s="101"/>
      <c r="G215" s="11">
        <f>G214-G212</f>
        <v>1842205.6666666586</v>
      </c>
    </row>
    <row r="216" spans="1:21" x14ac:dyDescent="0.35">
      <c r="G216" s="11">
        <f>G215*0.61</f>
        <v>1123745.4566666617</v>
      </c>
      <c r="S216" s="61"/>
    </row>
    <row r="217" spans="1:21" x14ac:dyDescent="0.35">
      <c r="S217" s="62"/>
    </row>
    <row r="219" spans="1:21" ht="16" x14ac:dyDescent="0.4">
      <c r="T219" s="102"/>
    </row>
    <row r="220" spans="1:21" x14ac:dyDescent="0.35">
      <c r="H220" s="11">
        <f>H212*0.61</f>
        <v>4649231.8675990812</v>
      </c>
    </row>
    <row r="221" spans="1:21" x14ac:dyDescent="0.35">
      <c r="S221" s="61"/>
    </row>
  </sheetData>
  <mergeCells count="1">
    <mergeCell ref="D90:D9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4E69A9632951438673403E86EF9326" ma:contentTypeVersion="20" ma:contentTypeDescription="Create a new document." ma:contentTypeScope="" ma:versionID="184753a7b2e69e4ac1e44a64e985ee22">
  <xsd:schema xmlns:xsd="http://www.w3.org/2001/XMLSchema" xmlns:xs="http://www.w3.org/2001/XMLSchema" xmlns:p="http://schemas.microsoft.com/office/2006/metadata/properties" xmlns:ns2="86a3ea98-5016-402c-a33e-61ab0a25dbd3" xmlns:ns3="1c07d67d-9fde-4c19-8de9-f13c88a57230" targetNamespace="http://schemas.microsoft.com/office/2006/metadata/properties" ma:root="true" ma:fieldsID="6aabe35e44ca3fd4c089359a3e2b256e" ns2:_="" ns3:_="">
    <xsd:import namespace="86a3ea98-5016-402c-a33e-61ab0a25dbd3"/>
    <xsd:import namespace="1c07d67d-9fde-4c19-8de9-f13c88a5723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Detail"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a3ea98-5016-402c-a33e-61ab0a25dbd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e9728c9-276a-4bba-b067-347c956312f4}" ma:internalName="TaxCatchAll" ma:showField="CatchAllData" ma:web="86a3ea98-5016-402c-a33e-61ab0a25dbd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c07d67d-9fde-4c19-8de9-f13c88a5723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52f477a-622e-441f-98c6-ed21adbf54a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Detail" ma:index="26" nillable="true" ma:displayName="Detail" ma:format="Dropdown" ma:internalName="Detail">
      <xsd:simpleType>
        <xsd:restriction base="dms:Note">
          <xsd:maxLength value="255"/>
        </xsd:restriction>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6a3ea98-5016-402c-a33e-61ab0a25dbd3" xsi:nil="true"/>
    <lcf76f155ced4ddcb4097134ff3c332f xmlns="1c07d67d-9fde-4c19-8de9-f13c88a57230">
      <Terms xmlns="http://schemas.microsoft.com/office/infopath/2007/PartnerControls"/>
    </lcf76f155ced4ddcb4097134ff3c332f>
    <Detail xmlns="1c07d67d-9fde-4c19-8de9-f13c88a57230" xsi:nil="true"/>
  </documentManagement>
</p:properties>
</file>

<file path=customXml/itemProps1.xml><?xml version="1.0" encoding="utf-8"?>
<ds:datastoreItem xmlns:ds="http://schemas.openxmlformats.org/officeDocument/2006/customXml" ds:itemID="{C04D484D-E8DB-41D0-AE64-49E836628DE3}"/>
</file>

<file path=customXml/itemProps2.xml><?xml version="1.0" encoding="utf-8"?>
<ds:datastoreItem xmlns:ds="http://schemas.openxmlformats.org/officeDocument/2006/customXml" ds:itemID="{18842C70-54FE-4106-9B06-C70F5CE39BC8}"/>
</file>

<file path=customXml/itemProps3.xml><?xml version="1.0" encoding="utf-8"?>
<ds:datastoreItem xmlns:ds="http://schemas.openxmlformats.org/officeDocument/2006/customXml" ds:itemID="{C2D86A39-1955-4865-9716-AF3F772FE7E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Monthly Summary</vt:lpstr>
      <vt:lpstr>Weekly Summary</vt:lpstr>
      <vt:lpstr>Daily Summary New</vt:lpstr>
      <vt:lpstr>Raw Data - Production</vt:lpstr>
      <vt:lpstr>Raw Data - Packing</vt:lpstr>
      <vt:lpstr>Daily Summary Old</vt:lpstr>
      <vt:lpstr>Ramp Up Plan</vt:lpstr>
      <vt:lpstr>OEE - In Process</vt:lpstr>
      <vt:lpstr>Weights</vt:lpstr>
      <vt:lpstr>Don't Change</vt:lpstr>
      <vt:lpstr>New Plant SD Plan</vt:lpstr>
      <vt:lpstr>New Plant Bao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Coan</dc:creator>
  <cp:lastModifiedBy>Michael Coan</cp:lastModifiedBy>
  <cp:lastPrinted>2026-06-08T20:36:30Z</cp:lastPrinted>
  <dcterms:created xsi:type="dcterms:W3CDTF">2026-05-14T16:39:04Z</dcterms:created>
  <dcterms:modified xsi:type="dcterms:W3CDTF">2026-09-09T12:30:14Z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0x010100894E69A9632951438673403E86EF9326</vt:lpwstr>
  </property>
</Properties>
</file>